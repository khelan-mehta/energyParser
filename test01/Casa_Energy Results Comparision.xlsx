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4.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drawings/drawing5.xml" ContentType="application/vnd.openxmlformats-officedocument.drawing+xml"/>
  <Override PartName="/xl/charts/chart9.xml" ContentType="application/vnd.openxmlformats-officedocument.drawingml.chart+xml"/>
  <Override PartName="/xl/charts/style1.xml" ContentType="application/vnd.ms-office.chartstyle+xml"/>
  <Override PartName="/xl/charts/colors1.xml" ContentType="application/vnd.ms-office.chartcolorstyle+xml"/>
  <Override PartName="/xl/charts/chart10.xml" ContentType="application/vnd.openxmlformats-officedocument.drawingml.chart+xml"/>
  <Override PartName="/xl/charts/style2.xml" ContentType="application/vnd.ms-office.chartstyle+xml"/>
  <Override PartName="/xl/charts/colors2.xml" ContentType="application/vnd.ms-office.chartcolorstyle+xml"/>
  <Override PartName="/xl/charts/chart11.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updateLinks="never" defaultThemeVersion="124226"/>
  <mc:AlternateContent xmlns:mc="http://schemas.openxmlformats.org/markup-compatibility/2006">
    <mc:Choice Requires="x15">
      <x15ac:absPath xmlns:x15ac="http://schemas.microsoft.com/office/spreadsheetml/2010/11/ac" url="C:\Users\NG\Desktop\energyParser\test01\"/>
    </mc:Choice>
  </mc:AlternateContent>
  <xr:revisionPtr revIDLastSave="0" documentId="13_ncr:20001_{D99BD3D0-8C40-45B5-AA5C-6C7F04FE18B0}" xr6:coauthVersionLast="36" xr6:coauthVersionMax="47" xr10:uidLastSave="{00000000-0000-0000-0000-000000000000}"/>
  <bookViews>
    <workbookView xWindow="33396" yWindow="3540" windowWidth="21600" windowHeight="10920" activeTab="1" xr2:uid="{00000000-000D-0000-FFFF-FFFF00000000}"/>
  </bookViews>
  <sheets>
    <sheet name="Home" sheetId="24" r:id="rId1"/>
    <sheet name="Project Info" sheetId="7" r:id="rId2"/>
    <sheet name="BL Data" sheetId="30" r:id="rId3"/>
    <sheet name="Proposed Data" sheetId="29" r:id="rId4"/>
    <sheet name="LEED BL" sheetId="32" r:id="rId5"/>
    <sheet name="Code BL" sheetId="33" r:id="rId6"/>
    <sheet name="Proposed" sheetId="31" r:id="rId7"/>
    <sheet name="SiteE" sheetId="38" r:id="rId8"/>
    <sheet name="SourceE" sheetId="42" r:id="rId9"/>
    <sheet name="Carbon" sheetId="44" r:id="rId10"/>
    <sheet name="Cost" sheetId="43" r:id="rId11"/>
    <sheet name="Report" sheetId="20" r:id="rId12"/>
    <sheet name="Input Summary" sheetId="36" r:id="rId13"/>
    <sheet name="QAQC" sheetId="46" r:id="rId14"/>
    <sheet name="Menus" sheetId="8" r:id="rId15"/>
    <sheet name="Calculations" sheetId="26" r:id="rId16"/>
    <sheet name="LEED Calc" sheetId="45" r:id="rId17"/>
    <sheet name="RefTable LEED" sheetId="17" r:id="rId18"/>
    <sheet name="RefTable BPF" sheetId="35" r:id="rId19"/>
    <sheet name="Conversions" sheetId="37" r:id="rId20"/>
  </sheets>
  <definedNames>
    <definedName name="air_density" localSheetId="19">Conversions!$M$11</definedName>
    <definedName name="Baseline">Menus!$I$2:$I$3</definedName>
    <definedName name="Carbon_01" localSheetId="9">OFFSET(Carbon!$U$6,0,0,Carbon!$S$3,1)</definedName>
    <definedName name="Carbon_02" localSheetId="9">OFFSET(Carbon!$V$6,0,0,Carbon!$S$3,1)</definedName>
    <definedName name="Carbon_03" localSheetId="9">OFFSET(Carbon!$W$6,0,0,Carbon!$S$3,1)</definedName>
    <definedName name="Carbon_04" localSheetId="9">OFFSET(Carbon!$X$6,0,0,Carbon!$S$3,1)</definedName>
    <definedName name="Carbon_05" localSheetId="9">OFFSET(Carbon!$Y$6,0,0,Carbon!$S$3,1)</definedName>
    <definedName name="Carbon_06" localSheetId="9">OFFSET(Carbon!$Z$6,0,0,Carbon!$S$3,1)</definedName>
    <definedName name="Carbon_07" localSheetId="9">OFFSET(Carbon!$AA$6,0,0,Carbon!$S$3,1)</definedName>
    <definedName name="Carbon_08" localSheetId="9">OFFSET(Carbon!$AB$6,0,0,Carbon!$S$3,1)</definedName>
    <definedName name="Carbon_09" localSheetId="9">OFFSET(Carbon!$AC$6,0,0,Carbon!$S$3,1)</definedName>
    <definedName name="Carbon_10" localSheetId="9">OFFSET(Carbon!$AD$6,0,0,Carbon!$S$3,1)</definedName>
    <definedName name="Carbon_11" localSheetId="9">OFFSET(Carbon!$AE$6,0,0,Carbon!$S$3,1)</definedName>
    <definedName name="Carbon_12" localSheetId="9">OFFSET(Carbon!$AF$6,0,0,Carbon!$S$3,1)</definedName>
    <definedName name="Carbon_13" localSheetId="9">OFFSET(Carbon!$AG$6,0,0,Carbon!$S$3,1)</definedName>
    <definedName name="Carbon_14" localSheetId="9">OFFSET(Carbon!$AH$6,0,0,Carbon!$S$3,1)</definedName>
    <definedName name="Carbon_15" localSheetId="9">OFFSET(Carbon!$AI$6,0,0,Carbon!$S$3,1)</definedName>
    <definedName name="Carbon_16" localSheetId="9">OFFSET(Carbon!$AJ$6,0,0,Carbon!$S$3,1)</definedName>
    <definedName name="Carbon_17" localSheetId="9">OFFSET(Carbon!$AK$6,0,0,Carbon!$S$3,1)</definedName>
    <definedName name="Carbon_18" localSheetId="9">OFFSET(Carbon!$AL$6,0,0,Carbon!$S$3,1)</definedName>
    <definedName name="Carbon_19" localSheetId="9">OFFSET(Carbon!$AM$6,0,0,Carbon!$S$3,1)</definedName>
    <definedName name="Carbon_20" localSheetId="9">OFFSET(Carbon!$AN$6,0,0,Carbon!$S$3,1)</definedName>
    <definedName name="Carbon_AdditionalFuel" localSheetId="9">OFFSET(Carbon!#REF!,0,0,Carbon!$S$3,1 )</definedName>
    <definedName name="Carbon_AdditionalFuel" localSheetId="10">OFFSET(Cost!#REF!,0,0,Cost!$S$3,1 )</definedName>
    <definedName name="Carbon_AdditionalFuel" localSheetId="7">OFFSET(SiteE!#REF!,0,0,SiteE!$S$3,1 )</definedName>
    <definedName name="Carbon_AdditionalFuel" localSheetId="8">OFFSET(SourceE!#REF!,0,0,SourceE!$S$3,1 )</definedName>
    <definedName name="Carbon_AdditionalFuel">OFFSET(#REF!,0,0,#REF!,1 )</definedName>
    <definedName name="Carbon_DistrictCooling" localSheetId="9">OFFSET(Carbon!#REF!,0,0,Carbon!$S$3,1 )</definedName>
    <definedName name="Carbon_DistrictCooling" localSheetId="10">OFFSET(Cost!#REF!,0,0,Cost!$S$3,1 )</definedName>
    <definedName name="Carbon_DistrictCooling" localSheetId="7">OFFSET(SiteE!#REF!,0,0,SiteE!$S$3,1 )</definedName>
    <definedName name="Carbon_DistrictCooling" localSheetId="8">OFFSET(SourceE!#REF!,0,0,SourceE!$S$3,1 )</definedName>
    <definedName name="Carbon_DistrictCooling">OFFSET(#REF!,0,0,#REF!,1 )</definedName>
    <definedName name="Carbon_DistrictHeating" localSheetId="9">OFFSET(Carbon!#REF!,0,0,Carbon!$S$3,1 )</definedName>
    <definedName name="Carbon_DistrictHeating" localSheetId="10">OFFSET(Cost!#REF!,0,0,Cost!$S$3,1 )</definedName>
    <definedName name="Carbon_DistrictHeating" localSheetId="7">OFFSET(SiteE!#REF!,0,0,SiteE!$S$3,1 )</definedName>
    <definedName name="Carbon_DistrictHeating" localSheetId="8">OFFSET(SourceE!#REF!,0,0,SourceE!$S$3,1 )</definedName>
    <definedName name="Carbon_DistrictHeating">OFFSET(#REF!,0,0,#REF!,1 )</definedName>
    <definedName name="Carbon_Electricity" localSheetId="9">OFFSET(Carbon!#REF!,0,0,Carbon!$S$3,1 )</definedName>
    <definedName name="Carbon_Electricity" localSheetId="10">OFFSET(Cost!#REF!,0,0,Cost!$S$3,1 )</definedName>
    <definedName name="Carbon_Electricity" localSheetId="7">OFFSET(SiteE!#REF!,0,0,SiteE!$S$3,1 )</definedName>
    <definedName name="Carbon_Electricity" localSheetId="8">OFFSET(SourceE!#REF!,0,0,SourceE!$S$3,1 )</definedName>
    <definedName name="Carbon_Electricity">OFFSET(#REF!,0,0,#REF!,1 )</definedName>
    <definedName name="Carbon_NaturalGas" localSheetId="9">OFFSET(Carbon!#REF!,0,0,Carbon!$S$3,1 )</definedName>
    <definedName name="Carbon_NaturalGas" localSheetId="10">OFFSET(Cost!#REF!,0,0,Cost!$S$3,1 )</definedName>
    <definedName name="Carbon_NaturalGas" localSheetId="7">OFFSET(SiteE!#REF!,0,0,SiteE!$S$3,1 )</definedName>
    <definedName name="Carbon_NaturalGas" localSheetId="8">OFFSET(SourceE!#REF!,0,0,SourceE!$S$3,1 )</definedName>
    <definedName name="Carbon_NaturalGas">OFFSET(#REF!,0,0,#REF!,1 )</definedName>
    <definedName name="Carbon_Unc" localSheetId="9">OFFSET(Carbon!#REF!,0,0,Carbon!$S$3,1 )</definedName>
    <definedName name="Carbon_Unc" localSheetId="10">OFFSET(Cost!#REF!,0,0,Cost!$S$3,1 )</definedName>
    <definedName name="Carbon_Unc" localSheetId="7">OFFSET(SiteE!#REF!,0,0,SiteE!$S$3,1 )</definedName>
    <definedName name="Carbon_Unc" localSheetId="8">OFFSET(SourceE!#REF!,0,0,SourceE!$S$3,1 )</definedName>
    <definedName name="Carbon_Unc">OFFSET(#REF!,0,0,#REF!,1 )</definedName>
    <definedName name="CarbonEI_11" localSheetId="9">OFFSET(Carbon!$AE$20,0,0,Carbon!$S$3,1)</definedName>
    <definedName name="Case_Names" localSheetId="9">OFFSET(Carbon!$S$6,0,0,Carbon!$S$3,1 )</definedName>
    <definedName name="Case_Names" localSheetId="10">OFFSET(Cost!$S$6,0,0,Cost!$S$3,1 )</definedName>
    <definedName name="Case_Names" localSheetId="7">OFFSET(SiteE!$S$6,0,0,SiteE!$S$3,1 )</definedName>
    <definedName name="Case_Names" localSheetId="8">OFFSET(SourceE!$S$6,0,0,SourceE!$S$3,1 )</definedName>
    <definedName name="Case_Names">OFFSET(#REF!,0,0,#REF!,1 )</definedName>
    <definedName name="CEI_01" localSheetId="9">OFFSET(Carbon!$U$20,0,0,Carbon!$S$3,1)</definedName>
    <definedName name="CEI_02" localSheetId="9">OFFSET(Carbon!$V$20,0,0,Carbon!$S$3,1)</definedName>
    <definedName name="CEI_03" localSheetId="9">OFFSET(Carbon!$W$20,0,0,Carbon!$S$3,1)</definedName>
    <definedName name="CEI_04" localSheetId="9">OFFSET(Carbon!$X$20,0,0,Carbon!$S$3,1)</definedName>
    <definedName name="CEI_05" localSheetId="9">OFFSET(Carbon!$Y$20,0,0,Carbon!$S$3,1)</definedName>
    <definedName name="CEI_06" localSheetId="9">OFFSET(Carbon!$Z$20,0,0,Carbon!$S$3,1)</definedName>
    <definedName name="CEI_07" localSheetId="9">OFFSET(Carbon!$AA$20,0,0,Carbon!$S$3,1)</definedName>
    <definedName name="CEI_08" localSheetId="9">OFFSET(Carbon!$AB$20,0,0,Carbon!$S$3,1)</definedName>
    <definedName name="CEI_09" localSheetId="9">OFFSET(Carbon!$AC$20,0,0,Carbon!$S$3,1)</definedName>
    <definedName name="CEI_10" localSheetId="9">OFFSET(Carbon!$AD$20,0,0,Carbon!$S$3,1)</definedName>
    <definedName name="CEI_12" localSheetId="9">OFFSET(Carbon!$AF$20,0,0,Carbon!$S$3,1)</definedName>
    <definedName name="CEI_13" localSheetId="9">OFFSET(Carbon!$AG$20,0,0,Carbon!$S$3,1)</definedName>
    <definedName name="CEI_14" localSheetId="9">OFFSET(Carbon!$AH$20,0,0,Carbon!$S$3,1)</definedName>
    <definedName name="CEI_15" localSheetId="9">OFFSET(Carbon!$AI$20,0,0,Carbon!$S$3,1)</definedName>
    <definedName name="CEI_16" localSheetId="9">OFFSET(Carbon!$AJ$20,0,0,Carbon!$S$3,1)</definedName>
    <definedName name="CEI_17" localSheetId="9">OFFSET(Carbon!$AK$20,0,0,Carbon!$S$3,1)</definedName>
    <definedName name="CEI_18" localSheetId="9">OFFSET(Carbon!$AL$20,0,0,Carbon!$S$3,1)</definedName>
    <definedName name="CEI_19" localSheetId="9">OFFSET(Carbon!$AM$20,0,0,Carbon!$S$3,1)</definedName>
    <definedName name="CEI_20" localSheetId="9">OFFSET(Carbon!$AN$20,0,0,Carbon!$S$3,1)</definedName>
    <definedName name="cfm_m3ps" localSheetId="19">Conversions!$M$13</definedName>
    <definedName name="Cooling_Fuel">Menus!$A$17:$A$21</definedName>
    <definedName name="Cost_01" localSheetId="10">OFFSET(Cost!$U$6,0,0,Cost!$S$3,1)</definedName>
    <definedName name="Cost_02" localSheetId="10">OFFSET(Cost!$V$6,0,0,Cost!$S$3,1)</definedName>
    <definedName name="Cost_03" localSheetId="10">OFFSET(Cost!$W$6,0,0,Cost!$S$3,1)</definedName>
    <definedName name="Cost_04" localSheetId="10">OFFSET(Cost!$X$6,0,0,Cost!$S$3,1)</definedName>
    <definedName name="Cost_05" localSheetId="10">OFFSET(Cost!$Y$6,0,0,Cost!$S$3,1)</definedName>
    <definedName name="Cost_06" localSheetId="10">OFFSET(Cost!$Z$6,0,0,Cost!$S$3,1)</definedName>
    <definedName name="Cost_07" localSheetId="10">OFFSET(Cost!$AA$6,0,0,Cost!$S$3,1)</definedName>
    <definedName name="Cost_08" localSheetId="10">OFFSET(Cost!$AB$6,0,0,Cost!$S$3,1)</definedName>
    <definedName name="Cost_09" localSheetId="10">OFFSET(Cost!$AC$6,0,0,Cost!$S$3,1)</definedName>
    <definedName name="Cost_10" localSheetId="10">OFFSET(Cost!$AD$6,0,0,Cost!$S$3,1)</definedName>
    <definedName name="Cost_11" localSheetId="10">OFFSET(Cost!$AE$6,0,0,Cost!$S$3,1)</definedName>
    <definedName name="Cost_12" localSheetId="10">OFFSET(Cost!$AF$6,0,0,Cost!$S$3,1)</definedName>
    <definedName name="Cost_13" localSheetId="10">OFFSET(Cost!$AG$6,0,0,Cost!$S$3,1)</definedName>
    <definedName name="Cost_14" localSheetId="10">OFFSET(Cost!$AH$6,0,0,Cost!$S$3,1)</definedName>
    <definedName name="Cost_15" localSheetId="10">OFFSET(Cost!$AI$6,0,0,Cost!$S$3,1)</definedName>
    <definedName name="Cost_16" localSheetId="10">OFFSET(Cost!$AJ$6,0,0,Cost!$S$3,1)</definedName>
    <definedName name="Cost_17" localSheetId="10">OFFSET(Cost!$AK$6,0,0,Cost!$S$3,1)</definedName>
    <definedName name="Cost_18" localSheetId="10">OFFSET(Cost!$AL$6,0,0,Cost!$S$3,1)</definedName>
    <definedName name="Cost_19" localSheetId="10">OFFSET(Cost!$AM$6,0,0,Cost!$S$3,1)</definedName>
    <definedName name="Cost_20" localSheetId="10">OFFSET(Cost!$AN$6,0,0,Cost!$S$3,1)</definedName>
    <definedName name="cvFTtoM" localSheetId="19">0.3048</definedName>
    <definedName name="cvKWH" localSheetId="19">0.293071111</definedName>
    <definedName name="E_01" localSheetId="7">OFFSET(SiteE!$U$6,0,0,SiteE!$S$3,1)</definedName>
    <definedName name="E_02" localSheetId="7">OFFSET(SiteE!$V$6,0,0,SiteE!$S$3,1)</definedName>
    <definedName name="E_03" localSheetId="7">OFFSET(SiteE!$W$6,0,0,SiteE!$S$3,1)</definedName>
    <definedName name="E_04" localSheetId="7">OFFSET(SiteE!$X$6,0,0,SiteE!$S$3,1)</definedName>
    <definedName name="E_05" localSheetId="7">OFFSET(SiteE!$Y$6,0,0,SiteE!$S$3,1)</definedName>
    <definedName name="E_06" localSheetId="7">OFFSET(SiteE!$Z$6,0,0,SiteE!$S$3,1)</definedName>
    <definedName name="E_07" localSheetId="7">OFFSET(SiteE!$AA$6,0,0,SiteE!$S$3,1)</definedName>
    <definedName name="E_08" localSheetId="7">OFFSET(SiteE!$AB$6,0,0,SiteE!$S$3,1)</definedName>
    <definedName name="E_09" localSheetId="7">OFFSET(SiteE!$AC$6,0,0,SiteE!$S$3,1)</definedName>
    <definedName name="E_10" localSheetId="7">OFFSET(SiteE!$AD$6,0,0,SiteE!$S$3,1)</definedName>
    <definedName name="E_11" localSheetId="7">OFFSET(SiteE!$AE$6,0,0,SiteE!$S$3,1)</definedName>
    <definedName name="E_12" localSheetId="7">OFFSET(SiteE!$AF$6,0,0,SiteE!$S$3,1)</definedName>
    <definedName name="E_13" localSheetId="7">OFFSET(SiteE!$AG$6,0,0,SiteE!$S$3,1)</definedName>
    <definedName name="E_14" localSheetId="7">OFFSET(SiteE!$AH$6,0,0,SiteE!$S$3,1)</definedName>
    <definedName name="E_15" localSheetId="7">OFFSET(SiteE!$AI$6,0,0,SiteE!$S$3,1)</definedName>
    <definedName name="E_16" localSheetId="7">OFFSET(SiteE!$AJ$6,0,0,SiteE!$S$3,1)</definedName>
    <definedName name="E_17" localSheetId="7">OFFSET(SiteE!$AK$6,0,0,SiteE!$S$3,1)</definedName>
    <definedName name="E_18" localSheetId="7">OFFSET(SiteE!$AL$6,0,0,SiteE!$S$3,1)</definedName>
    <definedName name="E_19" localSheetId="7">OFFSET(SiteE!$AM$6,0,0,SiteE!$S$3,1)</definedName>
    <definedName name="E_20" localSheetId="7">OFFSET(SiteE!$AN$6,0,0,SiteE!$S$3,1)</definedName>
    <definedName name="ECI_01" localSheetId="10">OFFSET(Cost!$U$20,0,0,Cost!$S$3,1)</definedName>
    <definedName name="ECI_02" localSheetId="10">OFFSET(Cost!$V$20,0,0,Cost!$S$3,1)</definedName>
    <definedName name="ECI_03" localSheetId="10">OFFSET(Cost!$W$20,0,0,Cost!$S$3,1)</definedName>
    <definedName name="ECI_04" localSheetId="10">OFFSET(Cost!$X$20,0,0,Cost!$S$3,1)</definedName>
    <definedName name="ECI_05" localSheetId="10">OFFSET(Cost!$Y$20,0,0,Cost!$S$3,1)</definedName>
    <definedName name="ECI_06" localSheetId="10">OFFSET(Cost!$Z$20,0,0,Cost!$S$3,1)</definedName>
    <definedName name="ECI_07" localSheetId="10">OFFSET(Cost!$AA$20,0,0,Cost!$S$3,1)</definedName>
    <definedName name="ECI_08" localSheetId="10">OFFSET(Cost!$AB$20,0,0,Cost!$S$3,1)</definedName>
    <definedName name="ECI_09" localSheetId="10">OFFSET(Cost!$AC$20,0,0,Cost!$S$3,1)</definedName>
    <definedName name="ECI_10" localSheetId="10">OFFSET(Cost!$AD$20,0,0,Cost!$S$3,1)</definedName>
    <definedName name="ECI_11" localSheetId="10">OFFSET(Cost!$AE$20,0,0,Cost!$S$3,1)</definedName>
    <definedName name="ECI_12" localSheetId="10">OFFSET(Cost!$AF$20,0,0,Cost!$S$3,1)</definedName>
    <definedName name="ECI_13" localSheetId="10">OFFSET(Cost!$AG$20,0,0,Cost!$S$3,1)</definedName>
    <definedName name="ECI_14" localSheetId="10">OFFSET(Cost!$AH$20,0,0,Cost!$S$3,1)</definedName>
    <definedName name="ECI_15" localSheetId="10">OFFSET(Cost!$AI$20,0,0,Cost!$S$3,1)</definedName>
    <definedName name="ECI_16" localSheetId="10">OFFSET(Cost!$AJ$20,0,0,Cost!$S$3,1)</definedName>
    <definedName name="ECI_17" localSheetId="10">OFFSET(Cost!$AK$20,0,0,Cost!$S$3,1)</definedName>
    <definedName name="ECI_18" localSheetId="10">OFFSET(Cost!$AL$20,0,0,Cost!$S$3,1)</definedName>
    <definedName name="ECI_19" localSheetId="10">OFFSET(Cost!$AM$20,0,0,Cost!$S$3,1)</definedName>
    <definedName name="ECI_20" localSheetId="10">OFFSET(Cost!$AN$20,0,0,Cost!$S$3,1)</definedName>
    <definedName name="Energy">Menus!$C$2:$C$3</definedName>
    <definedName name="Energy_Interior_Lighting" localSheetId="9">OFFSET(Carbon!$U$6,0,0,Carbon!$S$3)</definedName>
    <definedName name="Energy_Interior_Lighting" localSheetId="10">OFFSET(Cost!$U$6,0,0,Cost!$S$3)</definedName>
    <definedName name="Energy_Interior_Lighting" localSheetId="7">OFFSET(SiteE!$U$6,0,0,SiteE!$S$3)</definedName>
    <definedName name="Energy_Interior_Lighting" localSheetId="8">OFFSET(SourceE!$U$6,0,0,SourceE!$S$3)</definedName>
    <definedName name="Energy_Interior_Lighting">OFFSET(#REF!,0,0,#REF!)</definedName>
    <definedName name="Fuel_Type">Menus!$A$17:$A$21</definedName>
    <definedName name="Gas_Units">Menus!$C$6:$C$7</definedName>
    <definedName name="gpkg_grplb" localSheetId="19">Conversions!$M$23</definedName>
    <definedName name="I_01" localSheetId="7">OFFSET(SiteE!$U$20,0,0,SiteE!$S$3,1)</definedName>
    <definedName name="I_02" localSheetId="7">OFFSET(SiteE!$V$20,0,0,SiteE!$S$3,1)</definedName>
    <definedName name="I_03" localSheetId="7">OFFSET(SiteE!$W$20,0,0,SiteE!$S$3,1)</definedName>
    <definedName name="I_04" localSheetId="7">OFFSET(SiteE!$X$20,0,0,SiteE!$S$3,1)</definedName>
    <definedName name="I_05" localSheetId="7">OFFSET(SiteE!$Y$20,0,0,SiteE!$S$3,1)</definedName>
    <definedName name="I_06" localSheetId="7">OFFSET(SiteE!$Z$20,0,0,SiteE!$S$3,1)</definedName>
    <definedName name="I_07" localSheetId="7">OFFSET(SiteE!$AA$20,0,0,SiteE!$S$3,1)</definedName>
    <definedName name="I_08" localSheetId="7">OFFSET(SiteE!$AB$20,0,0,SiteE!$S$3,1)</definedName>
    <definedName name="I_09" localSheetId="7">OFFSET(SiteE!$AC$20,0,0,SiteE!$S$3,1)</definedName>
    <definedName name="I_10" localSheetId="7">OFFSET(SiteE!$AD$20,0,0,SiteE!$S$3,1)</definedName>
    <definedName name="I_11" localSheetId="7">OFFSET(SiteE!$AE$20,0,0,SiteE!$S$3,1)</definedName>
    <definedName name="I_12" localSheetId="7">OFFSET(SiteE!$AF$20,0,0,SiteE!$S$3,1)</definedName>
    <definedName name="I_13" localSheetId="7">OFFSET(SiteE!$AG$20,0,0,SiteE!$S$3,1)</definedName>
    <definedName name="I_14" localSheetId="7">OFFSET(SiteE!$AH$20,0,0,SiteE!$S$3,1)</definedName>
    <definedName name="I_15" localSheetId="7">OFFSET(SiteE!$AI$20,0,0,SiteE!$S$3,1)</definedName>
    <definedName name="I_16" localSheetId="7">OFFSET(SiteE!$AJ$20,0,0,SiteE!$S$3,1)</definedName>
    <definedName name="I_17" localSheetId="7">OFFSET(SiteE!$AK$20,0,0,SiteE!$S$3,1)</definedName>
    <definedName name="I_18" localSheetId="7">OFFSET(SiteE!$AL$20,0,0,SiteE!$S$3,1)</definedName>
    <definedName name="I_19" localSheetId="7">OFFSET(SiteE!$AM$20,0,0,SiteE!$S$3,1)</definedName>
    <definedName name="I_20" localSheetId="7">OFFSET(SiteE!$AN$20,0,0,SiteE!$S$3,1)</definedName>
    <definedName name="kPa_inH2O" localSheetId="19">Conversions!$M$16</definedName>
    <definedName name="LEED_Standard">Menus!$O$2:$O$5</definedName>
    <definedName name="LEED_Subcatagory">Menus!$O$8:$O$10</definedName>
    <definedName name="LEED_Version">Menus!$M$2:$M$8</definedName>
    <definedName name="lps_kgps" localSheetId="19">Conversions!$M$6</definedName>
    <definedName name="Proposed_Options">Menus!$A$23:$A$27</definedName>
    <definedName name="Result_Set">Menus!$A$24:$A$36</definedName>
    <definedName name="Select_BL_Case">'Input Summary'!$T$8:$T$9</definedName>
    <definedName name="Select_Case">'Proposed Data'!$A$2:$A$100</definedName>
    <definedName name="SI">Menus!$A$2:$A$3</definedName>
    <definedName name="SiteE_01" localSheetId="7">OFFSET(SiteE!$U$6,0,0,SiteE!$S$3,1)</definedName>
    <definedName name="SiteE_01" localSheetId="8">OFFSET(SourceE!$U$6,0,0,SourceE!$S$3,1)</definedName>
    <definedName name="SiteE_02" localSheetId="9">OFFSET(Carbon!$V$6,0,0,Carbon!$S$3,1)</definedName>
    <definedName name="SiteE_02" localSheetId="10">OFFSET(Cost!$V$6,0,0,Cost!$S$3,1)</definedName>
    <definedName name="SiteE_02" localSheetId="7">OFFSET(SiteE!$V$6,0,0,SiteE!$S$3,1)</definedName>
    <definedName name="SiteE_02" localSheetId="8">OFFSET(SourceE!$V$6,0,0,SourceE!$S$3,1)</definedName>
    <definedName name="SiteE_03" localSheetId="9">OFFSET(Carbon!$W$6,0,0,Carbon!$S$3,1)</definedName>
    <definedName name="SiteE_03" localSheetId="10">OFFSET(Cost!$W$6,0,0,Cost!$S$3,1)</definedName>
    <definedName name="SiteE_03" localSheetId="7">OFFSET(SiteE!$W$6,0,0,SiteE!$S$3,1)</definedName>
    <definedName name="SiteE_03" localSheetId="8">OFFSET(SourceE!$W$6,0,0,SourceE!$S$3,1)</definedName>
    <definedName name="SourceE_01" localSheetId="8">OFFSET(SourceE!$U$6,0,0,SourceE!$S$3,1)</definedName>
    <definedName name="SourceE_02" localSheetId="8">OFFSET(SourceE!$V$6,0,0,SourceE!$S$3,1)</definedName>
    <definedName name="SourceE_03" localSheetId="8">OFFSET(SourceE!$W$6,0,0,SourceE!$S$3,1)</definedName>
    <definedName name="SourceE_04" localSheetId="8">OFFSET(SourceE!$X$6,0,0,SourceE!$S$3,1)</definedName>
    <definedName name="SourceE_05" localSheetId="8">OFFSET(SourceE!$Y$6,0,0,SourceE!$S$3,1)</definedName>
    <definedName name="SourceE_06" localSheetId="8">OFFSET(SourceE!$Z$6,0,0,SourceE!$S$3,1)</definedName>
    <definedName name="SourceE_07" localSheetId="8">OFFSET(SourceE!$AA$6,0,0,SourceE!$S$3,1)</definedName>
    <definedName name="SourceE_08" localSheetId="8">OFFSET(SourceE!$AB$6,0,0,SourceE!$S$3,1)</definedName>
    <definedName name="SourceE_09" localSheetId="8">OFFSET(SourceE!$AC$6,0,0,SourceE!$S$3,1)</definedName>
    <definedName name="SourceE_10" localSheetId="8">OFFSET(SourceE!$AD$6,0,0,SourceE!$S$3,1)</definedName>
    <definedName name="SourceE_11" localSheetId="8">OFFSET(SourceE!$AE$6,0,0,SourceE!$S$3,1)</definedName>
    <definedName name="SourceE_12" localSheetId="8">OFFSET(SourceE!$AF$6,0,0,SourceE!$S$3,1)</definedName>
    <definedName name="SourceE_13" localSheetId="8">OFFSET(SourceE!$AG$6,0,0,SourceE!$S$3,1)</definedName>
    <definedName name="SourceE_14" localSheetId="8">OFFSET(SourceE!$AH$6,0,0,SourceE!$S$3,1)</definedName>
    <definedName name="SourceE_15" localSheetId="8">OFFSET(SourceE!$AI$6,0,0,SourceE!$S$3,1)</definedName>
    <definedName name="SourceE_16" localSheetId="8">OFFSET(SourceE!$AJ$6,0,0,SourceE!$S$3,1)</definedName>
    <definedName name="SourceE_17" localSheetId="8">OFFSET(SourceE!$AK$6,0,0,SourceE!$S$3,1)</definedName>
    <definedName name="SourceE_18" localSheetId="8">OFFSET(SourceE!$AL$6,0,0,SourceE!$S$3,1)</definedName>
    <definedName name="SourceE_19" localSheetId="8">OFFSET(SourceE!$AM$6,0,0,SourceE!$S$3,1)</definedName>
    <definedName name="SourceE_20" localSheetId="8">OFFSET(SourceE!$AN$6,0,0,SourceE!$S$3,1)</definedName>
    <definedName name="SourceEUI_01" localSheetId="8">OFFSET(SourceE!$U$20,0,0,SourceE!$S$3,1)</definedName>
    <definedName name="SourceEUI_02" localSheetId="8">OFFSET(SourceE!$V$20,0,0,SourceE!$S$3,1)</definedName>
    <definedName name="SourceEUI_03" localSheetId="8">OFFSET(SourceE!$W$20,0,0,SourceE!$S$3,1)</definedName>
    <definedName name="SourceEUI_04" localSheetId="8">OFFSET(SourceE!$X$20,0,0,SourceE!$S$3,1)</definedName>
    <definedName name="SourceEUI_05" localSheetId="8">OFFSET(SourceE!$Y$20,0,0,SourceE!$S$3,1)</definedName>
    <definedName name="SourceEUI_06" localSheetId="8">OFFSET(SourceE!$Z$20,0,0,SourceE!$S$3,1)</definedName>
    <definedName name="SourceEUI_07" localSheetId="8">OFFSET(SourceE!$AA$20,0,0,SourceE!$S$3,1)</definedName>
    <definedName name="SourceEUI_08" localSheetId="8">OFFSET(SourceE!$AB$20,0,0,SourceE!$S$3,1)</definedName>
    <definedName name="SourceEUI_09" localSheetId="8">OFFSET(SourceE!$AC$20,0,0,SourceE!$S$3,1)</definedName>
    <definedName name="SourceEUI_10" localSheetId="8">OFFSET(SourceE!$AD$20,0,0,SourceE!$S$3,1)</definedName>
    <definedName name="SourceEUI_11" localSheetId="8">OFFSET(SourceE!$AE$20,0,0,SourceE!$S$3,1)</definedName>
    <definedName name="SourceEUI_12" localSheetId="8">OFFSET(SourceE!$AF$20,0,0,SourceE!$S$3,1)</definedName>
    <definedName name="SourceEUI_13" localSheetId="8">OFFSET(SourceE!$AG$20,0,0,SourceE!$S$3,1)</definedName>
    <definedName name="SourceEUI_14" localSheetId="8">OFFSET(SourceE!$AH$20,0,0,SourceE!$S$3,1)</definedName>
    <definedName name="SourceEUI_15" localSheetId="8">OFFSET(SourceE!$AI$20,0,0,SourceE!$S$3,1)</definedName>
    <definedName name="SourceEUI_16" localSheetId="8">OFFSET(SourceE!$AJ$20,0,0,SourceE!$S$3,1)</definedName>
    <definedName name="SourceEUI_17" localSheetId="8">OFFSET(SourceE!$AK$20,0,0,SourceE!$S$3,1)</definedName>
    <definedName name="SourceEUI_18" localSheetId="8">OFFSET(SourceE!$AL$20,0,0,SourceE!$S$3,1)</definedName>
    <definedName name="SourceEUI_19" localSheetId="8">OFFSET(SourceE!$AM$20,0,0,SourceE!$S$3,1)</definedName>
    <definedName name="SourceEUI_20" localSheetId="8">OFFSET(SourceE!$AN$20,0,0,SourceE!$S$3,1)</definedName>
    <definedName name="therm_kwh" localSheetId="19">Conversions!$M$25</definedName>
    <definedName name="ton_btuph" localSheetId="19">Conversions!$M$19</definedName>
    <definedName name="ton_kW" localSheetId="19">Conversions!$M$22</definedName>
    <definedName name="w_btuph" localSheetId="19">Conversions!$M$17</definedName>
    <definedName name="W_to_Btu_h" localSheetId="19">Conversions!$M$17</definedName>
    <definedName name="YesNo">Menus!$A$10:$A$11</definedName>
  </definedNames>
  <calcPr calcId="191029"/>
  <fileRecoveryPr repairLoad="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1" i="30" l="1"/>
  <c r="I1" i="30"/>
  <c r="J1" i="30"/>
  <c r="K1" i="30"/>
  <c r="L1" i="30"/>
  <c r="M1" i="30"/>
  <c r="N1" i="30"/>
  <c r="O1" i="30"/>
  <c r="P1" i="30"/>
  <c r="Q1" i="30"/>
  <c r="R1" i="30"/>
  <c r="S1" i="30"/>
  <c r="T1" i="30"/>
  <c r="U1" i="30"/>
  <c r="V1" i="30"/>
  <c r="W1" i="30"/>
  <c r="X1" i="30"/>
  <c r="Y1" i="30"/>
  <c r="Z1" i="30"/>
  <c r="AA1" i="30"/>
  <c r="AB1" i="30"/>
  <c r="AC1" i="30"/>
  <c r="AD1" i="30"/>
  <c r="AE1" i="30"/>
  <c r="AF1" i="30"/>
  <c r="AG1" i="30"/>
  <c r="AH1" i="30"/>
  <c r="AI1" i="30"/>
  <c r="AJ1" i="30"/>
  <c r="AK1" i="30"/>
  <c r="AL1" i="30"/>
  <c r="AM1" i="30"/>
  <c r="AN1" i="30"/>
  <c r="AO1" i="30"/>
  <c r="AP1" i="30"/>
  <c r="AQ1" i="30"/>
  <c r="AR1" i="30"/>
  <c r="AZ1" i="30"/>
  <c r="BG1" i="30"/>
  <c r="BH1" i="30"/>
  <c r="BJ1" i="30"/>
  <c r="BK1" i="30"/>
  <c r="BN1" i="30"/>
  <c r="BP1" i="30"/>
  <c r="BQ1" i="30"/>
  <c r="BR1" i="30"/>
  <c r="BS1" i="30"/>
  <c r="BT1" i="30"/>
  <c r="BU1" i="30"/>
  <c r="BV1" i="30"/>
  <c r="BW1" i="30"/>
  <c r="CG1" i="30"/>
  <c r="CT1" i="30"/>
  <c r="CU1" i="30"/>
  <c r="CV1" i="30"/>
  <c r="CW1" i="30"/>
  <c r="CX1" i="30"/>
  <c r="CY1" i="30"/>
  <c r="CZ1" i="30"/>
  <c r="DA1" i="30"/>
  <c r="DB1" i="30"/>
  <c r="DF1" i="30"/>
  <c r="DG1" i="30"/>
  <c r="DH1" i="30"/>
  <c r="DI1" i="30"/>
  <c r="DJ1" i="30"/>
  <c r="DK1" i="30"/>
  <c r="DL1" i="30"/>
  <c r="DM1" i="30"/>
  <c r="DN1" i="30"/>
  <c r="DO1" i="30"/>
  <c r="DP1" i="30"/>
  <c r="DQ1" i="30"/>
  <c r="DR1" i="30"/>
  <c r="D4" i="46"/>
  <c r="E4" i="46"/>
  <c r="C4" i="46"/>
  <c r="AU49" i="17"/>
  <c r="D9" i="46"/>
  <c r="E9" i="46"/>
  <c r="C9" i="46"/>
  <c r="B136" i="45"/>
  <c r="B114" i="45"/>
  <c r="B92" i="45"/>
  <c r="B26" i="45"/>
  <c r="B48" i="45"/>
  <c r="B70" i="45"/>
  <c r="BJ47" i="17" l="1"/>
  <c r="BJ46" i="17"/>
  <c r="BJ45" i="17"/>
  <c r="BJ44" i="17"/>
  <c r="BJ43" i="17"/>
  <c r="BJ42" i="17"/>
  <c r="BJ41" i="17"/>
  <c r="BJ40" i="17"/>
  <c r="BJ39" i="17"/>
  <c r="BJ38" i="17"/>
  <c r="BJ37" i="17"/>
  <c r="BJ36" i="17"/>
  <c r="BO36" i="17" s="1"/>
  <c r="I100" i="45" s="1"/>
  <c r="BJ35" i="17"/>
  <c r="BJ28" i="17"/>
  <c r="BJ7" i="17"/>
  <c r="BJ29" i="17" s="1"/>
  <c r="BJ8" i="17"/>
  <c r="BJ30" i="17" s="1"/>
  <c r="BJ9" i="17"/>
  <c r="BJ31" i="17" s="1"/>
  <c r="BJ10" i="17"/>
  <c r="BJ32" i="17" s="1"/>
  <c r="BJ11" i="17"/>
  <c r="BJ33" i="17" s="1"/>
  <c r="BJ12" i="17"/>
  <c r="BJ34" i="17" s="1"/>
  <c r="BJ13" i="17"/>
  <c r="BJ14" i="17"/>
  <c r="BJ15" i="17"/>
  <c r="BJ16" i="17"/>
  <c r="BJ6" i="17"/>
  <c r="AY29" i="17"/>
  <c r="AY30" i="17"/>
  <c r="BD30" i="17" s="1"/>
  <c r="H94" i="45" s="1"/>
  <c r="AY31" i="17"/>
  <c r="BD31" i="17" s="1"/>
  <c r="H95" i="45" s="1"/>
  <c r="AY32" i="17"/>
  <c r="BD32" i="17" s="1"/>
  <c r="H96" i="45" s="1"/>
  <c r="AY33" i="17"/>
  <c r="AY34" i="17"/>
  <c r="BD34" i="17" s="1"/>
  <c r="H98" i="45" s="1"/>
  <c r="AY35" i="17"/>
  <c r="AY36" i="17"/>
  <c r="AY37" i="17"/>
  <c r="AY38" i="17"/>
  <c r="AY39" i="17"/>
  <c r="AY40" i="17"/>
  <c r="BD40" i="17" s="1"/>
  <c r="H104" i="45" s="1"/>
  <c r="AY41" i="17"/>
  <c r="BD41" i="17" s="1"/>
  <c r="H105" i="45" s="1"/>
  <c r="AY42" i="17"/>
  <c r="BD42" i="17" s="1"/>
  <c r="H106" i="45" s="1"/>
  <c r="AY43" i="17"/>
  <c r="BD43" i="17" s="1"/>
  <c r="H107" i="45" s="1"/>
  <c r="AY44" i="17"/>
  <c r="BD44" i="17" s="1"/>
  <c r="H108" i="45" s="1"/>
  <c r="AY45" i="17"/>
  <c r="BD45" i="17" s="1"/>
  <c r="H109" i="45" s="1"/>
  <c r="AY46" i="17"/>
  <c r="AY47" i="17"/>
  <c r="BD47" i="17" s="1"/>
  <c r="H111" i="45" s="1"/>
  <c r="AY28" i="17"/>
  <c r="BN63" i="17"/>
  <c r="I127" i="45" s="1"/>
  <c r="BN62" i="17"/>
  <c r="I126" i="45" s="1"/>
  <c r="BN61" i="17"/>
  <c r="I125" i="45" s="1"/>
  <c r="BN51" i="17"/>
  <c r="I115" i="45" s="1"/>
  <c r="BN50" i="17"/>
  <c r="I114" i="45" s="1"/>
  <c r="BN47" i="17"/>
  <c r="I89" i="45" s="1"/>
  <c r="BN37" i="17"/>
  <c r="I79" i="45" s="1"/>
  <c r="BN36" i="17"/>
  <c r="I78" i="45" s="1"/>
  <c r="BN35" i="17"/>
  <c r="I77" i="45" s="1"/>
  <c r="I26" i="45"/>
  <c r="H39" i="45"/>
  <c r="H45" i="45"/>
  <c r="G33" i="45"/>
  <c r="F26" i="45"/>
  <c r="E44" i="45"/>
  <c r="D55" i="45"/>
  <c r="D56" i="45"/>
  <c r="BF7" i="17"/>
  <c r="BF8" i="17"/>
  <c r="BF9" i="17"/>
  <c r="BF10" i="17"/>
  <c r="BF11" i="17"/>
  <c r="BF12" i="17"/>
  <c r="BF13" i="17"/>
  <c r="BF14" i="17"/>
  <c r="BF15" i="17"/>
  <c r="BF16" i="17"/>
  <c r="BF6" i="17"/>
  <c r="BG4" i="17"/>
  <c r="BJ4" i="17"/>
  <c r="BO46" i="17"/>
  <c r="I110" i="45" s="1"/>
  <c r="BO68" i="17"/>
  <c r="I154" i="45" s="1"/>
  <c r="BF4" i="17"/>
  <c r="BN25" i="17" s="1"/>
  <c r="BF3" i="17"/>
  <c r="AU3" i="17"/>
  <c r="BD69" i="17"/>
  <c r="H155" i="45" s="1"/>
  <c r="BC69" i="17"/>
  <c r="H133" i="45" s="1"/>
  <c r="BD68" i="17"/>
  <c r="H154" i="45" s="1"/>
  <c r="BC68" i="17"/>
  <c r="H132" i="45" s="1"/>
  <c r="BD67" i="17"/>
  <c r="H153" i="45" s="1"/>
  <c r="BC67" i="17"/>
  <c r="H131" i="45" s="1"/>
  <c r="BD66" i="17"/>
  <c r="H152" i="45" s="1"/>
  <c r="BC66" i="17"/>
  <c r="H130" i="45" s="1"/>
  <c r="BD65" i="17"/>
  <c r="H151" i="45" s="1"/>
  <c r="BC65" i="17"/>
  <c r="H129" i="45" s="1"/>
  <c r="BD64" i="17"/>
  <c r="H150" i="45" s="1"/>
  <c r="BC64" i="17"/>
  <c r="H128" i="45" s="1"/>
  <c r="BD63" i="17"/>
  <c r="H149" i="45" s="1"/>
  <c r="BC63" i="17"/>
  <c r="H127" i="45" s="1"/>
  <c r="BD62" i="17"/>
  <c r="H148" i="45" s="1"/>
  <c r="BC62" i="17"/>
  <c r="H126" i="45" s="1"/>
  <c r="BD61" i="17"/>
  <c r="H147" i="45" s="1"/>
  <c r="BC61" i="17"/>
  <c r="H125" i="45" s="1"/>
  <c r="BD60" i="17"/>
  <c r="H146" i="45" s="1"/>
  <c r="BC60" i="17"/>
  <c r="H124" i="45" s="1"/>
  <c r="BD59" i="17"/>
  <c r="H145" i="45" s="1"/>
  <c r="BC59" i="17"/>
  <c r="H123" i="45" s="1"/>
  <c r="BD58" i="17"/>
  <c r="H144" i="45" s="1"/>
  <c r="BC58" i="17"/>
  <c r="H122" i="45" s="1"/>
  <c r="BD57" i="17"/>
  <c r="H143" i="45" s="1"/>
  <c r="BC57" i="17"/>
  <c r="H121" i="45" s="1"/>
  <c r="BD56" i="17"/>
  <c r="H142" i="45" s="1"/>
  <c r="BC56" i="17"/>
  <c r="H120" i="45" s="1"/>
  <c r="BD55" i="17"/>
  <c r="H141" i="45" s="1"/>
  <c r="BC55" i="17"/>
  <c r="H119" i="45" s="1"/>
  <c r="BD54" i="17"/>
  <c r="H140" i="45" s="1"/>
  <c r="BC54" i="17"/>
  <c r="H118" i="45" s="1"/>
  <c r="BD53" i="17"/>
  <c r="H139" i="45" s="1"/>
  <c r="BC53" i="17"/>
  <c r="H117" i="45" s="1"/>
  <c r="BD52" i="17"/>
  <c r="H138" i="45" s="1"/>
  <c r="BC52" i="17"/>
  <c r="H116" i="45" s="1"/>
  <c r="BD51" i="17"/>
  <c r="H137" i="45" s="1"/>
  <c r="BC51" i="17"/>
  <c r="H115" i="45" s="1"/>
  <c r="BD50" i="17"/>
  <c r="H136" i="45" s="1"/>
  <c r="BC50" i="17"/>
  <c r="H114" i="45" s="1"/>
  <c r="BC47" i="17"/>
  <c r="H89" i="45" s="1"/>
  <c r="BD46" i="17"/>
  <c r="H110" i="45" s="1"/>
  <c r="BC46" i="17"/>
  <c r="H88" i="45" s="1"/>
  <c r="BC45" i="17"/>
  <c r="H87" i="45" s="1"/>
  <c r="BC44" i="17"/>
  <c r="H86" i="45" s="1"/>
  <c r="BC43" i="17"/>
  <c r="H85" i="45" s="1"/>
  <c r="BC42" i="17"/>
  <c r="H84" i="45" s="1"/>
  <c r="BC41" i="17"/>
  <c r="H83" i="45" s="1"/>
  <c r="BC40" i="17"/>
  <c r="H82" i="45" s="1"/>
  <c r="BD39" i="17"/>
  <c r="H103" i="45" s="1"/>
  <c r="BC39" i="17"/>
  <c r="H81" i="45" s="1"/>
  <c r="BD38" i="17"/>
  <c r="H102" i="45" s="1"/>
  <c r="BC38" i="17"/>
  <c r="H80" i="45" s="1"/>
  <c r="BD37" i="17"/>
  <c r="H101" i="45" s="1"/>
  <c r="BC37" i="17"/>
  <c r="H79" i="45" s="1"/>
  <c r="BD36" i="17"/>
  <c r="H100" i="45" s="1"/>
  <c r="BC36" i="17"/>
  <c r="H78" i="45" s="1"/>
  <c r="BD35" i="17"/>
  <c r="H99" i="45" s="1"/>
  <c r="BC35" i="17"/>
  <c r="H77" i="45" s="1"/>
  <c r="BC34" i="17"/>
  <c r="H76" i="45" s="1"/>
  <c r="BD33" i="17"/>
  <c r="H97" i="45" s="1"/>
  <c r="BC33" i="17"/>
  <c r="H75" i="45" s="1"/>
  <c r="BC32" i="17"/>
  <c r="H74" i="45" s="1"/>
  <c r="BC31" i="17"/>
  <c r="H73" i="45" s="1"/>
  <c r="BC30" i="17"/>
  <c r="H72" i="45" s="1"/>
  <c r="BD29" i="17"/>
  <c r="H93" i="45" s="1"/>
  <c r="BC29" i="17"/>
  <c r="H71" i="45" s="1"/>
  <c r="BD28" i="17"/>
  <c r="H92" i="45" s="1"/>
  <c r="BC28" i="17"/>
  <c r="H70" i="45" s="1"/>
  <c r="BD25" i="17"/>
  <c r="H67" i="45" s="1"/>
  <c r="BC25" i="17"/>
  <c r="BD24" i="17"/>
  <c r="H66" i="45" s="1"/>
  <c r="BC24" i="17"/>
  <c r="H44" i="45" s="1"/>
  <c r="BD23" i="17"/>
  <c r="H65" i="45" s="1"/>
  <c r="BC23" i="17"/>
  <c r="H43" i="45" s="1"/>
  <c r="BD22" i="17"/>
  <c r="H64" i="45" s="1"/>
  <c r="BC22" i="17"/>
  <c r="H42" i="45" s="1"/>
  <c r="BD21" i="17"/>
  <c r="H63" i="45" s="1"/>
  <c r="BC21" i="17"/>
  <c r="H41" i="45" s="1"/>
  <c r="BD20" i="17"/>
  <c r="H62" i="45" s="1"/>
  <c r="BC20" i="17"/>
  <c r="H40" i="45" s="1"/>
  <c r="BD19" i="17"/>
  <c r="H61" i="45" s="1"/>
  <c r="BC19" i="17"/>
  <c r="BD18" i="17"/>
  <c r="H60" i="45" s="1"/>
  <c r="BC18" i="17"/>
  <c r="H38" i="45" s="1"/>
  <c r="BD17" i="17"/>
  <c r="H59" i="45" s="1"/>
  <c r="BC17" i="17"/>
  <c r="H37" i="45" s="1"/>
  <c r="BD16" i="17"/>
  <c r="H58" i="45" s="1"/>
  <c r="BC16" i="17"/>
  <c r="H36" i="45" s="1"/>
  <c r="BD15" i="17"/>
  <c r="H57" i="45" s="1"/>
  <c r="BC15" i="17"/>
  <c r="H35" i="45" s="1"/>
  <c r="BD14" i="17"/>
  <c r="H56" i="45" s="1"/>
  <c r="BC14" i="17"/>
  <c r="H34" i="45" s="1"/>
  <c r="BD13" i="17"/>
  <c r="H55" i="45" s="1"/>
  <c r="BC13" i="17"/>
  <c r="H33" i="45" s="1"/>
  <c r="BD12" i="17"/>
  <c r="H54" i="45" s="1"/>
  <c r="BC12" i="17"/>
  <c r="H32" i="45" s="1"/>
  <c r="BD11" i="17"/>
  <c r="H53" i="45" s="1"/>
  <c r="BC11" i="17"/>
  <c r="H31" i="45" s="1"/>
  <c r="BD10" i="17"/>
  <c r="H52" i="45" s="1"/>
  <c r="BC10" i="17"/>
  <c r="H30" i="45" s="1"/>
  <c r="BD9" i="17"/>
  <c r="H51" i="45" s="1"/>
  <c r="BC9" i="17"/>
  <c r="H29" i="45" s="1"/>
  <c r="BD8" i="17"/>
  <c r="H50" i="45" s="1"/>
  <c r="BC8" i="17"/>
  <c r="H28" i="45" s="1"/>
  <c r="BD7" i="17"/>
  <c r="H49" i="45" s="1"/>
  <c r="BC7" i="17"/>
  <c r="H27" i="45" s="1"/>
  <c r="BD6" i="17"/>
  <c r="H48" i="45" s="1"/>
  <c r="BC6" i="17"/>
  <c r="H26" i="45" s="1"/>
  <c r="AU27" i="17"/>
  <c r="AU5" i="17"/>
  <c r="BF5" i="17" s="1"/>
  <c r="AJ49" i="17"/>
  <c r="AJ27" i="17"/>
  <c r="AJ5" i="17"/>
  <c r="AS69" i="17"/>
  <c r="G155" i="45" s="1"/>
  <c r="AR69" i="17"/>
  <c r="G133" i="45" s="1"/>
  <c r="AS68" i="17"/>
  <c r="G154" i="45" s="1"/>
  <c r="AR68" i="17"/>
  <c r="G132" i="45" s="1"/>
  <c r="AS67" i="17"/>
  <c r="G153" i="45" s="1"/>
  <c r="AR67" i="17"/>
  <c r="G131" i="45" s="1"/>
  <c r="AS66" i="17"/>
  <c r="G152" i="45" s="1"/>
  <c r="AR66" i="17"/>
  <c r="G130" i="45" s="1"/>
  <c r="AS65" i="17"/>
  <c r="G151" i="45" s="1"/>
  <c r="AR65" i="17"/>
  <c r="G129" i="45" s="1"/>
  <c r="AS64" i="17"/>
  <c r="G150" i="45" s="1"/>
  <c r="AR64" i="17"/>
  <c r="G128" i="45" s="1"/>
  <c r="AS63" i="17"/>
  <c r="G149" i="45" s="1"/>
  <c r="AR63" i="17"/>
  <c r="G127" i="45" s="1"/>
  <c r="AS62" i="17"/>
  <c r="G148" i="45" s="1"/>
  <c r="AR62" i="17"/>
  <c r="G126" i="45" s="1"/>
  <c r="AS61" i="17"/>
  <c r="G147" i="45" s="1"/>
  <c r="AR61" i="17"/>
  <c r="G125" i="45" s="1"/>
  <c r="AS60" i="17"/>
  <c r="G146" i="45" s="1"/>
  <c r="AR60" i="17"/>
  <c r="G124" i="45" s="1"/>
  <c r="AS59" i="17"/>
  <c r="G145" i="45" s="1"/>
  <c r="AR59" i="17"/>
  <c r="G123" i="45" s="1"/>
  <c r="AS58" i="17"/>
  <c r="G144" i="45" s="1"/>
  <c r="AR58" i="17"/>
  <c r="G122" i="45" s="1"/>
  <c r="AS57" i="17"/>
  <c r="G143" i="45" s="1"/>
  <c r="AR57" i="17"/>
  <c r="G121" i="45" s="1"/>
  <c r="AS56" i="17"/>
  <c r="G142" i="45" s="1"/>
  <c r="AR56" i="17"/>
  <c r="G120" i="45" s="1"/>
  <c r="AS55" i="17"/>
  <c r="G141" i="45" s="1"/>
  <c r="AR55" i="17"/>
  <c r="G119" i="45" s="1"/>
  <c r="AS54" i="17"/>
  <c r="G140" i="45" s="1"/>
  <c r="AR54" i="17"/>
  <c r="G118" i="45" s="1"/>
  <c r="AS53" i="17"/>
  <c r="G139" i="45" s="1"/>
  <c r="AR53" i="17"/>
  <c r="G117" i="45" s="1"/>
  <c r="AS52" i="17"/>
  <c r="G138" i="45" s="1"/>
  <c r="AR52" i="17"/>
  <c r="G116" i="45" s="1"/>
  <c r="AS51" i="17"/>
  <c r="G137" i="45" s="1"/>
  <c r="AR51" i="17"/>
  <c r="G115" i="45" s="1"/>
  <c r="AS50" i="17"/>
  <c r="G136" i="45" s="1"/>
  <c r="AR50" i="17"/>
  <c r="G114" i="45" s="1"/>
  <c r="AS47" i="17"/>
  <c r="G111" i="45" s="1"/>
  <c r="AR47" i="17"/>
  <c r="G89" i="45" s="1"/>
  <c r="AS46" i="17"/>
  <c r="G110" i="45" s="1"/>
  <c r="AR46" i="17"/>
  <c r="G88" i="45" s="1"/>
  <c r="AS45" i="17"/>
  <c r="G109" i="45" s="1"/>
  <c r="AR45" i="17"/>
  <c r="G87" i="45" s="1"/>
  <c r="AS44" i="17"/>
  <c r="G108" i="45" s="1"/>
  <c r="AR44" i="17"/>
  <c r="G86" i="45" s="1"/>
  <c r="AS43" i="17"/>
  <c r="G107" i="45" s="1"/>
  <c r="AR43" i="17"/>
  <c r="G85" i="45" s="1"/>
  <c r="AS42" i="17"/>
  <c r="G106" i="45" s="1"/>
  <c r="AR42" i="17"/>
  <c r="G84" i="45" s="1"/>
  <c r="AS41" i="17"/>
  <c r="G105" i="45" s="1"/>
  <c r="AR41" i="17"/>
  <c r="G83" i="45" s="1"/>
  <c r="AS40" i="17"/>
  <c r="G104" i="45" s="1"/>
  <c r="AR40" i="17"/>
  <c r="G82" i="45" s="1"/>
  <c r="AR39" i="17"/>
  <c r="G81" i="45" s="1"/>
  <c r="AR38" i="17"/>
  <c r="G80" i="45" s="1"/>
  <c r="AS37" i="17"/>
  <c r="G101" i="45" s="1"/>
  <c r="AR37" i="17"/>
  <c r="G79" i="45" s="1"/>
  <c r="AS36" i="17"/>
  <c r="G100" i="45" s="1"/>
  <c r="AR36" i="17"/>
  <c r="G78" i="45" s="1"/>
  <c r="AS35" i="17"/>
  <c r="G99" i="45" s="1"/>
  <c r="AR35" i="17"/>
  <c r="G77" i="45" s="1"/>
  <c r="AS34" i="17"/>
  <c r="G98" i="45" s="1"/>
  <c r="AR34" i="17"/>
  <c r="G76" i="45" s="1"/>
  <c r="AS33" i="17"/>
  <c r="G97" i="45" s="1"/>
  <c r="AR33" i="17"/>
  <c r="G75" i="45" s="1"/>
  <c r="AS32" i="17"/>
  <c r="G96" i="45" s="1"/>
  <c r="AR32" i="17"/>
  <c r="G74" i="45" s="1"/>
  <c r="AS31" i="17"/>
  <c r="G95" i="45" s="1"/>
  <c r="AR31" i="17"/>
  <c r="G73" i="45" s="1"/>
  <c r="AS30" i="17"/>
  <c r="G94" i="45" s="1"/>
  <c r="AR30" i="17"/>
  <c r="G72" i="45" s="1"/>
  <c r="AS29" i="17"/>
  <c r="G93" i="45" s="1"/>
  <c r="AR29" i="17"/>
  <c r="G71" i="45" s="1"/>
  <c r="AS28" i="17"/>
  <c r="G92" i="45" s="1"/>
  <c r="AR28" i="17"/>
  <c r="G70" i="45" s="1"/>
  <c r="AS25" i="17"/>
  <c r="G67" i="45" s="1"/>
  <c r="AR25" i="17"/>
  <c r="G45" i="45" s="1"/>
  <c r="AS24" i="17"/>
  <c r="G66" i="45" s="1"/>
  <c r="AR24" i="17"/>
  <c r="G44" i="45" s="1"/>
  <c r="AS23" i="17"/>
  <c r="G65" i="45" s="1"/>
  <c r="AR23" i="17"/>
  <c r="G43" i="45" s="1"/>
  <c r="AS22" i="17"/>
  <c r="G64" i="45" s="1"/>
  <c r="AR22" i="17"/>
  <c r="G42" i="45" s="1"/>
  <c r="AS21" i="17"/>
  <c r="G63" i="45" s="1"/>
  <c r="AR21" i="17"/>
  <c r="G41" i="45" s="1"/>
  <c r="AS20" i="17"/>
  <c r="G62" i="45" s="1"/>
  <c r="AR20" i="17"/>
  <c r="G40" i="45" s="1"/>
  <c r="AS19" i="17"/>
  <c r="G61" i="45" s="1"/>
  <c r="AR19" i="17"/>
  <c r="G39" i="45" s="1"/>
  <c r="AS18" i="17"/>
  <c r="G60" i="45" s="1"/>
  <c r="AR18" i="17"/>
  <c r="G38" i="45" s="1"/>
  <c r="AR17" i="17"/>
  <c r="G37" i="45" s="1"/>
  <c r="AR16" i="17"/>
  <c r="G36" i="45" s="1"/>
  <c r="AS15" i="17"/>
  <c r="G57" i="45" s="1"/>
  <c r="AR15" i="17"/>
  <c r="G35" i="45" s="1"/>
  <c r="AS14" i="17"/>
  <c r="G56" i="45" s="1"/>
  <c r="AR14" i="17"/>
  <c r="G34" i="45" s="1"/>
  <c r="AS13" i="17"/>
  <c r="G55" i="45" s="1"/>
  <c r="AR13" i="17"/>
  <c r="AS12" i="17"/>
  <c r="G54" i="45" s="1"/>
  <c r="AR12" i="17"/>
  <c r="G32" i="45" s="1"/>
  <c r="AS11" i="17"/>
  <c r="G53" i="45" s="1"/>
  <c r="AR11" i="17"/>
  <c r="G31" i="45" s="1"/>
  <c r="AS10" i="17"/>
  <c r="G52" i="45" s="1"/>
  <c r="AR10" i="17"/>
  <c r="G30" i="45" s="1"/>
  <c r="AS9" i="17"/>
  <c r="G51" i="45" s="1"/>
  <c r="AR9" i="17"/>
  <c r="G29" i="45" s="1"/>
  <c r="AS8" i="17"/>
  <c r="G50" i="45" s="1"/>
  <c r="AR8" i="17"/>
  <c r="G28" i="45" s="1"/>
  <c r="AS7" i="17"/>
  <c r="G49" i="45" s="1"/>
  <c r="AR7" i="17"/>
  <c r="G27" i="45" s="1"/>
  <c r="AS6" i="17"/>
  <c r="G48" i="45" s="1"/>
  <c r="AR6" i="17"/>
  <c r="G26" i="45" s="1"/>
  <c r="C49" i="17"/>
  <c r="I13" i="45"/>
  <c r="I14" i="45"/>
  <c r="I12" i="45"/>
  <c r="BF49" i="17" s="1"/>
  <c r="N49" i="17"/>
  <c r="AH69" i="17"/>
  <c r="F155" i="45" s="1"/>
  <c r="AG69" i="17"/>
  <c r="F133" i="45" s="1"/>
  <c r="AH68" i="17"/>
  <c r="F154" i="45" s="1"/>
  <c r="AG68" i="17"/>
  <c r="F132" i="45" s="1"/>
  <c r="AH67" i="17"/>
  <c r="F153" i="45" s="1"/>
  <c r="AG67" i="17"/>
  <c r="F131" i="45" s="1"/>
  <c r="AH66" i="17"/>
  <c r="F152" i="45" s="1"/>
  <c r="AG66" i="17"/>
  <c r="F130" i="45" s="1"/>
  <c r="AH65" i="17"/>
  <c r="F151" i="45" s="1"/>
  <c r="AG65" i="17"/>
  <c r="F129" i="45" s="1"/>
  <c r="AH64" i="17"/>
  <c r="F150" i="45" s="1"/>
  <c r="AG64" i="17"/>
  <c r="F128" i="45" s="1"/>
  <c r="AH63" i="17"/>
  <c r="F149" i="45" s="1"/>
  <c r="AG63" i="17"/>
  <c r="F127" i="45" s="1"/>
  <c r="AH62" i="17"/>
  <c r="F148" i="45" s="1"/>
  <c r="AG62" i="17"/>
  <c r="F126" i="45" s="1"/>
  <c r="AH61" i="17"/>
  <c r="F147" i="45" s="1"/>
  <c r="AG61" i="17"/>
  <c r="F125" i="45" s="1"/>
  <c r="AH60" i="17"/>
  <c r="F146" i="45" s="1"/>
  <c r="AG60" i="17"/>
  <c r="F124" i="45" s="1"/>
  <c r="AH59" i="17"/>
  <c r="F145" i="45" s="1"/>
  <c r="AG59" i="17"/>
  <c r="F123" i="45" s="1"/>
  <c r="AH58" i="17"/>
  <c r="F144" i="45" s="1"/>
  <c r="AG58" i="17"/>
  <c r="F122" i="45" s="1"/>
  <c r="AH57" i="17"/>
  <c r="F143" i="45" s="1"/>
  <c r="AG57" i="17"/>
  <c r="F121" i="45" s="1"/>
  <c r="AH56" i="17"/>
  <c r="F142" i="45" s="1"/>
  <c r="AG56" i="17"/>
  <c r="F120" i="45" s="1"/>
  <c r="AH55" i="17"/>
  <c r="F141" i="45" s="1"/>
  <c r="AG55" i="17"/>
  <c r="F119" i="45" s="1"/>
  <c r="AH54" i="17"/>
  <c r="F140" i="45" s="1"/>
  <c r="AG54" i="17"/>
  <c r="F118" i="45" s="1"/>
  <c r="AH53" i="17"/>
  <c r="F139" i="45" s="1"/>
  <c r="AG53" i="17"/>
  <c r="F117" i="45" s="1"/>
  <c r="AH52" i="17"/>
  <c r="F138" i="45" s="1"/>
  <c r="AG52" i="17"/>
  <c r="F116" i="45" s="1"/>
  <c r="AH51" i="17"/>
  <c r="F137" i="45" s="1"/>
  <c r="AG51" i="17"/>
  <c r="F115" i="45" s="1"/>
  <c r="AH50" i="17"/>
  <c r="F136" i="45" s="1"/>
  <c r="AG50" i="17"/>
  <c r="F114" i="45" s="1"/>
  <c r="AH47" i="17"/>
  <c r="F111" i="45" s="1"/>
  <c r="AG47" i="17"/>
  <c r="F89" i="45" s="1"/>
  <c r="AH46" i="17"/>
  <c r="F110" i="45" s="1"/>
  <c r="AG46" i="17"/>
  <c r="F88" i="45" s="1"/>
  <c r="AH45" i="17"/>
  <c r="F109" i="45" s="1"/>
  <c r="AG45" i="17"/>
  <c r="F87" i="45" s="1"/>
  <c r="AH44" i="17"/>
  <c r="F108" i="45" s="1"/>
  <c r="AG44" i="17"/>
  <c r="F86" i="45" s="1"/>
  <c r="AH43" i="17"/>
  <c r="F107" i="45" s="1"/>
  <c r="AG43" i="17"/>
  <c r="F85" i="45" s="1"/>
  <c r="AH42" i="17"/>
  <c r="F106" i="45" s="1"/>
  <c r="AG42" i="17"/>
  <c r="F84" i="45" s="1"/>
  <c r="AH41" i="17"/>
  <c r="F105" i="45" s="1"/>
  <c r="AG41" i="17"/>
  <c r="F83" i="45" s="1"/>
  <c r="AH40" i="17"/>
  <c r="F104" i="45" s="1"/>
  <c r="AG40" i="17"/>
  <c r="F82" i="45" s="1"/>
  <c r="AH39" i="17"/>
  <c r="F103" i="45" s="1"/>
  <c r="AG39" i="17"/>
  <c r="F81" i="45" s="1"/>
  <c r="AG38" i="17"/>
  <c r="F80" i="45" s="1"/>
  <c r="AH37" i="17"/>
  <c r="F101" i="45" s="1"/>
  <c r="AG37" i="17"/>
  <c r="F79" i="45" s="1"/>
  <c r="AH36" i="17"/>
  <c r="F100" i="45" s="1"/>
  <c r="AG36" i="17"/>
  <c r="F78" i="45" s="1"/>
  <c r="AH35" i="17"/>
  <c r="F99" i="45" s="1"/>
  <c r="AG35" i="17"/>
  <c r="F77" i="45" s="1"/>
  <c r="AH34" i="17"/>
  <c r="F98" i="45" s="1"/>
  <c r="AG34" i="17"/>
  <c r="F76" i="45" s="1"/>
  <c r="AH33" i="17"/>
  <c r="F97" i="45" s="1"/>
  <c r="AG33" i="17"/>
  <c r="F75" i="45" s="1"/>
  <c r="AH32" i="17"/>
  <c r="F96" i="45" s="1"/>
  <c r="AG32" i="17"/>
  <c r="F74" i="45" s="1"/>
  <c r="AH31" i="17"/>
  <c r="F95" i="45" s="1"/>
  <c r="AG31" i="17"/>
  <c r="F73" i="45" s="1"/>
  <c r="AH30" i="17"/>
  <c r="F94" i="45" s="1"/>
  <c r="AG30" i="17"/>
  <c r="F72" i="45" s="1"/>
  <c r="AH29" i="17"/>
  <c r="F93" i="45" s="1"/>
  <c r="AG29" i="17"/>
  <c r="F71" i="45" s="1"/>
  <c r="AH28" i="17"/>
  <c r="F92" i="45" s="1"/>
  <c r="AG28" i="17"/>
  <c r="F70" i="45" s="1"/>
  <c r="Y49" i="17"/>
  <c r="Y27" i="17"/>
  <c r="Y5" i="17"/>
  <c r="S28" i="17"/>
  <c r="T28" i="17"/>
  <c r="S29" i="17"/>
  <c r="T29" i="17"/>
  <c r="S30" i="17"/>
  <c r="T30" i="17"/>
  <c r="S31" i="17"/>
  <c r="T31" i="17"/>
  <c r="S32" i="17"/>
  <c r="T32" i="17"/>
  <c r="S33" i="17"/>
  <c r="T33" i="17"/>
  <c r="S34" i="17"/>
  <c r="T34" i="17"/>
  <c r="S35" i="17"/>
  <c r="T35" i="17"/>
  <c r="S36" i="17"/>
  <c r="T36" i="17"/>
  <c r="S37" i="17"/>
  <c r="T37" i="17"/>
  <c r="S38" i="17"/>
  <c r="T38" i="17"/>
  <c r="S39" i="17"/>
  <c r="T39" i="17"/>
  <c r="S40" i="17"/>
  <c r="T40" i="17"/>
  <c r="S41" i="17"/>
  <c r="T41" i="17"/>
  <c r="S42" i="17"/>
  <c r="T42" i="17"/>
  <c r="S43" i="17"/>
  <c r="T43" i="17"/>
  <c r="S44" i="17"/>
  <c r="T44" i="17"/>
  <c r="S45" i="17"/>
  <c r="T45" i="17"/>
  <c r="S46" i="17"/>
  <c r="T46" i="17"/>
  <c r="R29" i="17"/>
  <c r="R30" i="17"/>
  <c r="W30" i="17" s="1"/>
  <c r="E94" i="45" s="1"/>
  <c r="R31" i="17"/>
  <c r="W31" i="17" s="1"/>
  <c r="E95" i="45" s="1"/>
  <c r="R32" i="17"/>
  <c r="W32" i="17" s="1"/>
  <c r="E96" i="45" s="1"/>
  <c r="R33" i="17"/>
  <c r="R34" i="17"/>
  <c r="R35" i="17"/>
  <c r="R36" i="17"/>
  <c r="W36" i="17" s="1"/>
  <c r="E100" i="45" s="1"/>
  <c r="R37" i="17"/>
  <c r="W37" i="17" s="1"/>
  <c r="E101" i="45" s="1"/>
  <c r="R38" i="17"/>
  <c r="W38" i="17" s="1"/>
  <c r="E102" i="45" s="1"/>
  <c r="R39" i="17"/>
  <c r="W39" i="17" s="1"/>
  <c r="E103" i="45" s="1"/>
  <c r="R40" i="17"/>
  <c r="W40" i="17" s="1"/>
  <c r="E104" i="45" s="1"/>
  <c r="R41" i="17"/>
  <c r="R42" i="17"/>
  <c r="W42" i="17" s="1"/>
  <c r="E106" i="45" s="1"/>
  <c r="R43" i="17"/>
  <c r="W43" i="17" s="1"/>
  <c r="E107" i="45" s="1"/>
  <c r="R44" i="17"/>
  <c r="W44" i="17" s="1"/>
  <c r="E108" i="45" s="1"/>
  <c r="R45" i="17"/>
  <c r="R46" i="17"/>
  <c r="R28" i="17"/>
  <c r="O28" i="17"/>
  <c r="P28" i="17"/>
  <c r="O29" i="17"/>
  <c r="P29" i="17"/>
  <c r="O30" i="17"/>
  <c r="P30" i="17"/>
  <c r="O31" i="17"/>
  <c r="P31" i="17"/>
  <c r="O32" i="17"/>
  <c r="P32" i="17"/>
  <c r="O33" i="17"/>
  <c r="P33" i="17"/>
  <c r="O34" i="17"/>
  <c r="P34" i="17"/>
  <c r="O35" i="17"/>
  <c r="P35" i="17"/>
  <c r="O36" i="17"/>
  <c r="P36" i="17"/>
  <c r="O37" i="17"/>
  <c r="P37" i="17"/>
  <c r="O38" i="17"/>
  <c r="P38" i="17"/>
  <c r="O39" i="17"/>
  <c r="P39" i="17"/>
  <c r="O40" i="17"/>
  <c r="P40" i="17"/>
  <c r="O41" i="17"/>
  <c r="P41" i="17"/>
  <c r="O42" i="17"/>
  <c r="P42" i="17"/>
  <c r="O43" i="17"/>
  <c r="P43" i="17"/>
  <c r="O44" i="17"/>
  <c r="P44" i="17"/>
  <c r="O45" i="17"/>
  <c r="P45" i="17"/>
  <c r="O46" i="17"/>
  <c r="P46" i="17"/>
  <c r="N29" i="17"/>
  <c r="V29" i="17" s="1"/>
  <c r="E71" i="45" s="1"/>
  <c r="N30" i="17"/>
  <c r="V30" i="17" s="1"/>
  <c r="E72" i="45" s="1"/>
  <c r="N31" i="17"/>
  <c r="V31" i="17" s="1"/>
  <c r="E73" i="45" s="1"/>
  <c r="N32" i="17"/>
  <c r="V32" i="17" s="1"/>
  <c r="E74" i="45" s="1"/>
  <c r="N33" i="17"/>
  <c r="V33" i="17" s="1"/>
  <c r="E75" i="45" s="1"/>
  <c r="N34" i="17"/>
  <c r="V34" i="17" s="1"/>
  <c r="E76" i="45" s="1"/>
  <c r="N35" i="17"/>
  <c r="V35" i="17" s="1"/>
  <c r="E77" i="45" s="1"/>
  <c r="N36" i="17"/>
  <c r="V36" i="17" s="1"/>
  <c r="E78" i="45" s="1"/>
  <c r="N37" i="17"/>
  <c r="V37" i="17" s="1"/>
  <c r="E79" i="45" s="1"/>
  <c r="N38" i="17"/>
  <c r="V38" i="17" s="1"/>
  <c r="E80" i="45" s="1"/>
  <c r="N39" i="17"/>
  <c r="V39" i="17" s="1"/>
  <c r="E81" i="45" s="1"/>
  <c r="N40" i="17"/>
  <c r="V40" i="17" s="1"/>
  <c r="E82" i="45" s="1"/>
  <c r="N41" i="17"/>
  <c r="V41" i="17" s="1"/>
  <c r="E83" i="45" s="1"/>
  <c r="N42" i="17"/>
  <c r="V42" i="17" s="1"/>
  <c r="E84" i="45" s="1"/>
  <c r="N43" i="17"/>
  <c r="V43" i="17" s="1"/>
  <c r="E85" i="45" s="1"/>
  <c r="N44" i="17"/>
  <c r="V44" i="17" s="1"/>
  <c r="E86" i="45" s="1"/>
  <c r="N45" i="17"/>
  <c r="V45" i="17" s="1"/>
  <c r="E87" i="45" s="1"/>
  <c r="N46" i="17"/>
  <c r="V46" i="17" s="1"/>
  <c r="E88" i="45" s="1"/>
  <c r="N28" i="17"/>
  <c r="V28" i="17" s="1"/>
  <c r="E70" i="45" s="1"/>
  <c r="AH25" i="17"/>
  <c r="F67" i="45" s="1"/>
  <c r="AG25" i="17"/>
  <c r="F45" i="45" s="1"/>
  <c r="AH24" i="17"/>
  <c r="F66" i="45" s="1"/>
  <c r="AG24" i="17"/>
  <c r="F44" i="45" s="1"/>
  <c r="AH23" i="17"/>
  <c r="F65" i="45" s="1"/>
  <c r="AG23" i="17"/>
  <c r="F43" i="45" s="1"/>
  <c r="AH22" i="17"/>
  <c r="F64" i="45" s="1"/>
  <c r="AG22" i="17"/>
  <c r="F42" i="45" s="1"/>
  <c r="AH21" i="17"/>
  <c r="F63" i="45" s="1"/>
  <c r="AG21" i="17"/>
  <c r="F41" i="45" s="1"/>
  <c r="AH20" i="17"/>
  <c r="F62" i="45" s="1"/>
  <c r="AG20" i="17"/>
  <c r="F40" i="45" s="1"/>
  <c r="AH19" i="17"/>
  <c r="F61" i="45" s="1"/>
  <c r="AG19" i="17"/>
  <c r="F39" i="45" s="1"/>
  <c r="AH18" i="17"/>
  <c r="F60" i="45" s="1"/>
  <c r="AG18" i="17"/>
  <c r="F38" i="45" s="1"/>
  <c r="AH17" i="17"/>
  <c r="F59" i="45" s="1"/>
  <c r="AG17" i="17"/>
  <c r="F37" i="45" s="1"/>
  <c r="AG16" i="17"/>
  <c r="F36" i="45" s="1"/>
  <c r="AH15" i="17"/>
  <c r="F57" i="45" s="1"/>
  <c r="AG15" i="17"/>
  <c r="F35" i="45" s="1"/>
  <c r="AH14" i="17"/>
  <c r="F56" i="45" s="1"/>
  <c r="AG14" i="17"/>
  <c r="F34" i="45" s="1"/>
  <c r="AH13" i="17"/>
  <c r="F55" i="45" s="1"/>
  <c r="AG13" i="17"/>
  <c r="F33" i="45" s="1"/>
  <c r="AH12" i="17"/>
  <c r="F54" i="45" s="1"/>
  <c r="AG12" i="17"/>
  <c r="F32" i="45" s="1"/>
  <c r="AH11" i="17"/>
  <c r="F53" i="45" s="1"/>
  <c r="AG11" i="17"/>
  <c r="F31" i="45" s="1"/>
  <c r="AH10" i="17"/>
  <c r="F52" i="45" s="1"/>
  <c r="AG10" i="17"/>
  <c r="F30" i="45" s="1"/>
  <c r="AH9" i="17"/>
  <c r="F51" i="45" s="1"/>
  <c r="AG9" i="17"/>
  <c r="F29" i="45" s="1"/>
  <c r="AH8" i="17"/>
  <c r="F50" i="45" s="1"/>
  <c r="AG8" i="17"/>
  <c r="F28" i="45" s="1"/>
  <c r="AH7" i="17"/>
  <c r="F49" i="45" s="1"/>
  <c r="AG7" i="17"/>
  <c r="F27" i="45" s="1"/>
  <c r="AH6" i="17"/>
  <c r="F48" i="45" s="1"/>
  <c r="AG6" i="17"/>
  <c r="W69" i="17"/>
  <c r="E155" i="45" s="1"/>
  <c r="V69" i="17"/>
  <c r="E133" i="45" s="1"/>
  <c r="W68" i="17"/>
  <c r="E154" i="45" s="1"/>
  <c r="V68" i="17"/>
  <c r="E132" i="45" s="1"/>
  <c r="W67" i="17"/>
  <c r="E153" i="45" s="1"/>
  <c r="V67" i="17"/>
  <c r="E131" i="45" s="1"/>
  <c r="W66" i="17"/>
  <c r="E152" i="45" s="1"/>
  <c r="V66" i="17"/>
  <c r="E130" i="45" s="1"/>
  <c r="W65" i="17"/>
  <c r="E151" i="45" s="1"/>
  <c r="V65" i="17"/>
  <c r="E129" i="45" s="1"/>
  <c r="W64" i="17"/>
  <c r="E150" i="45" s="1"/>
  <c r="V64" i="17"/>
  <c r="E128" i="45" s="1"/>
  <c r="W63" i="17"/>
  <c r="E149" i="45" s="1"/>
  <c r="V63" i="17"/>
  <c r="E127" i="45" s="1"/>
  <c r="W62" i="17"/>
  <c r="E148" i="45" s="1"/>
  <c r="V62" i="17"/>
  <c r="E126" i="45" s="1"/>
  <c r="W61" i="17"/>
  <c r="E147" i="45" s="1"/>
  <c r="V61" i="17"/>
  <c r="E125" i="45" s="1"/>
  <c r="W60" i="17"/>
  <c r="E146" i="45" s="1"/>
  <c r="V60" i="17"/>
  <c r="E124" i="45" s="1"/>
  <c r="W59" i="17"/>
  <c r="E145" i="45" s="1"/>
  <c r="V59" i="17"/>
  <c r="E123" i="45" s="1"/>
  <c r="W58" i="17"/>
  <c r="E144" i="45" s="1"/>
  <c r="V58" i="17"/>
  <c r="E122" i="45" s="1"/>
  <c r="W57" i="17"/>
  <c r="E143" i="45" s="1"/>
  <c r="V57" i="17"/>
  <c r="E121" i="45" s="1"/>
  <c r="W56" i="17"/>
  <c r="E142" i="45" s="1"/>
  <c r="V56" i="17"/>
  <c r="E120" i="45" s="1"/>
  <c r="W55" i="17"/>
  <c r="E141" i="45" s="1"/>
  <c r="V55" i="17"/>
  <c r="E119" i="45" s="1"/>
  <c r="W54" i="17"/>
  <c r="E140" i="45" s="1"/>
  <c r="V54" i="17"/>
  <c r="E118" i="45" s="1"/>
  <c r="W53" i="17"/>
  <c r="E139" i="45" s="1"/>
  <c r="V53" i="17"/>
  <c r="E117" i="45" s="1"/>
  <c r="W52" i="17"/>
  <c r="E138" i="45" s="1"/>
  <c r="V52" i="17"/>
  <c r="E116" i="45" s="1"/>
  <c r="W51" i="17"/>
  <c r="E137" i="45" s="1"/>
  <c r="V51" i="17"/>
  <c r="E115" i="45" s="1"/>
  <c r="W50" i="17"/>
  <c r="E136" i="45" s="1"/>
  <c r="V50" i="17"/>
  <c r="E114" i="45" s="1"/>
  <c r="W47" i="17"/>
  <c r="E111" i="45" s="1"/>
  <c r="V47" i="17"/>
  <c r="E89" i="45" s="1"/>
  <c r="W46" i="17"/>
  <c r="E110" i="45" s="1"/>
  <c r="W25" i="17"/>
  <c r="E67" i="45" s="1"/>
  <c r="V25" i="17"/>
  <c r="E45" i="45" s="1"/>
  <c r="W24" i="17"/>
  <c r="E66" i="45" s="1"/>
  <c r="V24" i="17"/>
  <c r="W23" i="17"/>
  <c r="E65" i="45" s="1"/>
  <c r="V23" i="17"/>
  <c r="E43" i="45" s="1"/>
  <c r="W22" i="17"/>
  <c r="E64" i="45" s="1"/>
  <c r="V22" i="17"/>
  <c r="E42" i="45" s="1"/>
  <c r="W21" i="17"/>
  <c r="E63" i="45" s="1"/>
  <c r="V21" i="17"/>
  <c r="E41" i="45" s="1"/>
  <c r="W20" i="17"/>
  <c r="E62" i="45" s="1"/>
  <c r="V20" i="17"/>
  <c r="E40" i="45" s="1"/>
  <c r="W19" i="17"/>
  <c r="E61" i="45" s="1"/>
  <c r="V19" i="17"/>
  <c r="E39" i="45" s="1"/>
  <c r="W18" i="17"/>
  <c r="E60" i="45" s="1"/>
  <c r="V18" i="17"/>
  <c r="E38" i="45" s="1"/>
  <c r="W17" i="17"/>
  <c r="E59" i="45" s="1"/>
  <c r="V17" i="17"/>
  <c r="E37" i="45" s="1"/>
  <c r="W16" i="17"/>
  <c r="E58" i="45" s="1"/>
  <c r="V16" i="17"/>
  <c r="E36" i="45" s="1"/>
  <c r="W15" i="17"/>
  <c r="E57" i="45" s="1"/>
  <c r="V15" i="17"/>
  <c r="E35" i="45" s="1"/>
  <c r="W14" i="17"/>
  <c r="E56" i="45" s="1"/>
  <c r="V14" i="17"/>
  <c r="E34" i="45" s="1"/>
  <c r="W13" i="17"/>
  <c r="E55" i="45" s="1"/>
  <c r="V13" i="17"/>
  <c r="E33" i="45" s="1"/>
  <c r="W12" i="17"/>
  <c r="E54" i="45" s="1"/>
  <c r="V12" i="17"/>
  <c r="E32" i="45" s="1"/>
  <c r="W11" i="17"/>
  <c r="E53" i="45" s="1"/>
  <c r="V11" i="17"/>
  <c r="E31" i="45" s="1"/>
  <c r="W10" i="17"/>
  <c r="E52" i="45" s="1"/>
  <c r="V10" i="17"/>
  <c r="E30" i="45" s="1"/>
  <c r="W9" i="17"/>
  <c r="E51" i="45" s="1"/>
  <c r="V9" i="17"/>
  <c r="E29" i="45" s="1"/>
  <c r="W8" i="17"/>
  <c r="E50" i="45" s="1"/>
  <c r="V8" i="17"/>
  <c r="E28" i="45" s="1"/>
  <c r="W7" i="17"/>
  <c r="E49" i="45" s="1"/>
  <c r="V7" i="17"/>
  <c r="E27" i="45" s="1"/>
  <c r="W6" i="17"/>
  <c r="E48" i="45" s="1"/>
  <c r="V6" i="17"/>
  <c r="E26" i="45" s="1"/>
  <c r="N27" i="17"/>
  <c r="N5" i="17"/>
  <c r="L69" i="17"/>
  <c r="D155" i="45" s="1"/>
  <c r="K69" i="17"/>
  <c r="D133" i="45" s="1"/>
  <c r="L68" i="17"/>
  <c r="D154" i="45" s="1"/>
  <c r="K68" i="17"/>
  <c r="D132" i="45" s="1"/>
  <c r="L67" i="17"/>
  <c r="D153" i="45" s="1"/>
  <c r="K67" i="17"/>
  <c r="D131" i="45" s="1"/>
  <c r="L66" i="17"/>
  <c r="D152" i="45" s="1"/>
  <c r="K66" i="17"/>
  <c r="D130" i="45" s="1"/>
  <c r="L65" i="17"/>
  <c r="D151" i="45" s="1"/>
  <c r="K65" i="17"/>
  <c r="D129" i="45" s="1"/>
  <c r="L64" i="17"/>
  <c r="D150" i="45" s="1"/>
  <c r="K64" i="17"/>
  <c r="D128" i="45" s="1"/>
  <c r="L63" i="17"/>
  <c r="D149" i="45" s="1"/>
  <c r="K63" i="17"/>
  <c r="D127" i="45" s="1"/>
  <c r="L62" i="17"/>
  <c r="D148" i="45" s="1"/>
  <c r="K62" i="17"/>
  <c r="D126" i="45" s="1"/>
  <c r="L61" i="17"/>
  <c r="D147" i="45" s="1"/>
  <c r="K61" i="17"/>
  <c r="D125" i="45" s="1"/>
  <c r="L60" i="17"/>
  <c r="D146" i="45" s="1"/>
  <c r="K60" i="17"/>
  <c r="D124" i="45" s="1"/>
  <c r="L59" i="17"/>
  <c r="D145" i="45" s="1"/>
  <c r="K59" i="17"/>
  <c r="D123" i="45" s="1"/>
  <c r="L58" i="17"/>
  <c r="D144" i="45" s="1"/>
  <c r="K58" i="17"/>
  <c r="D122" i="45" s="1"/>
  <c r="L57" i="17"/>
  <c r="D143" i="45" s="1"/>
  <c r="K57" i="17"/>
  <c r="D121" i="45" s="1"/>
  <c r="L56" i="17"/>
  <c r="D142" i="45" s="1"/>
  <c r="K56" i="17"/>
  <c r="D120" i="45" s="1"/>
  <c r="L55" i="17"/>
  <c r="D141" i="45" s="1"/>
  <c r="K55" i="17"/>
  <c r="D119" i="45" s="1"/>
  <c r="L54" i="17"/>
  <c r="D140" i="45" s="1"/>
  <c r="K54" i="17"/>
  <c r="D118" i="45" s="1"/>
  <c r="L53" i="17"/>
  <c r="D139" i="45" s="1"/>
  <c r="K53" i="17"/>
  <c r="D117" i="45" s="1"/>
  <c r="L52" i="17"/>
  <c r="D138" i="45" s="1"/>
  <c r="K52" i="17"/>
  <c r="D116" i="45" s="1"/>
  <c r="L51" i="17"/>
  <c r="D137" i="45" s="1"/>
  <c r="K51" i="17"/>
  <c r="D115" i="45" s="1"/>
  <c r="L50" i="17"/>
  <c r="D136" i="45" s="1"/>
  <c r="K50" i="17"/>
  <c r="D114" i="45" s="1"/>
  <c r="L7" i="17"/>
  <c r="D49" i="45" s="1"/>
  <c r="L8" i="17"/>
  <c r="D50" i="45" s="1"/>
  <c r="L9" i="17"/>
  <c r="D51" i="45" s="1"/>
  <c r="L10" i="17"/>
  <c r="D52" i="45" s="1"/>
  <c r="L11" i="17"/>
  <c r="D53" i="45" s="1"/>
  <c r="L12" i="17"/>
  <c r="D54" i="45" s="1"/>
  <c r="L13" i="17"/>
  <c r="L14" i="17"/>
  <c r="L15" i="17"/>
  <c r="D57" i="45" s="1"/>
  <c r="L16" i="17"/>
  <c r="D58" i="45" s="1"/>
  <c r="L17" i="17"/>
  <c r="D59" i="45" s="1"/>
  <c r="L18" i="17"/>
  <c r="D60" i="45" s="1"/>
  <c r="L19" i="17"/>
  <c r="D61" i="45" s="1"/>
  <c r="L20" i="17"/>
  <c r="D62" i="45" s="1"/>
  <c r="L21" i="17"/>
  <c r="D63" i="45" s="1"/>
  <c r="L22" i="17"/>
  <c r="D64" i="45" s="1"/>
  <c r="L23" i="17"/>
  <c r="D65" i="45" s="1"/>
  <c r="L24" i="17"/>
  <c r="D66" i="45" s="1"/>
  <c r="L25" i="17"/>
  <c r="D67" i="45" s="1"/>
  <c r="L6" i="17"/>
  <c r="D48" i="45" s="1"/>
  <c r="K7" i="17"/>
  <c r="D27" i="45" s="1"/>
  <c r="K8" i="17"/>
  <c r="D28" i="45" s="1"/>
  <c r="K9" i="17"/>
  <c r="D29" i="45" s="1"/>
  <c r="K10" i="17"/>
  <c r="D30" i="45" s="1"/>
  <c r="K11" i="17"/>
  <c r="D31" i="45" s="1"/>
  <c r="K12" i="17"/>
  <c r="D32" i="45" s="1"/>
  <c r="K13" i="17"/>
  <c r="D33" i="45" s="1"/>
  <c r="K14" i="17"/>
  <c r="D34" i="45" s="1"/>
  <c r="K15" i="17"/>
  <c r="D35" i="45" s="1"/>
  <c r="K16" i="17"/>
  <c r="D36" i="45" s="1"/>
  <c r="K17" i="17"/>
  <c r="D37" i="45" s="1"/>
  <c r="K18" i="17"/>
  <c r="D38" i="45" s="1"/>
  <c r="K19" i="17"/>
  <c r="D39" i="45" s="1"/>
  <c r="K20" i="17"/>
  <c r="D40" i="45" s="1"/>
  <c r="K21" i="17"/>
  <c r="D41" i="45" s="1"/>
  <c r="K22" i="17"/>
  <c r="D42" i="45" s="1"/>
  <c r="K23" i="17"/>
  <c r="D43" i="45" s="1"/>
  <c r="K24" i="17"/>
  <c r="D44" i="45" s="1"/>
  <c r="K25" i="17"/>
  <c r="D45" i="45" s="1"/>
  <c r="K6" i="17"/>
  <c r="D26" i="45" s="1"/>
  <c r="T10" i="8"/>
  <c r="T9" i="8"/>
  <c r="T8" i="8"/>
  <c r="O8" i="8" s="1"/>
  <c r="S10" i="8"/>
  <c r="S9" i="8"/>
  <c r="S8" i="8"/>
  <c r="R10" i="8"/>
  <c r="R9" i="8"/>
  <c r="R8" i="8"/>
  <c r="Q10" i="8"/>
  <c r="Q9" i="8"/>
  <c r="Q8" i="8"/>
  <c r="P9" i="8"/>
  <c r="P8" i="8"/>
  <c r="U7" i="8"/>
  <c r="T7" i="8"/>
  <c r="S7" i="8"/>
  <c r="R7" i="8"/>
  <c r="Q7" i="8"/>
  <c r="P7" i="8"/>
  <c r="U1" i="8"/>
  <c r="T1" i="8"/>
  <c r="S1" i="8"/>
  <c r="R1" i="8"/>
  <c r="Q1" i="8"/>
  <c r="P1" i="8"/>
  <c r="O5" i="8" s="1"/>
  <c r="O4" i="8"/>
  <c r="U3" i="8"/>
  <c r="U2" i="8"/>
  <c r="T3" i="8"/>
  <c r="T2" i="8"/>
  <c r="S3" i="8"/>
  <c r="S2" i="8"/>
  <c r="R5" i="8"/>
  <c r="R4" i="8"/>
  <c r="R3" i="8"/>
  <c r="R2" i="8"/>
  <c r="Q4" i="8"/>
  <c r="Q3" i="8"/>
  <c r="Q2" i="8"/>
  <c r="P3" i="8"/>
  <c r="P2" i="8"/>
  <c r="C5" i="17"/>
  <c r="I3" i="45"/>
  <c r="H3" i="45"/>
  <c r="G3" i="45"/>
  <c r="F3" i="45"/>
  <c r="E3" i="45"/>
  <c r="D3" i="45"/>
  <c r="C3" i="45"/>
  <c r="E14" i="42" s="1"/>
  <c r="I9" i="45"/>
  <c r="H9" i="45"/>
  <c r="G9" i="45"/>
  <c r="F9" i="45"/>
  <c r="E9" i="45"/>
  <c r="D9" i="45"/>
  <c r="C9" i="45"/>
  <c r="B21" i="45"/>
  <c r="B22" i="45"/>
  <c r="B23" i="45"/>
  <c r="B24" i="45"/>
  <c r="B20" i="45"/>
  <c r="B16" i="45"/>
  <c r="B17" i="45"/>
  <c r="B18" i="45"/>
  <c r="B19" i="45"/>
  <c r="B15" i="45"/>
  <c r="I11" i="45"/>
  <c r="I10" i="45"/>
  <c r="AX13" i="17"/>
  <c r="AX12" i="17"/>
  <c r="AX11" i="17"/>
  <c r="AX10" i="17"/>
  <c r="AX9" i="17"/>
  <c r="AX8" i="17"/>
  <c r="AX7" i="17"/>
  <c r="AX6" i="17"/>
  <c r="AW6" i="17"/>
  <c r="AW7" i="17"/>
  <c r="AW13" i="17"/>
  <c r="AW12" i="17"/>
  <c r="AW11" i="17"/>
  <c r="AW10" i="17"/>
  <c r="AW9" i="17"/>
  <c r="AW8" i="17"/>
  <c r="C29" i="35"/>
  <c r="B29" i="35"/>
  <c r="C16" i="35"/>
  <c r="B20" i="35"/>
  <c r="B21" i="35"/>
  <c r="B22" i="35"/>
  <c r="B23" i="35"/>
  <c r="B24" i="35"/>
  <c r="B25" i="35"/>
  <c r="B26" i="35"/>
  <c r="B27" i="35"/>
  <c r="B19" i="35"/>
  <c r="AE37" i="17"/>
  <c r="AC38" i="17"/>
  <c r="AH38" i="17" s="1"/>
  <c r="F102" i="45" s="1"/>
  <c r="AE15" i="17"/>
  <c r="AC16" i="17"/>
  <c r="AH16" i="17" s="1"/>
  <c r="F58" i="45" s="1"/>
  <c r="M28" i="7"/>
  <c r="L28" i="7"/>
  <c r="K28" i="7"/>
  <c r="J28" i="7"/>
  <c r="I28" i="7"/>
  <c r="M21" i="7"/>
  <c r="L21" i="7"/>
  <c r="K21" i="7"/>
  <c r="J21" i="7"/>
  <c r="I21" i="7"/>
  <c r="M15" i="7"/>
  <c r="L15" i="7"/>
  <c r="K15" i="7"/>
  <c r="J15" i="7"/>
  <c r="I15" i="7"/>
  <c r="W41" i="17" l="1"/>
  <c r="E105" i="45" s="1"/>
  <c r="BN39" i="17"/>
  <c r="I81" i="45" s="1"/>
  <c r="BN53" i="17"/>
  <c r="I117" i="45" s="1"/>
  <c r="BN65" i="17"/>
  <c r="I129" i="45" s="1"/>
  <c r="BN28" i="17"/>
  <c r="I70" i="45" s="1"/>
  <c r="BN40" i="17"/>
  <c r="I82" i="45" s="1"/>
  <c r="BN54" i="17"/>
  <c r="I118" i="45" s="1"/>
  <c r="BN66" i="17"/>
  <c r="I130" i="45" s="1"/>
  <c r="BN29" i="17"/>
  <c r="I71" i="45" s="1"/>
  <c r="BN41" i="17"/>
  <c r="I83" i="45" s="1"/>
  <c r="BN55" i="17"/>
  <c r="I119" i="45" s="1"/>
  <c r="BN67" i="17"/>
  <c r="I131" i="45" s="1"/>
  <c r="B13" i="20"/>
  <c r="BN30" i="17"/>
  <c r="I72" i="45" s="1"/>
  <c r="BN42" i="17"/>
  <c r="I84" i="45" s="1"/>
  <c r="BN56" i="17"/>
  <c r="I120" i="45" s="1"/>
  <c r="BN68" i="17"/>
  <c r="I132" i="45" s="1"/>
  <c r="O9" i="8"/>
  <c r="W34" i="17"/>
  <c r="E98" i="45" s="1"/>
  <c r="B17" i="20"/>
  <c r="D17" i="20" s="1"/>
  <c r="BN31" i="17"/>
  <c r="I73" i="45" s="1"/>
  <c r="BN43" i="17"/>
  <c r="I85" i="45" s="1"/>
  <c r="BN57" i="17"/>
  <c r="I121" i="45" s="1"/>
  <c r="BN69" i="17"/>
  <c r="I133" i="45" s="1"/>
  <c r="W29" i="17"/>
  <c r="E93" i="45" s="1"/>
  <c r="BN64" i="17"/>
  <c r="I128" i="45" s="1"/>
  <c r="W28" i="17"/>
  <c r="E92" i="45" s="1"/>
  <c r="O10" i="8"/>
  <c r="W45" i="17"/>
  <c r="E109" i="45" s="1"/>
  <c r="W33" i="17"/>
  <c r="E97" i="45" s="1"/>
  <c r="B16" i="20"/>
  <c r="D16" i="20" s="1"/>
  <c r="BN32" i="17"/>
  <c r="I74" i="45" s="1"/>
  <c r="BN44" i="17"/>
  <c r="I86" i="45" s="1"/>
  <c r="BN58" i="17"/>
  <c r="I122" i="45" s="1"/>
  <c r="BN38" i="17"/>
  <c r="I80" i="45" s="1"/>
  <c r="B15" i="20"/>
  <c r="BN33" i="17"/>
  <c r="I75" i="45" s="1"/>
  <c r="BN45" i="17"/>
  <c r="I87" i="45" s="1"/>
  <c r="BN59" i="17"/>
  <c r="I123" i="45" s="1"/>
  <c r="BN52" i="17"/>
  <c r="I116" i="45" s="1"/>
  <c r="W35" i="17"/>
  <c r="E99" i="45" s="1"/>
  <c r="B14" i="20"/>
  <c r="BN34" i="17"/>
  <c r="I76" i="45" s="1"/>
  <c r="BN46" i="17"/>
  <c r="I88" i="45" s="1"/>
  <c r="BN60" i="17"/>
  <c r="I124" i="45" s="1"/>
  <c r="BO65" i="17"/>
  <c r="I151" i="45" s="1"/>
  <c r="BO33" i="17"/>
  <c r="I97" i="45" s="1"/>
  <c r="BO66" i="17"/>
  <c r="I152" i="45" s="1"/>
  <c r="BO34" i="17"/>
  <c r="I98" i="45" s="1"/>
  <c r="BO56" i="17"/>
  <c r="I142" i="45" s="1"/>
  <c r="BO7" i="17"/>
  <c r="I49" i="45" s="1"/>
  <c r="BO8" i="17"/>
  <c r="I50" i="45" s="1"/>
  <c r="BO58" i="17"/>
  <c r="I144" i="45" s="1"/>
  <c r="BO25" i="17"/>
  <c r="I67" i="45" s="1"/>
  <c r="BO12" i="17"/>
  <c r="I54" i="45" s="1"/>
  <c r="BO55" i="17"/>
  <c r="I141" i="45" s="1"/>
  <c r="BO17" i="17"/>
  <c r="I59" i="45" s="1"/>
  <c r="BO43" i="17"/>
  <c r="I107" i="45" s="1"/>
  <c r="BO44" i="17"/>
  <c r="I108" i="45" s="1"/>
  <c r="BO9" i="17"/>
  <c r="I51" i="45" s="1"/>
  <c r="BO35" i="17"/>
  <c r="I99" i="45" s="1"/>
  <c r="BO45" i="17"/>
  <c r="I109" i="45" s="1"/>
  <c r="BO57" i="17"/>
  <c r="I143" i="45" s="1"/>
  <c r="BO67" i="17"/>
  <c r="I153" i="45" s="1"/>
  <c r="BO10" i="17"/>
  <c r="I52" i="45" s="1"/>
  <c r="BO22" i="17"/>
  <c r="I64" i="45" s="1"/>
  <c r="BO37" i="17"/>
  <c r="I101" i="45" s="1"/>
  <c r="BO47" i="17"/>
  <c r="I111" i="45" s="1"/>
  <c r="BO59" i="17"/>
  <c r="I145" i="45" s="1"/>
  <c r="BO69" i="17"/>
  <c r="I155" i="45" s="1"/>
  <c r="BO28" i="17"/>
  <c r="I92" i="45" s="1"/>
  <c r="BO38" i="17"/>
  <c r="I102" i="45" s="1"/>
  <c r="BO50" i="17"/>
  <c r="I136" i="45" s="1"/>
  <c r="BO60" i="17"/>
  <c r="I146" i="45" s="1"/>
  <c r="BO61" i="17"/>
  <c r="I147" i="45" s="1"/>
  <c r="BO29" i="17"/>
  <c r="I93" i="45" s="1"/>
  <c r="BO39" i="17"/>
  <c r="I103" i="45" s="1"/>
  <c r="BO51" i="17"/>
  <c r="I137" i="45" s="1"/>
  <c r="BO30" i="17"/>
  <c r="I94" i="45" s="1"/>
  <c r="BO40" i="17"/>
  <c r="I104" i="45" s="1"/>
  <c r="BO52" i="17"/>
  <c r="I138" i="45" s="1"/>
  <c r="BO62" i="17"/>
  <c r="I148" i="45" s="1"/>
  <c r="BO31" i="17"/>
  <c r="I95" i="45" s="1"/>
  <c r="BO41" i="17"/>
  <c r="I105" i="45" s="1"/>
  <c r="BO53" i="17"/>
  <c r="I139" i="45" s="1"/>
  <c r="BO63" i="17"/>
  <c r="I149" i="45" s="1"/>
  <c r="BO32" i="17"/>
  <c r="I96" i="45" s="1"/>
  <c r="BO42" i="17"/>
  <c r="I106" i="45" s="1"/>
  <c r="BO54" i="17"/>
  <c r="I140" i="45" s="1"/>
  <c r="BO64" i="17"/>
  <c r="I150" i="45" s="1"/>
  <c r="BO6" i="17"/>
  <c r="I48" i="45" s="1"/>
  <c r="BN6" i="17"/>
  <c r="I27" i="45" s="1"/>
  <c r="O2" i="8"/>
  <c r="O3" i="8"/>
  <c r="BN7" i="17"/>
  <c r="I28" i="45" s="1"/>
  <c r="BO13" i="17"/>
  <c r="I55" i="45" s="1"/>
  <c r="BN10" i="17"/>
  <c r="I31" i="45" s="1"/>
  <c r="BO16" i="17"/>
  <c r="I58" i="45" s="1"/>
  <c r="BN17" i="17"/>
  <c r="I38" i="45" s="1"/>
  <c r="BN20" i="17"/>
  <c r="I41" i="45" s="1"/>
  <c r="BN16" i="17"/>
  <c r="I37" i="45" s="1"/>
  <c r="BO19" i="17"/>
  <c r="I61" i="45" s="1"/>
  <c r="BO20" i="17"/>
  <c r="I62" i="45" s="1"/>
  <c r="BO18" i="17"/>
  <c r="I60" i="45" s="1"/>
  <c r="BO23" i="17"/>
  <c r="I65" i="45" s="1"/>
  <c r="BN8" i="17"/>
  <c r="I29" i="45" s="1"/>
  <c r="BN18" i="17"/>
  <c r="I39" i="45" s="1"/>
  <c r="BN9" i="17"/>
  <c r="I30" i="45" s="1"/>
  <c r="BN19" i="17"/>
  <c r="I40" i="45" s="1"/>
  <c r="BN11" i="17"/>
  <c r="I32" i="45" s="1"/>
  <c r="BO11" i="17"/>
  <c r="I53" i="45" s="1"/>
  <c r="BO21" i="17"/>
  <c r="I63" i="45" s="1"/>
  <c r="BN21" i="17"/>
  <c r="I42" i="45" s="1"/>
  <c r="BN12" i="17"/>
  <c r="I33" i="45" s="1"/>
  <c r="BN22" i="17"/>
  <c r="I43" i="45" s="1"/>
  <c r="BN23" i="17"/>
  <c r="I44" i="45" s="1"/>
  <c r="BN14" i="17"/>
  <c r="I35" i="45" s="1"/>
  <c r="BN24" i="17"/>
  <c r="I45" i="45" s="1"/>
  <c r="BO14" i="17"/>
  <c r="I56" i="45" s="1"/>
  <c r="BO24" i="17"/>
  <c r="I66" i="45" s="1"/>
  <c r="BN13" i="17"/>
  <c r="I34" i="45" s="1"/>
  <c r="BN15" i="17"/>
  <c r="I36" i="45" s="1"/>
  <c r="BO15" i="17"/>
  <c r="I57" i="45" s="1"/>
  <c r="S13" i="38"/>
  <c r="S12" i="43" s="1"/>
  <c r="S15" i="38"/>
  <c r="S13" i="44" s="1"/>
  <c r="S30" i="38"/>
  <c r="S30" i="43" s="1"/>
  <c r="S31" i="38"/>
  <c r="S31" i="43" s="1"/>
  <c r="S32" i="38"/>
  <c r="S33" i="38"/>
  <c r="BX8" i="20"/>
  <c r="BW8" i="20"/>
  <c r="BW7" i="20"/>
  <c r="BT8" i="20"/>
  <c r="BT7" i="20"/>
  <c r="BX7" i="20" s="1"/>
  <c r="BQ6" i="20"/>
  <c r="BR6" i="20"/>
  <c r="BP6" i="20"/>
  <c r="B25" i="20"/>
  <c r="J22" i="7"/>
  <c r="AQ21" i="44"/>
  <c r="AS21" i="44" s="1"/>
  <c r="AQ20" i="44"/>
  <c r="AS20" i="44" s="1"/>
  <c r="AQ7" i="44"/>
  <c r="AS7" i="44" s="1"/>
  <c r="AQ6" i="44"/>
  <c r="AS6" i="44" s="1"/>
  <c r="C12" i="44"/>
  <c r="C8" i="20" s="1"/>
  <c r="C11" i="44"/>
  <c r="C10" i="44"/>
  <c r="C9" i="44"/>
  <c r="C8" i="44"/>
  <c r="C7" i="44"/>
  <c r="C6" i="44"/>
  <c r="A1" i="44"/>
  <c r="B5" i="44" s="1"/>
  <c r="B14" i="44"/>
  <c r="AJ3" i="44"/>
  <c r="AI3" i="44"/>
  <c r="AE3" i="44"/>
  <c r="AQ21" i="43"/>
  <c r="AS21" i="43" s="1"/>
  <c r="AQ20" i="43"/>
  <c r="AS20" i="43" s="1"/>
  <c r="AQ7" i="43"/>
  <c r="AS7" i="43" s="1"/>
  <c r="AQ6" i="43"/>
  <c r="AS6" i="43" s="1"/>
  <c r="C12" i="43"/>
  <c r="C9" i="20" s="1"/>
  <c r="O14" i="43"/>
  <c r="N14" i="43"/>
  <c r="M14" i="43"/>
  <c r="L14" i="43"/>
  <c r="K14" i="43"/>
  <c r="J14" i="43"/>
  <c r="I14" i="43"/>
  <c r="H14" i="43"/>
  <c r="G14" i="43"/>
  <c r="F14" i="43"/>
  <c r="E14" i="43"/>
  <c r="B14" i="43"/>
  <c r="A1" i="43"/>
  <c r="AJ3" i="43"/>
  <c r="AI3" i="43"/>
  <c r="AE3" i="43"/>
  <c r="B14" i="42"/>
  <c r="A1" i="42"/>
  <c r="AQ21" i="42"/>
  <c r="AS21" i="42" s="1"/>
  <c r="AQ20" i="42"/>
  <c r="AS20" i="42" s="1"/>
  <c r="C12" i="42"/>
  <c r="C11" i="42"/>
  <c r="C10" i="42"/>
  <c r="C9" i="42"/>
  <c r="C8" i="42"/>
  <c r="AQ7" i="42"/>
  <c r="AS7" i="42" s="1"/>
  <c r="C7" i="42"/>
  <c r="AQ6" i="42"/>
  <c r="AS6" i="42" s="1"/>
  <c r="C6" i="42"/>
  <c r="AJ3" i="42"/>
  <c r="AI3" i="42"/>
  <c r="AE3" i="42"/>
  <c r="E5" i="38"/>
  <c r="F5" i="38"/>
  <c r="G5" i="38"/>
  <c r="H5" i="38"/>
  <c r="I5" i="38"/>
  <c r="J5" i="38"/>
  <c r="K5" i="38"/>
  <c r="L5" i="38"/>
  <c r="M5" i="38"/>
  <c r="M5" i="42" s="1"/>
  <c r="M13" i="42" s="1"/>
  <c r="N5" i="38"/>
  <c r="O5" i="38"/>
  <c r="AZ4" i="20"/>
  <c r="AZ24" i="20" s="1"/>
  <c r="AK4" i="20"/>
  <c r="AK25" i="20" s="1"/>
  <c r="V4" i="20"/>
  <c r="AI2" i="20" s="1"/>
  <c r="G4" i="20"/>
  <c r="G25" i="20" s="1"/>
  <c r="A1" i="38"/>
  <c r="A98" i="26"/>
  <c r="S5" i="43" s="1"/>
  <c r="A38" i="26"/>
  <c r="S5" i="42" s="1"/>
  <c r="A8" i="26"/>
  <c r="V23" i="20"/>
  <c r="W26" i="20"/>
  <c r="W25" i="20"/>
  <c r="W24" i="20"/>
  <c r="W23" i="20"/>
  <c r="W22" i="20"/>
  <c r="W21" i="20"/>
  <c r="W20" i="20"/>
  <c r="W19" i="20"/>
  <c r="W18" i="20"/>
  <c r="W17" i="20"/>
  <c r="W16" i="20"/>
  <c r="W15" i="20"/>
  <c r="W14" i="20"/>
  <c r="W13" i="20"/>
  <c r="W12" i="20"/>
  <c r="W11" i="20"/>
  <c r="W10" i="20"/>
  <c r="W9" i="20"/>
  <c r="W8" i="20"/>
  <c r="W7" i="20"/>
  <c r="D5" i="38"/>
  <c r="C12" i="38"/>
  <c r="C7" i="20" s="1"/>
  <c r="C11" i="38"/>
  <c r="C10" i="38"/>
  <c r="C9" i="38"/>
  <c r="C8" i="38"/>
  <c r="C7" i="38"/>
  <c r="C6" i="38"/>
  <c r="S29" i="38"/>
  <c r="S29" i="42" s="1"/>
  <c r="S28" i="38"/>
  <c r="S28" i="42" s="1"/>
  <c r="S27" i="38"/>
  <c r="S27" i="42" s="1"/>
  <c r="S26" i="38"/>
  <c r="S26" i="42" s="1"/>
  <c r="S25" i="38"/>
  <c r="S25" i="44" s="1"/>
  <c r="S24" i="38"/>
  <c r="S24" i="43" s="1"/>
  <c r="S23" i="38"/>
  <c r="S23" i="42" s="1"/>
  <c r="S22" i="38"/>
  <c r="S22" i="44" s="1"/>
  <c r="AQ21" i="38"/>
  <c r="AS21" i="38" s="1"/>
  <c r="S21" i="38"/>
  <c r="S21" i="44" s="1"/>
  <c r="AQ20" i="38"/>
  <c r="AS20" i="38" s="1"/>
  <c r="S20" i="38"/>
  <c r="S20" i="42" s="1"/>
  <c r="S17" i="44"/>
  <c r="S16" i="44"/>
  <c r="S17" i="38"/>
  <c r="S15" i="44" s="1"/>
  <c r="S16" i="38"/>
  <c r="S14" i="44" s="1"/>
  <c r="S12" i="38"/>
  <c r="S11" i="44" s="1"/>
  <c r="S10" i="38"/>
  <c r="S10" i="43" s="1"/>
  <c r="S9" i="38"/>
  <c r="S8" i="38"/>
  <c r="S8" i="44" s="1"/>
  <c r="AQ7" i="38"/>
  <c r="AS7" i="38" s="1"/>
  <c r="S7" i="38"/>
  <c r="S7" i="43" s="1"/>
  <c r="AQ6" i="38"/>
  <c r="AS6" i="38" s="1"/>
  <c r="S6" i="38"/>
  <c r="S6" i="43" s="1"/>
  <c r="AJ3" i="38"/>
  <c r="AI3" i="38"/>
  <c r="AE3" i="38"/>
  <c r="S3" i="38"/>
  <c r="S3" i="43" s="1"/>
  <c r="B20" i="20"/>
  <c r="BQ8" i="20" a="1"/>
  <c r="BR8" i="20" a="1"/>
  <c r="C17" i="20" l="1"/>
  <c r="C16" i="20"/>
  <c r="D5" i="43"/>
  <c r="H5" i="42"/>
  <c r="G5" i="42"/>
  <c r="E5" i="42"/>
  <c r="S31" i="44"/>
  <c r="S31" i="42"/>
  <c r="O13" i="38"/>
  <c r="L5" i="44"/>
  <c r="L13" i="44" s="1"/>
  <c r="J5" i="44"/>
  <c r="J13" i="44" s="1"/>
  <c r="I5" i="44"/>
  <c r="N5" i="43"/>
  <c r="N13" i="43" s="1"/>
  <c r="M5" i="43"/>
  <c r="M13" i="43" s="1"/>
  <c r="K13" i="38"/>
  <c r="F5" i="42"/>
  <c r="S30" i="42"/>
  <c r="L5" i="42"/>
  <c r="L13" i="42" s="1"/>
  <c r="S30" i="44"/>
  <c r="G5" i="43"/>
  <c r="H5" i="43"/>
  <c r="L5" i="43"/>
  <c r="L13" i="43" s="1"/>
  <c r="K5" i="43"/>
  <c r="K13" i="43" s="1"/>
  <c r="H5" i="44"/>
  <c r="S10" i="44"/>
  <c r="N13" i="38"/>
  <c r="M13" i="38"/>
  <c r="O5" i="42"/>
  <c r="O13" i="42" s="1"/>
  <c r="S26" i="43"/>
  <c r="S23" i="44"/>
  <c r="N5" i="42"/>
  <c r="N13" i="42" s="1"/>
  <c r="S27" i="43"/>
  <c r="S27" i="44"/>
  <c r="L13" i="38"/>
  <c r="S28" i="44"/>
  <c r="S29" i="43"/>
  <c r="J13" i="38"/>
  <c r="K5" i="44"/>
  <c r="K13" i="44" s="1"/>
  <c r="J5" i="42"/>
  <c r="J13" i="42" s="1"/>
  <c r="O5" i="43"/>
  <c r="O13" i="43" s="1"/>
  <c r="K5" i="42"/>
  <c r="K13" i="42" s="1"/>
  <c r="S28" i="43"/>
  <c r="N5" i="44"/>
  <c r="N13" i="44" s="1"/>
  <c r="S29" i="44"/>
  <c r="M5" i="44"/>
  <c r="M13" i="44" s="1"/>
  <c r="O5" i="44"/>
  <c r="O13" i="44" s="1"/>
  <c r="B5" i="43"/>
  <c r="B13" i="43"/>
  <c r="B5" i="42"/>
  <c r="B13" i="42"/>
  <c r="B12" i="42"/>
  <c r="B5" i="38"/>
  <c r="B13" i="38"/>
  <c r="B12" i="38"/>
  <c r="S13" i="43"/>
  <c r="S13" i="42"/>
  <c r="S17" i="43"/>
  <c r="S17" i="42"/>
  <c r="S16" i="43"/>
  <c r="S16" i="42"/>
  <c r="S15" i="43"/>
  <c r="S15" i="42"/>
  <c r="S14" i="43"/>
  <c r="S14" i="42"/>
  <c r="S9" i="43"/>
  <c r="S9" i="42"/>
  <c r="S21" i="42"/>
  <c r="D5" i="42"/>
  <c r="S22" i="42"/>
  <c r="S23" i="43"/>
  <c r="S9" i="44"/>
  <c r="S22" i="43"/>
  <c r="G5" i="44"/>
  <c r="F5" i="44"/>
  <c r="F5" i="43"/>
  <c r="S8" i="42"/>
  <c r="S8" i="43"/>
  <c r="P15" i="43" s="1"/>
  <c r="E5" i="43"/>
  <c r="E5" i="44"/>
  <c r="S24" i="44"/>
  <c r="S10" i="42"/>
  <c r="S24" i="42"/>
  <c r="S11" i="42"/>
  <c r="S25" i="43"/>
  <c r="S11" i="43"/>
  <c r="BR8" i="20"/>
  <c r="BQ8" i="20"/>
  <c r="AK24" i="20"/>
  <c r="AZ25" i="20"/>
  <c r="V24" i="20"/>
  <c r="V25" i="20"/>
  <c r="D5" i="44"/>
  <c r="S6" i="42"/>
  <c r="S20" i="43"/>
  <c r="S20" i="44"/>
  <c r="S6" i="44"/>
  <c r="I5" i="43"/>
  <c r="S25" i="42"/>
  <c r="I5" i="42"/>
  <c r="S12" i="42"/>
  <c r="J5" i="43"/>
  <c r="J13" i="43" s="1"/>
  <c r="S26" i="44"/>
  <c r="S12" i="44"/>
  <c r="S3" i="42"/>
  <c r="S7" i="42"/>
  <c r="S21" i="43"/>
  <c r="S7" i="44"/>
  <c r="S3" i="44"/>
  <c r="B13" i="44"/>
  <c r="B12" i="44"/>
  <c r="B12" i="43"/>
  <c r="G24" i="20"/>
  <c r="P17" i="38"/>
  <c r="H9" i="37"/>
  <c r="BP7" i="20" a="1"/>
  <c r="BQ7" i="20" a="1"/>
  <c r="BR7" i="20" a="1"/>
  <c r="BP8" i="20" a="1"/>
  <c r="BP8" i="20" l="1"/>
  <c r="BR7" i="20"/>
  <c r="BQ7" i="20"/>
  <c r="BP7" i="20"/>
  <c r="P15" i="44"/>
  <c r="P15" i="42"/>
  <c r="G14" i="8"/>
  <c r="E14" i="8"/>
  <c r="G11" i="8"/>
  <c r="BA1" i="30" s="1"/>
  <c r="G10" i="8"/>
  <c r="E11" i="8"/>
  <c r="AT1" i="30" s="1"/>
  <c r="E10" i="8"/>
  <c r="AZ1" i="29"/>
  <c r="AT1" i="29" l="1"/>
  <c r="BA1" i="29"/>
  <c r="G14" i="36" a="1"/>
  <c r="M31" i="36" a="1"/>
  <c r="M9" i="36" a="1"/>
  <c r="L31" i="36" a="1"/>
  <c r="L9" i="36" a="1"/>
  <c r="F14" i="36" a="1"/>
  <c r="F19" i="36" a="1"/>
  <c r="G19" i="36" a="1"/>
  <c r="F14" i="36" l="1"/>
  <c r="F19" i="36"/>
  <c r="L9" i="36"/>
  <c r="L31" i="36"/>
  <c r="M31" i="36"/>
  <c r="G14" i="36"/>
  <c r="G19" i="36"/>
  <c r="M9" i="36"/>
  <c r="AM1" i="29" l="1"/>
  <c r="AL1" i="29"/>
  <c r="AK1" i="29"/>
  <c r="AJ1" i="29"/>
  <c r="AE1" i="29"/>
  <c r="AD1" i="29"/>
  <c r="AC1" i="29"/>
  <c r="AB1" i="29"/>
  <c r="AA1" i="29"/>
  <c r="V1" i="29"/>
  <c r="U1" i="29"/>
  <c r="Z1" i="29"/>
  <c r="AR1" i="29"/>
  <c r="AQ1" i="29"/>
  <c r="AP1" i="29"/>
  <c r="AN1" i="29"/>
  <c r="AO1" i="29"/>
  <c r="AB31" i="36"/>
  <c r="K31" i="36" s="1"/>
  <c r="M30" i="36"/>
  <c r="N30" i="36"/>
  <c r="L30" i="36"/>
  <c r="M8" i="36"/>
  <c r="N8" i="36"/>
  <c r="L8" i="36"/>
  <c r="G30" i="36"/>
  <c r="H30" i="36"/>
  <c r="F30" i="36"/>
  <c r="AB28" i="36"/>
  <c r="K28" i="36" s="1"/>
  <c r="AB22" i="36"/>
  <c r="K22" i="36" s="1"/>
  <c r="AB21" i="36"/>
  <c r="J21" i="36" s="1"/>
  <c r="AB20" i="36"/>
  <c r="K20" i="36" s="1"/>
  <c r="AB19" i="36"/>
  <c r="K19" i="36" s="1"/>
  <c r="AB17" i="36"/>
  <c r="K17" i="36" s="1"/>
  <c r="AB16" i="36"/>
  <c r="K16" i="36" s="1"/>
  <c r="AB26" i="36"/>
  <c r="K26" i="36" s="1"/>
  <c r="AB24" i="36"/>
  <c r="K24" i="36" s="1"/>
  <c r="J19" i="36" l="1"/>
  <c r="J20" i="36"/>
  <c r="J28" i="36"/>
  <c r="J22" i="36"/>
  <c r="J31" i="36"/>
  <c r="K21" i="36"/>
  <c r="J16" i="36"/>
  <c r="J17" i="36"/>
  <c r="J26" i="36"/>
  <c r="J24" i="36"/>
  <c r="F6" i="37"/>
  <c r="B24" i="20"/>
  <c r="D24" i="20"/>
  <c r="D25" i="20" s="1"/>
  <c r="F22" i="20"/>
  <c r="F21" i="20"/>
  <c r="F20" i="20"/>
  <c r="F19" i="20"/>
  <c r="F18" i="20"/>
  <c r="F17" i="20"/>
  <c r="F16" i="20"/>
  <c r="F15" i="20"/>
  <c r="F14" i="20"/>
  <c r="F13" i="20"/>
  <c r="F12" i="20"/>
  <c r="F11" i="20"/>
  <c r="F10" i="20"/>
  <c r="F9" i="20"/>
  <c r="H26" i="20"/>
  <c r="D9" i="37"/>
  <c r="I10" i="37"/>
  <c r="C10" i="37"/>
  <c r="D10" i="37"/>
  <c r="E10" i="37"/>
  <c r="F10" i="37"/>
  <c r="C26" i="37"/>
  <c r="E23" i="37"/>
  <c r="D23" i="37"/>
  <c r="C23" i="37"/>
  <c r="H24" i="20"/>
  <c r="H8" i="20"/>
  <c r="H9" i="20"/>
  <c r="H10" i="20"/>
  <c r="H11" i="20"/>
  <c r="H12" i="20"/>
  <c r="H13" i="20"/>
  <c r="H14" i="20"/>
  <c r="H15" i="20"/>
  <c r="H16" i="20"/>
  <c r="H17" i="20"/>
  <c r="H18" i="20"/>
  <c r="H19" i="20"/>
  <c r="H20" i="20"/>
  <c r="H21" i="20"/>
  <c r="H22" i="20"/>
  <c r="H23" i="20"/>
  <c r="H7" i="20"/>
  <c r="AD8" i="36"/>
  <c r="AC8" i="36"/>
  <c r="C32" i="20" l="1"/>
  <c r="C31" i="20"/>
  <c r="C30" i="20"/>
  <c r="C28" i="20"/>
  <c r="C29" i="20"/>
  <c r="AL26" i="20" l="1"/>
  <c r="J23" i="7"/>
  <c r="J41" i="7" s="1"/>
  <c r="I6" i="37"/>
  <c r="I7" i="37" s="1"/>
  <c r="H6" i="37"/>
  <c r="H7" i="37" s="1"/>
  <c r="G6" i="37"/>
  <c r="E6" i="37"/>
  <c r="E7" i="37" s="1"/>
  <c r="C16" i="8"/>
  <c r="C17" i="8"/>
  <c r="C18" i="8"/>
  <c r="C19" i="8"/>
  <c r="C20" i="8"/>
  <c r="C21" i="8"/>
  <c r="C15" i="8"/>
  <c r="C7" i="8"/>
  <c r="C8" i="8"/>
  <c r="C9" i="8"/>
  <c r="C10" i="8"/>
  <c r="C11" i="8"/>
  <c r="C12" i="8"/>
  <c r="C6" i="8"/>
  <c r="M35" i="37"/>
  <c r="M34" i="37" s="1"/>
  <c r="M31" i="37"/>
  <c r="M29" i="37"/>
  <c r="M30" i="37" s="1"/>
  <c r="M27" i="37"/>
  <c r="M26" i="37"/>
  <c r="M24" i="37"/>
  <c r="M22" i="37"/>
  <c r="M21" i="37" s="1"/>
  <c r="M19" i="37"/>
  <c r="M20" i="37" s="1"/>
  <c r="M17" i="37"/>
  <c r="M18" i="37" s="1"/>
  <c r="M15" i="37"/>
  <c r="M13" i="37"/>
  <c r="M14" i="37" s="1"/>
  <c r="M12" i="37"/>
  <c r="M9" i="37"/>
  <c r="M10" i="37" s="1"/>
  <c r="M6" i="37"/>
  <c r="M7" i="37" s="1"/>
  <c r="F8" i="37"/>
  <c r="G8" i="37" s="1"/>
  <c r="I5" i="37"/>
  <c r="H5" i="37"/>
  <c r="G5" i="37"/>
  <c r="F5" i="37"/>
  <c r="E5" i="37"/>
  <c r="D5" i="37"/>
  <c r="C5" i="37"/>
  <c r="M41" i="7" l="1"/>
  <c r="K42" i="7"/>
  <c r="I41" i="7"/>
  <c r="L42" i="7"/>
  <c r="K41" i="7"/>
  <c r="I42" i="7"/>
  <c r="L41" i="7"/>
  <c r="J42" i="7"/>
  <c r="M42" i="7"/>
  <c r="BD12" i="26"/>
  <c r="BD17" i="26"/>
  <c r="BC20" i="26"/>
  <c r="BC16" i="26"/>
  <c r="BC21" i="26"/>
  <c r="BC19" i="26"/>
  <c r="BC13" i="26"/>
  <c r="BC17" i="26"/>
  <c r="BD14" i="26"/>
  <c r="BD15" i="26"/>
  <c r="BD16" i="26"/>
  <c r="BD18" i="26"/>
  <c r="BD21" i="26"/>
  <c r="BC18" i="26"/>
  <c r="BC14" i="26"/>
  <c r="BD13" i="26"/>
  <c r="BD19" i="26"/>
  <c r="BC15" i="26"/>
  <c r="BC12" i="26"/>
  <c r="BD20" i="26"/>
  <c r="F7" i="37"/>
  <c r="G7" i="37" s="1"/>
  <c r="F11" i="37"/>
  <c r="G11" i="37" s="1"/>
  <c r="G12" i="37" l="1"/>
  <c r="AX2" i="20" l="1"/>
  <c r="AK23" i="20"/>
  <c r="AN6" i="20"/>
  <c r="AO6" i="20"/>
  <c r="AM6" i="20"/>
  <c r="BM2" i="20"/>
  <c r="T2" i="20"/>
  <c r="G8" i="36"/>
  <c r="H8" i="36"/>
  <c r="F8" i="36"/>
  <c r="BC6" i="20"/>
  <c r="BD6" i="20"/>
  <c r="BE6" i="20"/>
  <c r="BB6" i="20"/>
  <c r="G22" i="7" l="1"/>
  <c r="AL10" i="20" l="1"/>
  <c r="AL11" i="20"/>
  <c r="AL12" i="20"/>
  <c r="AL13" i="20"/>
  <c r="AL14" i="20"/>
  <c r="AL15" i="20"/>
  <c r="AL16" i="20"/>
  <c r="AL17" i="20"/>
  <c r="AL18" i="20"/>
  <c r="AL19" i="20"/>
  <c r="AL20" i="20"/>
  <c r="AL21" i="20"/>
  <c r="AL22" i="20"/>
  <c r="AL23" i="20"/>
  <c r="AL7" i="20"/>
  <c r="AL8" i="20"/>
  <c r="AL9" i="20"/>
  <c r="A68" i="26"/>
  <c r="S5" i="44" s="1"/>
  <c r="S5" i="38"/>
  <c r="AL25" i="20"/>
  <c r="H25" i="20"/>
  <c r="CT1" i="29"/>
  <c r="V25" i="36" s="1"/>
  <c r="B25" i="36" s="1"/>
  <c r="DN1" i="29"/>
  <c r="DM1" i="29"/>
  <c r="DR1" i="29"/>
  <c r="AB14" i="36" s="1"/>
  <c r="DQ1" i="29"/>
  <c r="AB13" i="36" s="1"/>
  <c r="DP1" i="29"/>
  <c r="AB12" i="36" s="1"/>
  <c r="DO1" i="29"/>
  <c r="AB11" i="36" s="1"/>
  <c r="B51" i="33"/>
  <c r="DA1" i="29"/>
  <c r="V20" i="36" s="1"/>
  <c r="C20" i="36" s="1"/>
  <c r="AA53" i="33"/>
  <c r="AA39" i="33"/>
  <c r="AA25" i="33"/>
  <c r="AA11" i="33"/>
  <c r="AA58" i="33"/>
  <c r="Z58" i="33"/>
  <c r="Y58" i="33"/>
  <c r="X58" i="33"/>
  <c r="W58" i="33"/>
  <c r="V58" i="33"/>
  <c r="U58" i="33"/>
  <c r="T58" i="33"/>
  <c r="S58" i="33"/>
  <c r="R58" i="33"/>
  <c r="Q58" i="33"/>
  <c r="P58" i="33"/>
  <c r="O58" i="33"/>
  <c r="N58" i="33"/>
  <c r="M58" i="33"/>
  <c r="L58" i="33"/>
  <c r="K58" i="33"/>
  <c r="J58" i="33"/>
  <c r="I58" i="33"/>
  <c r="H58" i="33"/>
  <c r="G58" i="33"/>
  <c r="F58" i="33"/>
  <c r="E58" i="33"/>
  <c r="D58" i="33"/>
  <c r="C58" i="33"/>
  <c r="AA44" i="33"/>
  <c r="Z44" i="33"/>
  <c r="Y44" i="33"/>
  <c r="X44" i="33"/>
  <c r="W44" i="33"/>
  <c r="V44" i="33"/>
  <c r="U44" i="33"/>
  <c r="T44" i="33"/>
  <c r="S44" i="33"/>
  <c r="R44" i="33"/>
  <c r="Q44" i="33"/>
  <c r="P44" i="33"/>
  <c r="O44" i="33"/>
  <c r="N44" i="33"/>
  <c r="M44" i="33"/>
  <c r="L44" i="33"/>
  <c r="K44" i="33"/>
  <c r="J44" i="33"/>
  <c r="I44" i="33"/>
  <c r="H44" i="33"/>
  <c r="G44" i="33"/>
  <c r="F44" i="33"/>
  <c r="E44" i="33"/>
  <c r="D44" i="33"/>
  <c r="C44" i="33"/>
  <c r="AA30" i="33"/>
  <c r="Z30" i="33"/>
  <c r="Y30" i="33"/>
  <c r="X30" i="33"/>
  <c r="W30" i="33"/>
  <c r="V30" i="33"/>
  <c r="U30" i="33"/>
  <c r="T30" i="33"/>
  <c r="S30" i="33"/>
  <c r="R30" i="33"/>
  <c r="Q30" i="33"/>
  <c r="P30" i="33"/>
  <c r="O30" i="33"/>
  <c r="N30" i="33"/>
  <c r="M30" i="33"/>
  <c r="L30" i="33"/>
  <c r="K30" i="33"/>
  <c r="J30" i="33"/>
  <c r="I30" i="33"/>
  <c r="H30" i="33"/>
  <c r="G30" i="33"/>
  <c r="F30" i="33"/>
  <c r="E30" i="33"/>
  <c r="D30" i="33"/>
  <c r="C30" i="33"/>
  <c r="AA53" i="32"/>
  <c r="AA39" i="32"/>
  <c r="AA25" i="32"/>
  <c r="C11" i="33"/>
  <c r="B25" i="26" s="1"/>
  <c r="B55" i="26" s="1"/>
  <c r="D11" i="33"/>
  <c r="AA58" i="32"/>
  <c r="Z58" i="32"/>
  <c r="Y58" i="32"/>
  <c r="X58" i="32"/>
  <c r="W58" i="32"/>
  <c r="V58" i="32"/>
  <c r="U58" i="32"/>
  <c r="T58" i="32"/>
  <c r="S58" i="32"/>
  <c r="R58" i="32"/>
  <c r="Q58" i="32"/>
  <c r="P58" i="32"/>
  <c r="O58" i="32"/>
  <c r="N58" i="32"/>
  <c r="M58" i="32"/>
  <c r="L58" i="32"/>
  <c r="K58" i="32"/>
  <c r="J58" i="32"/>
  <c r="I58" i="32"/>
  <c r="H58" i="32"/>
  <c r="G58" i="32"/>
  <c r="F58" i="32"/>
  <c r="E58" i="32"/>
  <c r="D58" i="32"/>
  <c r="C58" i="32"/>
  <c r="AA44" i="32"/>
  <c r="Z44" i="32"/>
  <c r="Y44" i="32"/>
  <c r="X44" i="32"/>
  <c r="W44" i="32"/>
  <c r="V44" i="32"/>
  <c r="U44" i="32"/>
  <c r="T44" i="32"/>
  <c r="S44" i="32"/>
  <c r="R44" i="32"/>
  <c r="Q44" i="32"/>
  <c r="P44" i="32"/>
  <c r="O44" i="32"/>
  <c r="N44" i="32"/>
  <c r="M44" i="32"/>
  <c r="L44" i="32"/>
  <c r="K44" i="32"/>
  <c r="J44" i="32"/>
  <c r="I44" i="32"/>
  <c r="H44" i="32"/>
  <c r="G44" i="32"/>
  <c r="F44" i="32"/>
  <c r="E44" i="32"/>
  <c r="D44" i="32"/>
  <c r="C44" i="32"/>
  <c r="AA30" i="32"/>
  <c r="Z30" i="32"/>
  <c r="Y30" i="32"/>
  <c r="X30" i="32"/>
  <c r="W30" i="32"/>
  <c r="V30" i="32"/>
  <c r="U30" i="32"/>
  <c r="T30" i="32"/>
  <c r="S30" i="32"/>
  <c r="R30" i="32"/>
  <c r="Q30" i="32"/>
  <c r="P30" i="32"/>
  <c r="O30" i="32"/>
  <c r="N30" i="32"/>
  <c r="M30" i="32"/>
  <c r="L30" i="32"/>
  <c r="K30" i="32"/>
  <c r="J30" i="32"/>
  <c r="I30" i="32"/>
  <c r="H30" i="32"/>
  <c r="G30" i="32"/>
  <c r="F30" i="32"/>
  <c r="E30" i="32"/>
  <c r="D30" i="32"/>
  <c r="C30" i="32"/>
  <c r="AA16" i="32"/>
  <c r="Z16" i="32"/>
  <c r="Y16" i="32"/>
  <c r="X16" i="32"/>
  <c r="W16" i="32"/>
  <c r="V16" i="32"/>
  <c r="U16" i="32"/>
  <c r="T16" i="32"/>
  <c r="S16" i="32"/>
  <c r="R16" i="32"/>
  <c r="Q16" i="32"/>
  <c r="P16" i="32"/>
  <c r="O16" i="32"/>
  <c r="N16" i="32"/>
  <c r="M16" i="32"/>
  <c r="L16" i="32"/>
  <c r="K16" i="32"/>
  <c r="J16" i="32"/>
  <c r="I16" i="32"/>
  <c r="H16" i="32"/>
  <c r="G16" i="32"/>
  <c r="F16" i="32"/>
  <c r="E16" i="32"/>
  <c r="D16" i="32"/>
  <c r="C16" i="32"/>
  <c r="AA11" i="32"/>
  <c r="D11" i="32"/>
  <c r="C11" i="32"/>
  <c r="B24" i="26" s="1"/>
  <c r="B54" i="26" s="1"/>
  <c r="AA16" i="33"/>
  <c r="Z16" i="33"/>
  <c r="Y16" i="33"/>
  <c r="X16" i="33"/>
  <c r="W16" i="33"/>
  <c r="V16" i="33"/>
  <c r="U16" i="33"/>
  <c r="T16" i="33"/>
  <c r="S16" i="33"/>
  <c r="R16" i="33"/>
  <c r="Q16" i="33"/>
  <c r="P16" i="33"/>
  <c r="O16" i="33"/>
  <c r="N16" i="33"/>
  <c r="M16" i="33"/>
  <c r="L16" i="33"/>
  <c r="K16" i="33"/>
  <c r="J16" i="33"/>
  <c r="I16" i="33"/>
  <c r="H16" i="33"/>
  <c r="G16" i="33"/>
  <c r="F16" i="33"/>
  <c r="E16" i="33"/>
  <c r="D16" i="33"/>
  <c r="C16" i="33"/>
  <c r="AA142" i="31"/>
  <c r="Z142" i="31"/>
  <c r="Y142" i="31"/>
  <c r="X142" i="31"/>
  <c r="W142" i="31"/>
  <c r="V142" i="31"/>
  <c r="U142" i="31"/>
  <c r="T142" i="31"/>
  <c r="S142" i="31"/>
  <c r="R142" i="31"/>
  <c r="Q142" i="31"/>
  <c r="P142" i="31"/>
  <c r="O142" i="31"/>
  <c r="N142" i="31"/>
  <c r="M142" i="31"/>
  <c r="L142" i="31"/>
  <c r="K142" i="31"/>
  <c r="J142" i="31"/>
  <c r="I142" i="31"/>
  <c r="H142" i="31"/>
  <c r="G142" i="31"/>
  <c r="F142" i="31"/>
  <c r="E142" i="31"/>
  <c r="D142" i="31"/>
  <c r="C142" i="31"/>
  <c r="C143" i="31"/>
  <c r="D143" i="31"/>
  <c r="E143" i="31"/>
  <c r="F143" i="31"/>
  <c r="G143" i="31"/>
  <c r="H143" i="31"/>
  <c r="I143" i="31"/>
  <c r="J143" i="31"/>
  <c r="K143" i="31"/>
  <c r="L143" i="31"/>
  <c r="M143" i="31"/>
  <c r="N143" i="31"/>
  <c r="O143" i="31"/>
  <c r="P143" i="31"/>
  <c r="Q143" i="31"/>
  <c r="R143" i="31"/>
  <c r="S143" i="31"/>
  <c r="T143" i="31"/>
  <c r="U143" i="31"/>
  <c r="V143" i="31"/>
  <c r="W143" i="31"/>
  <c r="X143" i="31"/>
  <c r="Y143" i="31"/>
  <c r="Z143" i="31"/>
  <c r="AA143" i="31"/>
  <c r="AA128" i="31"/>
  <c r="Z128" i="31"/>
  <c r="Y128" i="31"/>
  <c r="X128" i="31"/>
  <c r="W128" i="31"/>
  <c r="V128" i="31"/>
  <c r="U128" i="31"/>
  <c r="T128" i="31"/>
  <c r="S128" i="31"/>
  <c r="R128" i="31"/>
  <c r="Q128" i="31"/>
  <c r="P128" i="31"/>
  <c r="O128" i="31"/>
  <c r="N128" i="31"/>
  <c r="M128" i="31"/>
  <c r="L128" i="31"/>
  <c r="K128" i="31"/>
  <c r="J128" i="31"/>
  <c r="I128" i="31"/>
  <c r="H128" i="31"/>
  <c r="G128" i="31"/>
  <c r="F128" i="31"/>
  <c r="E128" i="31"/>
  <c r="D128" i="31"/>
  <c r="C128" i="31"/>
  <c r="AA114" i="31"/>
  <c r="Z114" i="31"/>
  <c r="Y114" i="31"/>
  <c r="X114" i="31"/>
  <c r="W114" i="31"/>
  <c r="V114" i="31"/>
  <c r="U114" i="31"/>
  <c r="T114" i="31"/>
  <c r="S114" i="31"/>
  <c r="R114" i="31"/>
  <c r="Q114" i="31"/>
  <c r="P114" i="31"/>
  <c r="O114" i="31"/>
  <c r="N114" i="31"/>
  <c r="M114" i="31"/>
  <c r="L114" i="31"/>
  <c r="K114" i="31"/>
  <c r="J114" i="31"/>
  <c r="I114" i="31"/>
  <c r="H114" i="31"/>
  <c r="G114" i="31"/>
  <c r="F114" i="31"/>
  <c r="E114" i="31"/>
  <c r="D114" i="31"/>
  <c r="C114" i="31"/>
  <c r="AA100" i="31"/>
  <c r="Z100" i="31"/>
  <c r="Y100" i="31"/>
  <c r="X100" i="31"/>
  <c r="W100" i="31"/>
  <c r="V100" i="31"/>
  <c r="U100" i="31"/>
  <c r="T100" i="31"/>
  <c r="S100" i="31"/>
  <c r="R100" i="31"/>
  <c r="Q100" i="31"/>
  <c r="P100" i="31"/>
  <c r="O100" i="31"/>
  <c r="N100" i="31"/>
  <c r="M100" i="31"/>
  <c r="L100" i="31"/>
  <c r="K100" i="31"/>
  <c r="J100" i="31"/>
  <c r="I100" i="31"/>
  <c r="H100" i="31"/>
  <c r="G100" i="31"/>
  <c r="F100" i="31"/>
  <c r="E100" i="31"/>
  <c r="D100" i="31"/>
  <c r="C100" i="31"/>
  <c r="AA86" i="31"/>
  <c r="Z86" i="31"/>
  <c r="Y86" i="31"/>
  <c r="X86" i="31"/>
  <c r="W86" i="31"/>
  <c r="V86" i="31"/>
  <c r="U86" i="31"/>
  <c r="T86" i="31"/>
  <c r="S86" i="31"/>
  <c r="R86" i="31"/>
  <c r="Q86" i="31"/>
  <c r="P86" i="31"/>
  <c r="O86" i="31"/>
  <c r="N86" i="31"/>
  <c r="M86" i="31"/>
  <c r="L86" i="31"/>
  <c r="K86" i="31"/>
  <c r="J86" i="31"/>
  <c r="I86" i="31"/>
  <c r="H86" i="31"/>
  <c r="G86" i="31"/>
  <c r="F86" i="31"/>
  <c r="E86" i="31"/>
  <c r="D86" i="31"/>
  <c r="C86" i="31"/>
  <c r="AA72" i="31"/>
  <c r="Z72" i="31"/>
  <c r="Y72" i="31"/>
  <c r="X72" i="31"/>
  <c r="W72" i="31"/>
  <c r="V72" i="31"/>
  <c r="U72" i="31"/>
  <c r="T72" i="31"/>
  <c r="S72" i="31"/>
  <c r="R72" i="31"/>
  <c r="Q72" i="31"/>
  <c r="P72" i="31"/>
  <c r="O72" i="31"/>
  <c r="N72" i="31"/>
  <c r="M72" i="31"/>
  <c r="L72" i="31"/>
  <c r="K72" i="31"/>
  <c r="J72" i="31"/>
  <c r="I72" i="31"/>
  <c r="H72" i="31"/>
  <c r="G72" i="31"/>
  <c r="F72" i="31"/>
  <c r="E72" i="31"/>
  <c r="D72" i="31"/>
  <c r="C72" i="31"/>
  <c r="AA58" i="31"/>
  <c r="Z58" i="31"/>
  <c r="Y58" i="31"/>
  <c r="X58" i="31"/>
  <c r="W58" i="31"/>
  <c r="V58" i="31"/>
  <c r="U58" i="31"/>
  <c r="T58" i="31"/>
  <c r="S58" i="31"/>
  <c r="R58" i="31"/>
  <c r="Q58" i="31"/>
  <c r="P58" i="31"/>
  <c r="O58" i="31"/>
  <c r="N58" i="31"/>
  <c r="M58" i="31"/>
  <c r="L58" i="31"/>
  <c r="K58" i="31"/>
  <c r="J58" i="31"/>
  <c r="I58" i="31"/>
  <c r="H58" i="31"/>
  <c r="G58" i="31"/>
  <c r="F58" i="31"/>
  <c r="E58" i="31"/>
  <c r="D58" i="31"/>
  <c r="C58" i="31"/>
  <c r="AA44" i="31"/>
  <c r="Z44" i="31"/>
  <c r="Y44" i="31"/>
  <c r="X44" i="31"/>
  <c r="W44" i="31"/>
  <c r="V44" i="31"/>
  <c r="U44" i="31"/>
  <c r="T44" i="31"/>
  <c r="S44" i="31"/>
  <c r="R44" i="31"/>
  <c r="Q44" i="31"/>
  <c r="P44" i="31"/>
  <c r="O44" i="31"/>
  <c r="N44" i="31"/>
  <c r="M44" i="31"/>
  <c r="L44" i="31"/>
  <c r="K44" i="31"/>
  <c r="J44" i="31"/>
  <c r="I44" i="31"/>
  <c r="H44" i="31"/>
  <c r="G44" i="31"/>
  <c r="F44" i="31"/>
  <c r="E44" i="31"/>
  <c r="D44" i="31"/>
  <c r="C44" i="31"/>
  <c r="AA30" i="31"/>
  <c r="Z30" i="31"/>
  <c r="Y30" i="31"/>
  <c r="X30" i="31"/>
  <c r="W30" i="31"/>
  <c r="V30" i="31"/>
  <c r="U30" i="31"/>
  <c r="T30" i="31"/>
  <c r="S30" i="31"/>
  <c r="R30" i="31"/>
  <c r="Q30" i="31"/>
  <c r="P30" i="31"/>
  <c r="O30" i="31"/>
  <c r="N30" i="31"/>
  <c r="M30" i="31"/>
  <c r="L30" i="31"/>
  <c r="K30" i="31"/>
  <c r="J30" i="31"/>
  <c r="I30" i="31"/>
  <c r="H30" i="31"/>
  <c r="G30" i="31"/>
  <c r="F30" i="31"/>
  <c r="E30" i="31"/>
  <c r="D30" i="31"/>
  <c r="C30" i="31"/>
  <c r="AA137" i="31"/>
  <c r="AA136" i="31"/>
  <c r="AA123" i="31"/>
  <c r="AA122" i="31"/>
  <c r="AA109" i="31"/>
  <c r="AA108" i="31"/>
  <c r="AA95" i="31"/>
  <c r="AA94" i="31"/>
  <c r="AA81" i="31"/>
  <c r="AA80" i="31"/>
  <c r="AA67" i="31"/>
  <c r="AA66" i="31"/>
  <c r="AA53" i="31"/>
  <c r="AA52" i="31"/>
  <c r="AA39" i="31"/>
  <c r="AA38" i="31"/>
  <c r="AA25" i="31"/>
  <c r="AA24" i="31"/>
  <c r="AA11" i="31"/>
  <c r="C137" i="31"/>
  <c r="B36" i="26" s="1"/>
  <c r="C123" i="31"/>
  <c r="B35" i="26" s="1"/>
  <c r="C109" i="31"/>
  <c r="B34" i="26" s="1"/>
  <c r="C95" i="31"/>
  <c r="B33" i="26" s="1"/>
  <c r="C81" i="31"/>
  <c r="B32" i="26" s="1"/>
  <c r="C67" i="31"/>
  <c r="B31" i="26" s="1"/>
  <c r="C53" i="31"/>
  <c r="B30" i="26" s="1"/>
  <c r="C39" i="31"/>
  <c r="B29" i="26" s="1"/>
  <c r="C25" i="31"/>
  <c r="B28" i="26" s="1"/>
  <c r="C11" i="31"/>
  <c r="B27" i="26" s="1"/>
  <c r="D137" i="31"/>
  <c r="D123" i="31"/>
  <c r="D109" i="31"/>
  <c r="D95" i="31"/>
  <c r="D81" i="31"/>
  <c r="D67" i="31"/>
  <c r="D53" i="31"/>
  <c r="D39" i="31"/>
  <c r="D25" i="31"/>
  <c r="D11" i="31"/>
  <c r="B60" i="26" l="1"/>
  <c r="BC30" i="26"/>
  <c r="BD30" i="26"/>
  <c r="B64" i="26"/>
  <c r="BD34" i="26"/>
  <c r="BC34" i="26"/>
  <c r="B65" i="26"/>
  <c r="BD35" i="26"/>
  <c r="BC35" i="26"/>
  <c r="B66" i="26"/>
  <c r="BD36" i="26"/>
  <c r="BC36" i="26"/>
  <c r="B63" i="26"/>
  <c r="BD33" i="26"/>
  <c r="BC33" i="26"/>
  <c r="B62" i="26"/>
  <c r="BD32" i="26"/>
  <c r="BC32" i="26"/>
  <c r="B61" i="26"/>
  <c r="BD31" i="26"/>
  <c r="BC31" i="26"/>
  <c r="B57" i="26"/>
  <c r="BD27" i="26"/>
  <c r="BC27" i="26"/>
  <c r="B58" i="26"/>
  <c r="BD28" i="26"/>
  <c r="BC28" i="26"/>
  <c r="B59" i="26"/>
  <c r="BD29" i="26"/>
  <c r="BC29" i="26"/>
  <c r="J11" i="36"/>
  <c r="J13" i="36"/>
  <c r="AL24" i="20"/>
  <c r="B85" i="26"/>
  <c r="B115" i="26"/>
  <c r="B126" i="26"/>
  <c r="B96" i="26"/>
  <c r="B124" i="26"/>
  <c r="B94" i="26"/>
  <c r="B93" i="26"/>
  <c r="B123" i="26"/>
  <c r="B125" i="26"/>
  <c r="B95" i="26"/>
  <c r="B87" i="26"/>
  <c r="B117" i="26"/>
  <c r="B88" i="26"/>
  <c r="B118" i="26"/>
  <c r="B89" i="26"/>
  <c r="B119" i="26"/>
  <c r="B90" i="26"/>
  <c r="B120" i="26"/>
  <c r="B91" i="26"/>
  <c r="B121" i="26"/>
  <c r="B114" i="26"/>
  <c r="B84" i="26"/>
  <c r="B92" i="26"/>
  <c r="B122" i="26"/>
  <c r="B26" i="26"/>
  <c r="B56" i="26" s="1"/>
  <c r="J12" i="36"/>
  <c r="K12" i="36"/>
  <c r="J14" i="36"/>
  <c r="K14" i="36"/>
  <c r="K13" i="36"/>
  <c r="K11" i="36"/>
  <c r="C25" i="36"/>
  <c r="B20" i="36"/>
  <c r="J45" i="7"/>
  <c r="K45" i="7"/>
  <c r="L45" i="7"/>
  <c r="M45" i="7"/>
  <c r="I45" i="7"/>
  <c r="J44" i="7"/>
  <c r="K44" i="7"/>
  <c r="L44" i="7"/>
  <c r="M44" i="7"/>
  <c r="I44" i="7"/>
  <c r="J71" i="7"/>
  <c r="K71" i="7"/>
  <c r="L71" i="7"/>
  <c r="M71" i="7"/>
  <c r="I71" i="7"/>
  <c r="J70" i="7"/>
  <c r="K70" i="7"/>
  <c r="L70" i="7"/>
  <c r="M70" i="7"/>
  <c r="I70" i="7"/>
  <c r="G55" i="7"/>
  <c r="G54" i="7"/>
  <c r="G53" i="7"/>
  <c r="G52" i="7"/>
  <c r="G51" i="7"/>
  <c r="G50" i="7"/>
  <c r="G49" i="7"/>
  <c r="G48" i="7"/>
  <c r="G47" i="7"/>
  <c r="G46" i="7"/>
  <c r="G81" i="7"/>
  <c r="G80" i="7"/>
  <c r="G79" i="7"/>
  <c r="G78" i="7"/>
  <c r="G77" i="7"/>
  <c r="G76" i="7"/>
  <c r="G75" i="7"/>
  <c r="G74" i="7"/>
  <c r="G73" i="7"/>
  <c r="G72" i="7"/>
  <c r="B116" i="26" l="1"/>
  <c r="B86" i="26"/>
  <c r="AD39" i="17"/>
  <c r="AD17" i="17"/>
  <c r="AP16" i="17"/>
  <c r="AP17" i="17" s="1"/>
  <c r="AO17" i="17"/>
  <c r="AN16" i="17"/>
  <c r="AS16" i="17" s="1"/>
  <c r="G58" i="45" s="1"/>
  <c r="Y3" i="17"/>
  <c r="D59" i="31"/>
  <c r="E59" i="31"/>
  <c r="F59" i="31"/>
  <c r="G59" i="31"/>
  <c r="H59" i="31"/>
  <c r="I59" i="31"/>
  <c r="J59" i="31"/>
  <c r="K59" i="31"/>
  <c r="L59" i="31"/>
  <c r="M59" i="31"/>
  <c r="N59" i="31"/>
  <c r="O59" i="31"/>
  <c r="P59" i="31"/>
  <c r="Q59" i="31"/>
  <c r="R59" i="31"/>
  <c r="S59" i="31"/>
  <c r="T59" i="31"/>
  <c r="U59" i="31"/>
  <c r="V59" i="31"/>
  <c r="W59" i="31"/>
  <c r="X59" i="31"/>
  <c r="Y59" i="31"/>
  <c r="Z59" i="31"/>
  <c r="AA59" i="31"/>
  <c r="C59" i="31"/>
  <c r="D45" i="31"/>
  <c r="E45" i="31"/>
  <c r="F45" i="31"/>
  <c r="G45" i="31"/>
  <c r="H45" i="31"/>
  <c r="I45" i="31"/>
  <c r="J45" i="31"/>
  <c r="K45" i="31"/>
  <c r="L45" i="31"/>
  <c r="M45" i="31"/>
  <c r="N45" i="31"/>
  <c r="O45" i="31"/>
  <c r="P45" i="31"/>
  <c r="Q45" i="31"/>
  <c r="R45" i="31"/>
  <c r="S45" i="31"/>
  <c r="T45" i="31"/>
  <c r="U45" i="31"/>
  <c r="V45" i="31"/>
  <c r="W45" i="31"/>
  <c r="X45" i="31"/>
  <c r="Y45" i="31"/>
  <c r="Z45" i="31"/>
  <c r="AA45" i="31"/>
  <c r="C45" i="31"/>
  <c r="AB10" i="36" l="1"/>
  <c r="CG1" i="29"/>
  <c r="BW1" i="29"/>
  <c r="BV1" i="29"/>
  <c r="BU1" i="29"/>
  <c r="BT1" i="29"/>
  <c r="BS1" i="29"/>
  <c r="BR1" i="29"/>
  <c r="AB9" i="36"/>
  <c r="D129" i="31"/>
  <c r="E129" i="31"/>
  <c r="F129" i="31"/>
  <c r="G129" i="31"/>
  <c r="H129" i="31"/>
  <c r="I129" i="31"/>
  <c r="J129" i="31"/>
  <c r="K129" i="31"/>
  <c r="L129" i="31"/>
  <c r="M129" i="31"/>
  <c r="N129" i="31"/>
  <c r="O129" i="31"/>
  <c r="P129" i="31"/>
  <c r="Q129" i="31"/>
  <c r="R129" i="31"/>
  <c r="S129" i="31"/>
  <c r="T129" i="31"/>
  <c r="U129" i="31"/>
  <c r="V129" i="31"/>
  <c r="W129" i="31"/>
  <c r="X129" i="31"/>
  <c r="Y129" i="31"/>
  <c r="Z129" i="31"/>
  <c r="AA129" i="31"/>
  <c r="C129" i="31"/>
  <c r="D115" i="31"/>
  <c r="E115" i="31"/>
  <c r="F115" i="31"/>
  <c r="G115" i="31"/>
  <c r="H115" i="31"/>
  <c r="I115" i="31"/>
  <c r="J115" i="31"/>
  <c r="K115" i="31"/>
  <c r="L115" i="31"/>
  <c r="M115" i="31"/>
  <c r="N115" i="31"/>
  <c r="O115" i="31"/>
  <c r="P115" i="31"/>
  <c r="Q115" i="31"/>
  <c r="R115" i="31"/>
  <c r="S115" i="31"/>
  <c r="T115" i="31"/>
  <c r="U115" i="31"/>
  <c r="V115" i="31"/>
  <c r="W115" i="31"/>
  <c r="X115" i="31"/>
  <c r="Y115" i="31"/>
  <c r="Z115" i="31"/>
  <c r="AA115" i="31"/>
  <c r="C115" i="31"/>
  <c r="D101" i="31"/>
  <c r="E101" i="31"/>
  <c r="F101" i="31"/>
  <c r="G101" i="31"/>
  <c r="H101" i="31"/>
  <c r="I101" i="31"/>
  <c r="J101" i="31"/>
  <c r="K101" i="31"/>
  <c r="L101" i="31"/>
  <c r="M101" i="31"/>
  <c r="N101" i="31"/>
  <c r="O101" i="31"/>
  <c r="P101" i="31"/>
  <c r="Q101" i="31"/>
  <c r="R101" i="31"/>
  <c r="S101" i="31"/>
  <c r="T101" i="31"/>
  <c r="U101" i="31"/>
  <c r="V101" i="31"/>
  <c r="W101" i="31"/>
  <c r="X101" i="31"/>
  <c r="Y101" i="31"/>
  <c r="Z101" i="31"/>
  <c r="AA101" i="31"/>
  <c r="C101" i="31"/>
  <c r="D73" i="31"/>
  <c r="E73" i="31"/>
  <c r="F73" i="31"/>
  <c r="G73" i="31"/>
  <c r="H73" i="31"/>
  <c r="I73" i="31"/>
  <c r="J73" i="31"/>
  <c r="K73" i="31"/>
  <c r="L73" i="31"/>
  <c r="M73" i="31"/>
  <c r="N73" i="31"/>
  <c r="O73" i="31"/>
  <c r="P73" i="31"/>
  <c r="Q73" i="31"/>
  <c r="R73" i="31"/>
  <c r="S73" i="31"/>
  <c r="T73" i="31"/>
  <c r="U73" i="31"/>
  <c r="V73" i="31"/>
  <c r="W73" i="31"/>
  <c r="X73" i="31"/>
  <c r="Y73" i="31"/>
  <c r="Z73" i="31"/>
  <c r="AA73" i="31"/>
  <c r="C73" i="31"/>
  <c r="D87" i="31"/>
  <c r="E87" i="31"/>
  <c r="F87" i="31"/>
  <c r="G87" i="31"/>
  <c r="H87" i="31"/>
  <c r="I87" i="31"/>
  <c r="J87" i="31"/>
  <c r="K87" i="31"/>
  <c r="L87" i="31"/>
  <c r="M87" i="31"/>
  <c r="N87" i="31"/>
  <c r="O87" i="31"/>
  <c r="P87" i="31"/>
  <c r="Q87" i="31"/>
  <c r="R87" i="31"/>
  <c r="S87" i="31"/>
  <c r="T87" i="31"/>
  <c r="U87" i="31"/>
  <c r="V87" i="31"/>
  <c r="W87" i="31"/>
  <c r="X87" i="31"/>
  <c r="Y87" i="31"/>
  <c r="Z87" i="31"/>
  <c r="AA87" i="31"/>
  <c r="C87" i="31"/>
  <c r="R136" i="31"/>
  <c r="R122" i="31"/>
  <c r="R108" i="31"/>
  <c r="R94" i="31"/>
  <c r="R80" i="31"/>
  <c r="R66" i="31"/>
  <c r="R52" i="31"/>
  <c r="R38" i="31"/>
  <c r="R24" i="31"/>
  <c r="R10" i="31"/>
  <c r="D31" i="31"/>
  <c r="E31" i="31"/>
  <c r="F31" i="31"/>
  <c r="G31" i="31"/>
  <c r="H31" i="31"/>
  <c r="I31" i="31"/>
  <c r="J31" i="31"/>
  <c r="K31" i="31"/>
  <c r="L31" i="31"/>
  <c r="M31" i="31"/>
  <c r="N31" i="31"/>
  <c r="O31" i="31"/>
  <c r="P31" i="31"/>
  <c r="Q31" i="31"/>
  <c r="R31" i="31"/>
  <c r="S31" i="31"/>
  <c r="T31" i="31"/>
  <c r="U31" i="31"/>
  <c r="V31" i="31"/>
  <c r="W31" i="31"/>
  <c r="X31" i="31"/>
  <c r="Y31" i="31"/>
  <c r="Z31" i="31"/>
  <c r="AA31" i="31"/>
  <c r="C31" i="31"/>
  <c r="D17" i="31"/>
  <c r="E17" i="31"/>
  <c r="F17" i="31"/>
  <c r="G17" i="31"/>
  <c r="H17" i="31"/>
  <c r="I17" i="31"/>
  <c r="J17" i="31"/>
  <c r="K17" i="31"/>
  <c r="L17" i="31"/>
  <c r="M17" i="31"/>
  <c r="N17" i="31"/>
  <c r="O17" i="31"/>
  <c r="P17" i="31"/>
  <c r="Q17" i="31"/>
  <c r="R17" i="31"/>
  <c r="S17" i="31"/>
  <c r="T17" i="31"/>
  <c r="U17" i="31"/>
  <c r="V17" i="31"/>
  <c r="W17" i="31"/>
  <c r="X17" i="31"/>
  <c r="Y17" i="31"/>
  <c r="Z17" i="31"/>
  <c r="AA17" i="31"/>
  <c r="C17" i="31"/>
  <c r="K10" i="36" l="1"/>
  <c r="J10" i="36"/>
  <c r="J9" i="36"/>
  <c r="K9" i="36"/>
  <c r="DL1" i="29"/>
  <c r="DK1" i="29"/>
  <c r="V33" i="36" s="1"/>
  <c r="DJ1" i="29"/>
  <c r="DI1" i="29"/>
  <c r="V32" i="36" s="1"/>
  <c r="DH1" i="29"/>
  <c r="DG1" i="29"/>
  <c r="V31" i="36" s="1"/>
  <c r="DF1" i="29"/>
  <c r="V28" i="36" s="1"/>
  <c r="C28" i="36" s="1"/>
  <c r="DB1" i="29"/>
  <c r="V21" i="36" s="1"/>
  <c r="CZ1" i="29"/>
  <c r="V18" i="36" s="1"/>
  <c r="CY1" i="29"/>
  <c r="V17" i="36" s="1"/>
  <c r="CX1" i="29"/>
  <c r="V16" i="36" s="1"/>
  <c r="CW1" i="29"/>
  <c r="CV1" i="29"/>
  <c r="V15" i="36" s="1"/>
  <c r="CU1" i="29"/>
  <c r="BN1" i="29"/>
  <c r="BK1" i="29"/>
  <c r="BJ1" i="29"/>
  <c r="BH1" i="29"/>
  <c r="BG1" i="29"/>
  <c r="AI1" i="29"/>
  <c r="AH1" i="29"/>
  <c r="AG1" i="29"/>
  <c r="AF1" i="29"/>
  <c r="Y1" i="29"/>
  <c r="X1" i="29"/>
  <c r="W1" i="29"/>
  <c r="T1" i="29"/>
  <c r="S1" i="29"/>
  <c r="R1" i="29"/>
  <c r="Q1" i="29"/>
  <c r="P1" i="29"/>
  <c r="O1" i="29"/>
  <c r="I1" i="29"/>
  <c r="N1" i="29"/>
  <c r="M1" i="29"/>
  <c r="L1" i="29"/>
  <c r="K1" i="29"/>
  <c r="J1" i="29"/>
  <c r="H1" i="29"/>
  <c r="BQ1" i="29"/>
  <c r="V5" i="36" s="1"/>
  <c r="BP1" i="29"/>
  <c r="V4" i="36" s="1"/>
  <c r="T9" i="36"/>
  <c r="T10" i="36" s="1"/>
  <c r="V23" i="36"/>
  <c r="V22" i="36"/>
  <c r="V10" i="36"/>
  <c r="V13" i="36"/>
  <c r="V12" i="36"/>
  <c r="V11" i="36"/>
  <c r="V9" i="36"/>
  <c r="C4" i="36" l="1"/>
  <c r="B4" i="36"/>
  <c r="B5" i="36"/>
  <c r="C5" i="36"/>
  <c r="V26" i="36"/>
  <c r="C26" i="36" s="1"/>
  <c r="C16" i="36"/>
  <c r="C17" i="36"/>
  <c r="C15" i="36"/>
  <c r="C32" i="36"/>
  <c r="B11" i="36"/>
  <c r="C12" i="36"/>
  <c r="C10" i="36"/>
  <c r="C21" i="36"/>
  <c r="B13" i="36"/>
  <c r="C22" i="36"/>
  <c r="C23" i="36"/>
  <c r="C33" i="36"/>
  <c r="B12" i="36"/>
  <c r="B10" i="36"/>
  <c r="B18" i="36"/>
  <c r="C18" i="36"/>
  <c r="C11" i="36"/>
  <c r="B15" i="36"/>
  <c r="B17" i="36"/>
  <c r="C9" i="36"/>
  <c r="B16" i="36"/>
  <c r="C13" i="36"/>
  <c r="B21" i="36"/>
  <c r="B23" i="36"/>
  <c r="B22" i="36"/>
  <c r="B28" i="36"/>
  <c r="B33" i="36"/>
  <c r="B9" i="36"/>
  <c r="B32" i="36"/>
  <c r="C31" i="36"/>
  <c r="B31" i="36"/>
  <c r="Y7" i="35"/>
  <c r="B11" i="26" s="1"/>
  <c r="Y8" i="35"/>
  <c r="Y9" i="35"/>
  <c r="Y10" i="35"/>
  <c r="Y11" i="35"/>
  <c r="Y12" i="35"/>
  <c r="Y13" i="35"/>
  <c r="Y14" i="35"/>
  <c r="Y6" i="35"/>
  <c r="C3" i="35"/>
  <c r="B26" i="36" l="1"/>
  <c r="O52" i="33"/>
  <c r="I52" i="33"/>
  <c r="G52" i="33"/>
  <c r="R52" i="33"/>
  <c r="R54" i="33" s="1"/>
  <c r="R38" i="33"/>
  <c r="R40" i="33" s="1"/>
  <c r="R24" i="33"/>
  <c r="R26" i="33" s="1"/>
  <c r="R10" i="33"/>
  <c r="R12" i="33" s="1"/>
  <c r="R52" i="32"/>
  <c r="R54" i="32" s="1"/>
  <c r="R38" i="32"/>
  <c r="R40" i="32" s="1"/>
  <c r="R24" i="32"/>
  <c r="R26" i="32" s="1"/>
  <c r="R10" i="32"/>
  <c r="R12" i="32" s="1"/>
  <c r="R138" i="31"/>
  <c r="O136" i="31"/>
  <c r="I136" i="31"/>
  <c r="R124" i="31"/>
  <c r="O122" i="31"/>
  <c r="I122" i="31"/>
  <c r="R110" i="31"/>
  <c r="I108" i="31"/>
  <c r="O108" i="31"/>
  <c r="O94" i="31"/>
  <c r="I94" i="31"/>
  <c r="I80" i="31"/>
  <c r="O80" i="31"/>
  <c r="R96" i="31"/>
  <c r="R82" i="31"/>
  <c r="R68" i="31"/>
  <c r="I66" i="31"/>
  <c r="O66" i="31"/>
  <c r="R54" i="31"/>
  <c r="O52" i="31"/>
  <c r="I52" i="31"/>
  <c r="R40" i="31"/>
  <c r="O38" i="31"/>
  <c r="I38" i="31"/>
  <c r="R26" i="31"/>
  <c r="R12" i="31"/>
  <c r="O24" i="31"/>
  <c r="O10" i="31"/>
  <c r="I24" i="31"/>
  <c r="I10" i="31"/>
  <c r="D145" i="31" l="1"/>
  <c r="F145" i="31"/>
  <c r="G145" i="31"/>
  <c r="H145" i="31"/>
  <c r="I145" i="31"/>
  <c r="J145" i="31"/>
  <c r="L145" i="31"/>
  <c r="O145" i="31"/>
  <c r="P145" i="31"/>
  <c r="Q145" i="31"/>
  <c r="R145" i="31"/>
  <c r="S145" i="31"/>
  <c r="T145" i="31"/>
  <c r="U145" i="31"/>
  <c r="V145" i="31"/>
  <c r="X145" i="31"/>
  <c r="Y145" i="31"/>
  <c r="Z145" i="31"/>
  <c r="AA145" i="31"/>
  <c r="E145" i="31"/>
  <c r="K145" i="31"/>
  <c r="M145" i="31"/>
  <c r="N145" i="31"/>
  <c r="W145" i="31"/>
  <c r="D131" i="31"/>
  <c r="E131" i="31"/>
  <c r="F131" i="31"/>
  <c r="G131" i="31"/>
  <c r="I131" i="31"/>
  <c r="J131" i="31"/>
  <c r="K131" i="31"/>
  <c r="M131" i="31"/>
  <c r="N131" i="31"/>
  <c r="O131" i="31"/>
  <c r="P131" i="31"/>
  <c r="Q131" i="31"/>
  <c r="R131" i="31"/>
  <c r="S131" i="31"/>
  <c r="T131" i="31"/>
  <c r="U131" i="31"/>
  <c r="V131" i="31"/>
  <c r="W131" i="31"/>
  <c r="X131" i="31"/>
  <c r="Y131" i="31"/>
  <c r="Z131" i="31"/>
  <c r="AA131" i="31"/>
  <c r="H131" i="31"/>
  <c r="L131" i="31"/>
  <c r="D117" i="31"/>
  <c r="E117" i="31"/>
  <c r="F117" i="31"/>
  <c r="G117" i="31"/>
  <c r="H117" i="31"/>
  <c r="I117" i="31"/>
  <c r="J117" i="31"/>
  <c r="K117" i="31"/>
  <c r="L117" i="31"/>
  <c r="M117" i="31"/>
  <c r="N117" i="31"/>
  <c r="O117" i="31"/>
  <c r="P117" i="31"/>
  <c r="Q117" i="31"/>
  <c r="R117" i="31"/>
  <c r="S117" i="31"/>
  <c r="T117" i="31"/>
  <c r="U117" i="31"/>
  <c r="V117" i="31"/>
  <c r="W117" i="31"/>
  <c r="X117" i="31"/>
  <c r="Y117" i="31"/>
  <c r="Z117" i="31"/>
  <c r="AA117" i="31"/>
  <c r="D103" i="31"/>
  <c r="F103" i="31"/>
  <c r="G103" i="31"/>
  <c r="H103" i="31"/>
  <c r="I103" i="31"/>
  <c r="J103" i="31"/>
  <c r="K103" i="31"/>
  <c r="L103" i="31"/>
  <c r="M103" i="31"/>
  <c r="N103" i="31"/>
  <c r="O103" i="31"/>
  <c r="P103" i="31"/>
  <c r="Q103" i="31"/>
  <c r="R103" i="31"/>
  <c r="S103" i="31"/>
  <c r="T103" i="31"/>
  <c r="U103" i="31"/>
  <c r="V103" i="31"/>
  <c r="W103" i="31"/>
  <c r="X103" i="31"/>
  <c r="Y103" i="31"/>
  <c r="Z103" i="31"/>
  <c r="AA103" i="31"/>
  <c r="E103" i="31"/>
  <c r="F89" i="31"/>
  <c r="G89" i="31"/>
  <c r="H89" i="31"/>
  <c r="I89" i="31"/>
  <c r="J89" i="31"/>
  <c r="K89" i="31"/>
  <c r="L89" i="31"/>
  <c r="M89" i="31"/>
  <c r="N89" i="31"/>
  <c r="O89" i="31"/>
  <c r="P89" i="31"/>
  <c r="Q89" i="31"/>
  <c r="R89" i="31"/>
  <c r="S89" i="31"/>
  <c r="T89" i="31"/>
  <c r="U89" i="31"/>
  <c r="V89" i="31"/>
  <c r="W89" i="31"/>
  <c r="X89" i="31"/>
  <c r="Y89" i="31"/>
  <c r="Z89" i="31"/>
  <c r="AA89" i="31"/>
  <c r="D89" i="31"/>
  <c r="E89" i="31"/>
  <c r="D75" i="31"/>
  <c r="E75" i="31"/>
  <c r="F75" i="31"/>
  <c r="G75" i="31"/>
  <c r="H75" i="31"/>
  <c r="I75" i="31"/>
  <c r="J75" i="31"/>
  <c r="K75" i="31"/>
  <c r="L75" i="31"/>
  <c r="M75" i="31"/>
  <c r="N75" i="31"/>
  <c r="O75" i="31"/>
  <c r="P75" i="31"/>
  <c r="Q75" i="31"/>
  <c r="R75" i="31"/>
  <c r="S75" i="31"/>
  <c r="T75" i="31"/>
  <c r="U75" i="31"/>
  <c r="V75" i="31"/>
  <c r="W75" i="31"/>
  <c r="X75" i="31"/>
  <c r="Y75" i="31"/>
  <c r="Z75" i="31"/>
  <c r="AA75" i="31"/>
  <c r="D61" i="31"/>
  <c r="E61" i="31"/>
  <c r="F61" i="31"/>
  <c r="G61" i="31"/>
  <c r="H61" i="31"/>
  <c r="I61" i="31"/>
  <c r="J61" i="31"/>
  <c r="K61" i="31"/>
  <c r="L61" i="31"/>
  <c r="M61" i="31"/>
  <c r="N61" i="31"/>
  <c r="O61" i="31"/>
  <c r="P61" i="31"/>
  <c r="Q61" i="31"/>
  <c r="R61" i="31"/>
  <c r="S61" i="31"/>
  <c r="T61" i="31"/>
  <c r="U61" i="31"/>
  <c r="V61" i="31"/>
  <c r="W61" i="31"/>
  <c r="X61" i="31"/>
  <c r="Y61" i="31"/>
  <c r="Z61" i="31"/>
  <c r="AA61" i="31"/>
  <c r="D47" i="31"/>
  <c r="E47" i="31"/>
  <c r="F47" i="31"/>
  <c r="G47" i="31"/>
  <c r="H47" i="31"/>
  <c r="I47" i="31"/>
  <c r="J47" i="31"/>
  <c r="K47" i="31"/>
  <c r="L47" i="31"/>
  <c r="M47" i="31"/>
  <c r="N47" i="31"/>
  <c r="O47" i="31"/>
  <c r="P47" i="31"/>
  <c r="Q47" i="31"/>
  <c r="R47" i="31"/>
  <c r="S47" i="31"/>
  <c r="T47" i="31"/>
  <c r="U47" i="31"/>
  <c r="V47" i="31"/>
  <c r="W47" i="31"/>
  <c r="X47" i="31"/>
  <c r="Y47" i="31"/>
  <c r="Z47" i="31"/>
  <c r="AA47" i="31"/>
  <c r="D33" i="31"/>
  <c r="E33" i="31"/>
  <c r="F33" i="31"/>
  <c r="G33" i="31"/>
  <c r="H33" i="31"/>
  <c r="I33" i="31"/>
  <c r="J33" i="31"/>
  <c r="K33" i="31"/>
  <c r="L33" i="31"/>
  <c r="M33" i="31"/>
  <c r="N33" i="31"/>
  <c r="O33" i="31"/>
  <c r="P33" i="31"/>
  <c r="Q33" i="31"/>
  <c r="R33" i="31"/>
  <c r="S33" i="31"/>
  <c r="T33" i="31"/>
  <c r="U33" i="31"/>
  <c r="V33" i="31"/>
  <c r="W33" i="31"/>
  <c r="X33" i="31"/>
  <c r="Y33" i="31"/>
  <c r="Z33" i="31"/>
  <c r="AA33" i="31"/>
  <c r="L16" i="31"/>
  <c r="M16" i="31"/>
  <c r="L19" i="31"/>
  <c r="M19" i="31"/>
  <c r="L59" i="33"/>
  <c r="L61" i="33" s="1"/>
  <c r="M59" i="33"/>
  <c r="M61" i="33" s="1"/>
  <c r="L45" i="33"/>
  <c r="L47" i="33" s="1"/>
  <c r="M45" i="33"/>
  <c r="M47" i="33" s="1"/>
  <c r="L31" i="33"/>
  <c r="L33" i="33" s="1"/>
  <c r="M31" i="33"/>
  <c r="M33" i="33" s="1"/>
  <c r="L17" i="33"/>
  <c r="L19" i="33" s="1"/>
  <c r="M17" i="33"/>
  <c r="M19" i="33" s="1"/>
  <c r="L59" i="32"/>
  <c r="L61" i="32" s="1"/>
  <c r="M59" i="32"/>
  <c r="M61" i="32" s="1"/>
  <c r="L45" i="32"/>
  <c r="L47" i="32" s="1"/>
  <c r="M45" i="32"/>
  <c r="M47" i="32" s="1"/>
  <c r="L31" i="32"/>
  <c r="L33" i="32" s="1"/>
  <c r="M31" i="32"/>
  <c r="M33" i="32" s="1"/>
  <c r="L17" i="32"/>
  <c r="L19" i="32" s="1"/>
  <c r="M17" i="32"/>
  <c r="M19" i="32" s="1"/>
  <c r="AJ3" i="17" l="1"/>
  <c r="N3" i="17"/>
  <c r="C3" i="17"/>
  <c r="L14" i="44" l="1"/>
  <c r="M14" i="42"/>
  <c r="O14" i="44"/>
  <c r="K14" i="44"/>
  <c r="M14" i="44"/>
  <c r="N14" i="42"/>
  <c r="N14" i="44"/>
  <c r="K14" i="42"/>
  <c r="O14" i="42"/>
  <c r="L14" i="42"/>
  <c r="AP38" i="17"/>
  <c r="AP39" i="17" s="1"/>
  <c r="AS39" i="17" s="1"/>
  <c r="G103" i="45" s="1"/>
  <c r="AO39" i="17"/>
  <c r="AN38" i="17"/>
  <c r="AN17" i="17"/>
  <c r="AS17" i="17" s="1"/>
  <c r="G59" i="45" s="1"/>
  <c r="AS38" i="17" l="1"/>
  <c r="G102" i="45" s="1"/>
  <c r="AZ23" i="20"/>
  <c r="G17" i="20"/>
  <c r="AK17" i="20" l="1"/>
  <c r="V17" i="20"/>
  <c r="AZ17" i="20"/>
  <c r="C145" i="31"/>
  <c r="AA140" i="31"/>
  <c r="Z140" i="31"/>
  <c r="O138" i="31"/>
  <c r="I138" i="31"/>
  <c r="G136" i="31"/>
  <c r="C131" i="31"/>
  <c r="AA126" i="31"/>
  <c r="Z126" i="31"/>
  <c r="O124" i="31"/>
  <c r="I124" i="31"/>
  <c r="G122" i="31"/>
  <c r="C117" i="31"/>
  <c r="AA112" i="31"/>
  <c r="Z112" i="31"/>
  <c r="O110" i="31"/>
  <c r="I110" i="31"/>
  <c r="G108" i="31"/>
  <c r="G138" i="31" l="1"/>
  <c r="A21" i="26" s="1"/>
  <c r="T21" i="36"/>
  <c r="G124" i="31"/>
  <c r="A20" i="26" s="1"/>
  <c r="T20" i="36"/>
  <c r="G110" i="31"/>
  <c r="A19" i="26" s="1"/>
  <c r="T19" i="36"/>
  <c r="S21" i="36"/>
  <c r="A50" i="26" l="1"/>
  <c r="A65" i="26"/>
  <c r="A49" i="26"/>
  <c r="A64" i="26"/>
  <c r="A51" i="26"/>
  <c r="A66" i="26"/>
  <c r="A95" i="26"/>
  <c r="A35" i="8"/>
  <c r="A94" i="26"/>
  <c r="A34" i="8"/>
  <c r="A96" i="26"/>
  <c r="A36" i="8"/>
  <c r="A126" i="26"/>
  <c r="A125" i="26"/>
  <c r="A124" i="26"/>
  <c r="A36" i="26"/>
  <c r="A81" i="26"/>
  <c r="A141" i="26"/>
  <c r="A111" i="26"/>
  <c r="S20" i="36"/>
  <c r="S19" i="36"/>
  <c r="A109" i="26"/>
  <c r="A139" i="26"/>
  <c r="A34" i="26"/>
  <c r="A79" i="26"/>
  <c r="A35" i="26"/>
  <c r="A110" i="26"/>
  <c r="A80" i="26"/>
  <c r="A140" i="26"/>
  <c r="AA16" i="31" l="1"/>
  <c r="AA19" i="31"/>
  <c r="AA59" i="33"/>
  <c r="AA61" i="33" s="1"/>
  <c r="AA45" i="33"/>
  <c r="AA47" i="33" s="1"/>
  <c r="AA31" i="33"/>
  <c r="AA33" i="33" s="1"/>
  <c r="AA17" i="33"/>
  <c r="AA19" i="33" s="1"/>
  <c r="AA59" i="32"/>
  <c r="AA61" i="32" s="1"/>
  <c r="AA45" i="32"/>
  <c r="AA47" i="32" s="1"/>
  <c r="AA31" i="32"/>
  <c r="AA33" i="32" s="1"/>
  <c r="AA17" i="32"/>
  <c r="AA19" i="32" s="1"/>
  <c r="D59" i="33" l="1"/>
  <c r="D61" i="33" s="1"/>
  <c r="E59" i="33"/>
  <c r="E61" i="33" s="1"/>
  <c r="F59" i="33"/>
  <c r="F61" i="33" s="1"/>
  <c r="G59" i="33"/>
  <c r="G61" i="33" s="1"/>
  <c r="H59" i="33"/>
  <c r="H61" i="33" s="1"/>
  <c r="I59" i="33"/>
  <c r="I61" i="33" s="1"/>
  <c r="J59" i="33"/>
  <c r="J61" i="33" s="1"/>
  <c r="K59" i="33"/>
  <c r="K61" i="33" s="1"/>
  <c r="N59" i="33"/>
  <c r="N61" i="33" s="1"/>
  <c r="O59" i="33"/>
  <c r="O61" i="33" s="1"/>
  <c r="P59" i="33"/>
  <c r="P61" i="33" s="1"/>
  <c r="Q59" i="33"/>
  <c r="Q61" i="33" s="1"/>
  <c r="R59" i="33"/>
  <c r="R61" i="33" s="1"/>
  <c r="S59" i="33"/>
  <c r="S61" i="33" s="1"/>
  <c r="T59" i="33"/>
  <c r="T61" i="33" s="1"/>
  <c r="U59" i="33"/>
  <c r="U61" i="33" s="1"/>
  <c r="V59" i="33"/>
  <c r="V61" i="33" s="1"/>
  <c r="W59" i="33"/>
  <c r="W61" i="33" s="1"/>
  <c r="X59" i="33"/>
  <c r="X61" i="33" s="1"/>
  <c r="Y59" i="33"/>
  <c r="Y61" i="33" s="1"/>
  <c r="Z59" i="33"/>
  <c r="Z61" i="33" s="1"/>
  <c r="C59" i="33"/>
  <c r="C61" i="33" s="1"/>
  <c r="D45" i="32"/>
  <c r="D47" i="32" s="1"/>
  <c r="E45" i="32"/>
  <c r="E47" i="32" s="1"/>
  <c r="F45" i="32"/>
  <c r="F47" i="32" s="1"/>
  <c r="G45" i="32"/>
  <c r="G47" i="32" s="1"/>
  <c r="H45" i="32"/>
  <c r="H47" i="32" s="1"/>
  <c r="I45" i="32"/>
  <c r="I47" i="32" s="1"/>
  <c r="J45" i="32"/>
  <c r="J47" i="32" s="1"/>
  <c r="K45" i="32"/>
  <c r="K47" i="32" s="1"/>
  <c r="N45" i="32"/>
  <c r="N47" i="32" s="1"/>
  <c r="O45" i="32"/>
  <c r="O47" i="32" s="1"/>
  <c r="P45" i="32"/>
  <c r="P47" i="32" s="1"/>
  <c r="Q45" i="32"/>
  <c r="Q47" i="32" s="1"/>
  <c r="R45" i="32"/>
  <c r="R47" i="32" s="1"/>
  <c r="S45" i="32"/>
  <c r="S47" i="32" s="1"/>
  <c r="T45" i="32"/>
  <c r="T47" i="32" s="1"/>
  <c r="U45" i="32"/>
  <c r="U47" i="32" s="1"/>
  <c r="V45" i="32"/>
  <c r="V47" i="32" s="1"/>
  <c r="W45" i="32"/>
  <c r="W47" i="32" s="1"/>
  <c r="X45" i="32"/>
  <c r="X47" i="32" s="1"/>
  <c r="Y45" i="32"/>
  <c r="Y47" i="32" s="1"/>
  <c r="Z45" i="32"/>
  <c r="Z47" i="32" s="1"/>
  <c r="C45" i="32"/>
  <c r="D45" i="33"/>
  <c r="D47" i="33" s="1"/>
  <c r="E45" i="33"/>
  <c r="E47" i="33" s="1"/>
  <c r="F45" i="33"/>
  <c r="F47" i="33" s="1"/>
  <c r="G45" i="33"/>
  <c r="G47" i="33" s="1"/>
  <c r="H45" i="33"/>
  <c r="H47" i="33" s="1"/>
  <c r="I45" i="33"/>
  <c r="I47" i="33" s="1"/>
  <c r="J45" i="33"/>
  <c r="J47" i="33" s="1"/>
  <c r="K45" i="33"/>
  <c r="K47" i="33" s="1"/>
  <c r="N45" i="33"/>
  <c r="N47" i="33" s="1"/>
  <c r="O45" i="33"/>
  <c r="O47" i="33" s="1"/>
  <c r="P45" i="33"/>
  <c r="P47" i="33" s="1"/>
  <c r="Q45" i="33"/>
  <c r="Q47" i="33" s="1"/>
  <c r="R45" i="33"/>
  <c r="R47" i="33" s="1"/>
  <c r="S45" i="33"/>
  <c r="S47" i="33" s="1"/>
  <c r="T45" i="33"/>
  <c r="T47" i="33" s="1"/>
  <c r="U45" i="33"/>
  <c r="U47" i="33" s="1"/>
  <c r="V45" i="33"/>
  <c r="V47" i="33" s="1"/>
  <c r="W45" i="33"/>
  <c r="W47" i="33" s="1"/>
  <c r="X45" i="33"/>
  <c r="X47" i="33" s="1"/>
  <c r="Y45" i="33"/>
  <c r="Y47" i="33" s="1"/>
  <c r="Z45" i="33"/>
  <c r="Z47" i="33" s="1"/>
  <c r="C45" i="33"/>
  <c r="C47" i="33" s="1"/>
  <c r="O38" i="33"/>
  <c r="O40" i="33" s="1"/>
  <c r="I38" i="33"/>
  <c r="I40" i="33" s="1"/>
  <c r="G38" i="33"/>
  <c r="G40" i="33" s="1"/>
  <c r="O24" i="33"/>
  <c r="O26" i="33" s="1"/>
  <c r="I24" i="33"/>
  <c r="I26" i="33" s="1"/>
  <c r="G24" i="33"/>
  <c r="G26" i="33" s="1"/>
  <c r="D31" i="33"/>
  <c r="D33" i="33" s="1"/>
  <c r="E31" i="33"/>
  <c r="E33" i="33" s="1"/>
  <c r="F31" i="33"/>
  <c r="F33" i="33" s="1"/>
  <c r="G31" i="33"/>
  <c r="G33" i="33" s="1"/>
  <c r="H31" i="33"/>
  <c r="H33" i="33" s="1"/>
  <c r="I31" i="33"/>
  <c r="I33" i="33" s="1"/>
  <c r="J31" i="33"/>
  <c r="J33" i="33" s="1"/>
  <c r="K31" i="33"/>
  <c r="K33" i="33" s="1"/>
  <c r="N31" i="33"/>
  <c r="N33" i="33" s="1"/>
  <c r="O31" i="33"/>
  <c r="O33" i="33" s="1"/>
  <c r="P31" i="33"/>
  <c r="P33" i="33" s="1"/>
  <c r="Q31" i="33"/>
  <c r="Q33" i="33" s="1"/>
  <c r="R31" i="33"/>
  <c r="R33" i="33" s="1"/>
  <c r="S31" i="33"/>
  <c r="S33" i="33" s="1"/>
  <c r="T31" i="33"/>
  <c r="T33" i="33" s="1"/>
  <c r="U31" i="33"/>
  <c r="U33" i="33" s="1"/>
  <c r="V31" i="33"/>
  <c r="V33" i="33" s="1"/>
  <c r="W31" i="33"/>
  <c r="W33" i="33" s="1"/>
  <c r="X31" i="33"/>
  <c r="X33" i="33" s="1"/>
  <c r="Y31" i="33"/>
  <c r="Y33" i="33" s="1"/>
  <c r="Z31" i="33"/>
  <c r="Z33" i="33" s="1"/>
  <c r="C31" i="33"/>
  <c r="C33" i="33" s="1"/>
  <c r="D17" i="33"/>
  <c r="D19" i="33" s="1"/>
  <c r="E17" i="33"/>
  <c r="E19" i="33" s="1"/>
  <c r="F17" i="33"/>
  <c r="F19" i="33" s="1"/>
  <c r="G17" i="33"/>
  <c r="G19" i="33" s="1"/>
  <c r="H17" i="33"/>
  <c r="H19" i="33" s="1"/>
  <c r="I17" i="33"/>
  <c r="I19" i="33" s="1"/>
  <c r="J17" i="33"/>
  <c r="J19" i="33" s="1"/>
  <c r="K17" i="33"/>
  <c r="K19" i="33" s="1"/>
  <c r="N17" i="33"/>
  <c r="N19" i="33" s="1"/>
  <c r="O17" i="33"/>
  <c r="O19" i="33" s="1"/>
  <c r="P17" i="33"/>
  <c r="P19" i="33" s="1"/>
  <c r="Q17" i="33"/>
  <c r="Q19" i="33" s="1"/>
  <c r="R17" i="33"/>
  <c r="R19" i="33" s="1"/>
  <c r="S17" i="33"/>
  <c r="S19" i="33" s="1"/>
  <c r="T17" i="33"/>
  <c r="T19" i="33" s="1"/>
  <c r="U17" i="33"/>
  <c r="U19" i="33" s="1"/>
  <c r="V17" i="33"/>
  <c r="V19" i="33" s="1"/>
  <c r="W17" i="33"/>
  <c r="W19" i="33" s="1"/>
  <c r="X17" i="33"/>
  <c r="X19" i="33" s="1"/>
  <c r="Y17" i="33"/>
  <c r="Y19" i="33" s="1"/>
  <c r="Z17" i="33"/>
  <c r="Z19" i="33" s="1"/>
  <c r="C17" i="33"/>
  <c r="C19" i="33" s="1"/>
  <c r="O10" i="33"/>
  <c r="O12" i="33" s="1"/>
  <c r="I10" i="33"/>
  <c r="I12" i="33" s="1"/>
  <c r="G10" i="33"/>
  <c r="AA56" i="33"/>
  <c r="Z56" i="33"/>
  <c r="AA52" i="33"/>
  <c r="O54" i="33"/>
  <c r="I54" i="33"/>
  <c r="G54" i="33"/>
  <c r="B49" i="33"/>
  <c r="AA42" i="33"/>
  <c r="Z42" i="33"/>
  <c r="AA38" i="33"/>
  <c r="B35" i="33"/>
  <c r="AA28" i="33"/>
  <c r="Z28" i="33"/>
  <c r="AA24" i="33"/>
  <c r="B21" i="33"/>
  <c r="AA14" i="33"/>
  <c r="Z14" i="33"/>
  <c r="AA10" i="33"/>
  <c r="B7" i="33"/>
  <c r="O52" i="32"/>
  <c r="O54" i="32" s="1"/>
  <c r="I52" i="32"/>
  <c r="G52" i="32"/>
  <c r="D59" i="32"/>
  <c r="D61" i="32" s="1"/>
  <c r="E59" i="32"/>
  <c r="E61" i="32" s="1"/>
  <c r="F59" i="32"/>
  <c r="F61" i="32" s="1"/>
  <c r="G59" i="32"/>
  <c r="G61" i="32" s="1"/>
  <c r="H59" i="32"/>
  <c r="H61" i="32" s="1"/>
  <c r="I59" i="32"/>
  <c r="I61" i="32" s="1"/>
  <c r="J59" i="32"/>
  <c r="J61" i="32" s="1"/>
  <c r="K59" i="32"/>
  <c r="K61" i="32" s="1"/>
  <c r="N59" i="32"/>
  <c r="N61" i="32" s="1"/>
  <c r="O59" i="32"/>
  <c r="O61" i="32" s="1"/>
  <c r="P59" i="32"/>
  <c r="P61" i="32" s="1"/>
  <c r="Q59" i="32"/>
  <c r="Q61" i="32" s="1"/>
  <c r="R59" i="32"/>
  <c r="R61" i="32" s="1"/>
  <c r="S59" i="32"/>
  <c r="S61" i="32" s="1"/>
  <c r="T59" i="32"/>
  <c r="T61" i="32" s="1"/>
  <c r="U59" i="32"/>
  <c r="U61" i="32" s="1"/>
  <c r="V59" i="32"/>
  <c r="V61" i="32" s="1"/>
  <c r="W59" i="32"/>
  <c r="W61" i="32" s="1"/>
  <c r="X59" i="32"/>
  <c r="X61" i="32" s="1"/>
  <c r="Y59" i="32"/>
  <c r="Y61" i="32" s="1"/>
  <c r="Z59" i="32"/>
  <c r="Z61" i="32" s="1"/>
  <c r="C59" i="32"/>
  <c r="Z24" i="33" l="1"/>
  <c r="Z38" i="33"/>
  <c r="Z52" i="33"/>
  <c r="Z10" i="33"/>
  <c r="Z11" i="33" s="1"/>
  <c r="G12" i="33"/>
  <c r="A10" i="26" s="1"/>
  <c r="S2" i="38" s="1"/>
  <c r="O38" i="32"/>
  <c r="O40" i="32" s="1"/>
  <c r="I38" i="32"/>
  <c r="I40" i="32" s="1"/>
  <c r="G38" i="32"/>
  <c r="G40" i="32" s="1"/>
  <c r="B49" i="32"/>
  <c r="B35" i="32"/>
  <c r="B7" i="32"/>
  <c r="B21" i="32"/>
  <c r="O24" i="32"/>
  <c r="O26" i="32" s="1"/>
  <c r="I24" i="32"/>
  <c r="I26" i="32" s="1"/>
  <c r="G24" i="32"/>
  <c r="G26" i="32" s="1"/>
  <c r="D31" i="32"/>
  <c r="D33" i="32" s="1"/>
  <c r="E31" i="32"/>
  <c r="E33" i="32" s="1"/>
  <c r="F31" i="32"/>
  <c r="F33" i="32" s="1"/>
  <c r="G31" i="32"/>
  <c r="G33" i="32" s="1"/>
  <c r="H31" i="32"/>
  <c r="H33" i="32" s="1"/>
  <c r="I31" i="32"/>
  <c r="I33" i="32" s="1"/>
  <c r="J31" i="32"/>
  <c r="J33" i="32" s="1"/>
  <c r="K31" i="32"/>
  <c r="K33" i="32" s="1"/>
  <c r="N31" i="32"/>
  <c r="N33" i="32" s="1"/>
  <c r="O31" i="32"/>
  <c r="O33" i="32" s="1"/>
  <c r="P31" i="32"/>
  <c r="P33" i="32" s="1"/>
  <c r="Q31" i="32"/>
  <c r="Q33" i="32" s="1"/>
  <c r="R31" i="32"/>
  <c r="R33" i="32" s="1"/>
  <c r="S31" i="32"/>
  <c r="S33" i="32" s="1"/>
  <c r="T31" i="32"/>
  <c r="T33" i="32" s="1"/>
  <c r="U31" i="32"/>
  <c r="U33" i="32" s="1"/>
  <c r="V31" i="32"/>
  <c r="V33" i="32" s="1"/>
  <c r="W31" i="32"/>
  <c r="W33" i="32" s="1"/>
  <c r="X31" i="32"/>
  <c r="X33" i="32" s="1"/>
  <c r="Y31" i="32"/>
  <c r="Y33" i="32" s="1"/>
  <c r="Z31" i="32"/>
  <c r="Z33" i="32" s="1"/>
  <c r="C31" i="32"/>
  <c r="C33" i="32" s="1"/>
  <c r="O10" i="32"/>
  <c r="O12" i="32" s="1"/>
  <c r="I10" i="32"/>
  <c r="I12" i="32" s="1"/>
  <c r="G10" i="32"/>
  <c r="G12" i="32" s="1"/>
  <c r="D17" i="32"/>
  <c r="D19" i="32" s="1"/>
  <c r="E17" i="32"/>
  <c r="E19" i="32" s="1"/>
  <c r="F17" i="32"/>
  <c r="F19" i="32" s="1"/>
  <c r="G17" i="32"/>
  <c r="G19" i="32" s="1"/>
  <c r="H17" i="32"/>
  <c r="H19" i="32" s="1"/>
  <c r="I17" i="32"/>
  <c r="I19" i="32" s="1"/>
  <c r="J17" i="32"/>
  <c r="J19" i="32" s="1"/>
  <c r="K17" i="32"/>
  <c r="K19" i="32" s="1"/>
  <c r="N17" i="32"/>
  <c r="N19" i="32" s="1"/>
  <c r="O17" i="32"/>
  <c r="O19" i="32" s="1"/>
  <c r="P17" i="32"/>
  <c r="P19" i="32" s="1"/>
  <c r="Q17" i="32"/>
  <c r="Q19" i="32" s="1"/>
  <c r="R17" i="32"/>
  <c r="R19" i="32" s="1"/>
  <c r="S17" i="32"/>
  <c r="S19" i="32" s="1"/>
  <c r="T17" i="32"/>
  <c r="T19" i="32" s="1"/>
  <c r="U17" i="32"/>
  <c r="U19" i="32" s="1"/>
  <c r="V17" i="32"/>
  <c r="V19" i="32" s="1"/>
  <c r="W17" i="32"/>
  <c r="W19" i="32" s="1"/>
  <c r="X17" i="32"/>
  <c r="X19" i="32" s="1"/>
  <c r="Y17" i="32"/>
  <c r="Y19" i="32" s="1"/>
  <c r="Z17" i="32"/>
  <c r="Z19" i="32" s="1"/>
  <c r="C17" i="32"/>
  <c r="C19" i="32" s="1"/>
  <c r="C61" i="32"/>
  <c r="AA56" i="32"/>
  <c r="Z56" i="32"/>
  <c r="AA52" i="32"/>
  <c r="I54" i="32"/>
  <c r="G54" i="32"/>
  <c r="C47" i="32"/>
  <c r="AA42" i="32"/>
  <c r="Z42" i="32"/>
  <c r="AA38" i="32"/>
  <c r="AA28" i="32"/>
  <c r="Z28" i="32"/>
  <c r="AA24" i="32"/>
  <c r="AA14" i="32"/>
  <c r="Z14" i="32"/>
  <c r="AA10" i="32"/>
  <c r="BD4" i="26"/>
  <c r="BE4" i="26"/>
  <c r="BF4" i="26" s="1"/>
  <c r="BG4" i="26" s="1"/>
  <c r="BH4" i="26" s="1"/>
  <c r="BC4" i="26"/>
  <c r="A55" i="26" l="1"/>
  <c r="A25" i="8"/>
  <c r="A40" i="26"/>
  <c r="S9" i="36"/>
  <c r="A115" i="26"/>
  <c r="A85" i="26"/>
  <c r="A11" i="26"/>
  <c r="Z10" i="32"/>
  <c r="Z11" i="32" s="1"/>
  <c r="Z38" i="32"/>
  <c r="Z39" i="32" s="1"/>
  <c r="Z52" i="32"/>
  <c r="Z53" i="32" s="1"/>
  <c r="Z24" i="32"/>
  <c r="Z53" i="33"/>
  <c r="B37" i="33"/>
  <c r="Z39" i="33"/>
  <c r="B23" i="33"/>
  <c r="Z25" i="33"/>
  <c r="B9" i="33"/>
  <c r="I11" i="8"/>
  <c r="G58" i="7"/>
  <c r="G71" i="7"/>
  <c r="G84" i="7"/>
  <c r="G45" i="7"/>
  <c r="A130" i="26"/>
  <c r="A70" i="26"/>
  <c r="A9" i="26"/>
  <c r="T8" i="36"/>
  <c r="A25" i="26"/>
  <c r="AP4" i="26"/>
  <c r="AO4" i="26"/>
  <c r="AK4" i="26"/>
  <c r="AL4" i="26"/>
  <c r="AN4" i="26"/>
  <c r="AF4" i="26"/>
  <c r="AG4" i="26"/>
  <c r="AH4" i="26"/>
  <c r="AI4" i="26"/>
  <c r="AJ4" i="26"/>
  <c r="AE4" i="26"/>
  <c r="AD4" i="26"/>
  <c r="AC4" i="26"/>
  <c r="AA4" i="26"/>
  <c r="Z4" i="26"/>
  <c r="AA5" i="26"/>
  <c r="AA6" i="26"/>
  <c r="Z6" i="26"/>
  <c r="Z5" i="26"/>
  <c r="AH3" i="44" l="1"/>
  <c r="AH3" i="43"/>
  <c r="AH3" i="42"/>
  <c r="AG3" i="44"/>
  <c r="AG3" i="43"/>
  <c r="AG3" i="42"/>
  <c r="AC3" i="43"/>
  <c r="AC3" i="44"/>
  <c r="AC3" i="42"/>
  <c r="AD3" i="43"/>
  <c r="AD3" i="42"/>
  <c r="AD3" i="44"/>
  <c r="AF3" i="44"/>
  <c r="AF3" i="43"/>
  <c r="AF3" i="42"/>
  <c r="X3" i="43"/>
  <c r="X3" i="44"/>
  <c r="X3" i="42"/>
  <c r="Y3" i="43"/>
  <c r="Y3" i="44"/>
  <c r="Y3" i="42"/>
  <c r="Z3" i="43"/>
  <c r="Z3" i="42"/>
  <c r="Z3" i="44"/>
  <c r="AA3" i="43"/>
  <c r="AA3" i="42"/>
  <c r="AA3" i="44"/>
  <c r="AB3" i="43"/>
  <c r="AB3" i="44"/>
  <c r="AB3" i="42"/>
  <c r="W3" i="43"/>
  <c r="W3" i="44"/>
  <c r="W3" i="42"/>
  <c r="V3" i="44"/>
  <c r="V3" i="43"/>
  <c r="V3" i="42"/>
  <c r="U3" i="44"/>
  <c r="U3" i="43"/>
  <c r="U3" i="42"/>
  <c r="A41" i="26"/>
  <c r="A56" i="26"/>
  <c r="A39" i="26"/>
  <c r="A54" i="26"/>
  <c r="W3" i="38"/>
  <c r="AB3" i="38"/>
  <c r="Z3" i="38"/>
  <c r="AF3" i="38"/>
  <c r="AC3" i="38"/>
  <c r="Y3" i="38"/>
  <c r="AD3" i="38"/>
  <c r="A24" i="8"/>
  <c r="U3" i="38"/>
  <c r="V3" i="38"/>
  <c r="AA3" i="38"/>
  <c r="X3" i="38"/>
  <c r="AG3" i="38"/>
  <c r="AH3" i="38"/>
  <c r="AY40" i="26"/>
  <c r="AY50" i="26"/>
  <c r="AY49" i="26"/>
  <c r="AY44" i="26"/>
  <c r="AY41" i="26"/>
  <c r="AY43" i="26"/>
  <c r="AY48" i="26"/>
  <c r="AY47" i="26"/>
  <c r="AY42" i="26"/>
  <c r="AY39" i="26"/>
  <c r="AY45" i="26"/>
  <c r="AY51" i="26"/>
  <c r="AY46" i="26"/>
  <c r="A116" i="26"/>
  <c r="A26" i="8"/>
  <c r="A86" i="26"/>
  <c r="S10" i="36"/>
  <c r="A114" i="26"/>
  <c r="A84" i="26"/>
  <c r="Z25" i="32"/>
  <c r="B9" i="32"/>
  <c r="G83" i="7"/>
  <c r="G57" i="7"/>
  <c r="G70" i="7"/>
  <c r="G44" i="7"/>
  <c r="I10" i="8"/>
  <c r="S8" i="36"/>
  <c r="A24" i="26"/>
  <c r="A129" i="26"/>
  <c r="A69" i="26"/>
  <c r="I12" i="8"/>
  <c r="A101" i="26"/>
  <c r="A26" i="26"/>
  <c r="A131" i="26"/>
  <c r="A71" i="26"/>
  <c r="G14" i="20"/>
  <c r="V14" i="20" s="1"/>
  <c r="G13" i="20"/>
  <c r="V13" i="20" s="1"/>
  <c r="G11" i="20"/>
  <c r="V11" i="20" s="1"/>
  <c r="G9" i="20"/>
  <c r="V9" i="20" s="1"/>
  <c r="G15" i="20"/>
  <c r="V15" i="20" s="1"/>
  <c r="G19" i="20"/>
  <c r="V19" i="20" s="1"/>
  <c r="G10" i="20"/>
  <c r="V10" i="20" s="1"/>
  <c r="G18" i="20"/>
  <c r="V18" i="20" s="1"/>
  <c r="G20" i="20"/>
  <c r="V20" i="20" s="1"/>
  <c r="G12" i="20"/>
  <c r="V12" i="20" s="1"/>
  <c r="G7" i="20"/>
  <c r="V7" i="20" s="1"/>
  <c r="G8" i="20"/>
  <c r="V8" i="20" s="1"/>
  <c r="G16" i="20"/>
  <c r="V16" i="20" s="1"/>
  <c r="AR6" i="26"/>
  <c r="AR4" i="26"/>
  <c r="AQ4" i="26"/>
  <c r="AQ6" i="26"/>
  <c r="AZ42" i="26" l="1"/>
  <c r="AZ49" i="26"/>
  <c r="AZ44" i="26"/>
  <c r="AZ50" i="26"/>
  <c r="AZ48" i="26"/>
  <c r="AZ45" i="26"/>
  <c r="AZ51" i="26"/>
  <c r="AZ46" i="26"/>
  <c r="AZ43" i="26"/>
  <c r="AZ47" i="26"/>
  <c r="S2" i="42"/>
  <c r="S2" i="44"/>
  <c r="S2" i="43"/>
  <c r="V4" i="38"/>
  <c r="AG4" i="38"/>
  <c r="AF4" i="38"/>
  <c r="U4" i="38"/>
  <c r="AD4" i="38"/>
  <c r="AC4" i="38"/>
  <c r="AA4" i="38"/>
  <c r="Y4" i="38"/>
  <c r="AH4" i="38"/>
  <c r="Z4" i="38"/>
  <c r="W4" i="38"/>
  <c r="U2" i="38"/>
  <c r="AI4" i="38"/>
  <c r="AJ4" i="38"/>
  <c r="X4" i="38"/>
  <c r="AE4" i="38"/>
  <c r="AB4" i="38"/>
  <c r="F23" i="20"/>
  <c r="F24" i="20"/>
  <c r="AK7" i="20"/>
  <c r="AK16" i="20"/>
  <c r="AK8" i="20"/>
  <c r="AK12" i="20"/>
  <c r="AK19" i="20"/>
  <c r="AK11" i="20"/>
  <c r="AK13" i="20"/>
  <c r="AK14" i="20"/>
  <c r="AK20" i="20"/>
  <c r="AK18" i="20"/>
  <c r="AK15" i="20"/>
  <c r="AK10" i="20"/>
  <c r="AK9" i="20"/>
  <c r="AZ19" i="20"/>
  <c r="AZ11" i="20"/>
  <c r="AZ7" i="20"/>
  <c r="AZ12" i="20"/>
  <c r="AZ15" i="20"/>
  <c r="AZ16" i="20"/>
  <c r="AZ8" i="20"/>
  <c r="AZ13" i="20"/>
  <c r="AZ14" i="20"/>
  <c r="AZ20" i="20"/>
  <c r="AZ18" i="20"/>
  <c r="AZ10" i="20"/>
  <c r="AZ9" i="20"/>
  <c r="G21" i="20"/>
  <c r="G22" i="20"/>
  <c r="E8" i="26"/>
  <c r="C103" i="31"/>
  <c r="AA98" i="31"/>
  <c r="Z98" i="31"/>
  <c r="O96" i="31"/>
  <c r="I96" i="31"/>
  <c r="G94" i="31"/>
  <c r="C89" i="31"/>
  <c r="AA84" i="31"/>
  <c r="Z84" i="31"/>
  <c r="O82" i="31"/>
  <c r="I82" i="31"/>
  <c r="G80" i="31"/>
  <c r="T17" i="36" s="1"/>
  <c r="C75" i="31"/>
  <c r="AA70" i="31"/>
  <c r="Z70" i="31"/>
  <c r="O68" i="31"/>
  <c r="I68" i="31"/>
  <c r="G66" i="31"/>
  <c r="C61" i="31"/>
  <c r="AA56" i="31"/>
  <c r="Z56" i="31"/>
  <c r="O54" i="31"/>
  <c r="I54" i="31"/>
  <c r="G52" i="31"/>
  <c r="C47" i="31"/>
  <c r="AA42" i="31"/>
  <c r="Z42" i="31"/>
  <c r="O40" i="31"/>
  <c r="I40" i="31"/>
  <c r="G38" i="31"/>
  <c r="C33" i="31"/>
  <c r="AA28" i="31"/>
  <c r="Z28" i="31"/>
  <c r="O26" i="31"/>
  <c r="I26" i="31"/>
  <c r="G24" i="31"/>
  <c r="K40" i="7"/>
  <c r="AA10" i="31"/>
  <c r="O12" i="31"/>
  <c r="G10" i="31"/>
  <c r="I12" i="31"/>
  <c r="D19" i="31"/>
  <c r="E19" i="31"/>
  <c r="F19" i="31"/>
  <c r="G19" i="31"/>
  <c r="H19" i="31"/>
  <c r="I19" i="31"/>
  <c r="J19" i="31"/>
  <c r="K19" i="31"/>
  <c r="N19" i="31"/>
  <c r="O19" i="31"/>
  <c r="P19" i="31"/>
  <c r="Q19" i="31"/>
  <c r="R19" i="31"/>
  <c r="S19" i="31"/>
  <c r="T19" i="31"/>
  <c r="U19" i="31"/>
  <c r="V19" i="31"/>
  <c r="W19" i="31"/>
  <c r="X19" i="31"/>
  <c r="Y19" i="31"/>
  <c r="Z19" i="31"/>
  <c r="J78" i="7" l="1"/>
  <c r="K78" i="7"/>
  <c r="L78" i="7"/>
  <c r="M78" i="7"/>
  <c r="I79" i="7"/>
  <c r="J79" i="7"/>
  <c r="K79" i="7"/>
  <c r="L79" i="7"/>
  <c r="M79" i="7"/>
  <c r="I76" i="7"/>
  <c r="I80" i="7"/>
  <c r="J80" i="7"/>
  <c r="K80" i="7"/>
  <c r="J76" i="7"/>
  <c r="K76" i="7"/>
  <c r="L80" i="7"/>
  <c r="M80" i="7"/>
  <c r="I81" i="7"/>
  <c r="L81" i="7"/>
  <c r="L76" i="7"/>
  <c r="M76" i="7"/>
  <c r="K81" i="7"/>
  <c r="I77" i="7"/>
  <c r="J77" i="7"/>
  <c r="J81" i="7"/>
  <c r="K77" i="7"/>
  <c r="L77" i="7"/>
  <c r="M77" i="7"/>
  <c r="M81" i="7"/>
  <c r="I78" i="7"/>
  <c r="L75" i="7"/>
  <c r="J75" i="7"/>
  <c r="K75" i="7"/>
  <c r="M75" i="7"/>
  <c r="L74" i="7"/>
  <c r="I74" i="7"/>
  <c r="K74" i="7"/>
  <c r="J74" i="7"/>
  <c r="L72" i="7"/>
  <c r="I75" i="7"/>
  <c r="K73" i="7"/>
  <c r="L73" i="7"/>
  <c r="M73" i="7"/>
  <c r="I73" i="7"/>
  <c r="J73" i="7"/>
  <c r="M74" i="7"/>
  <c r="I72" i="7"/>
  <c r="I85" i="7" s="1"/>
  <c r="J72" i="7"/>
  <c r="K72" i="7"/>
  <c r="M72" i="7"/>
  <c r="AF4" i="43"/>
  <c r="AJ4" i="43"/>
  <c r="AI4" i="43"/>
  <c r="AD4" i="43"/>
  <c r="AB4" i="43"/>
  <c r="AH4" i="43"/>
  <c r="AG4" i="43"/>
  <c r="Z4" i="43"/>
  <c r="AE4" i="43"/>
  <c r="Y4" i="43"/>
  <c r="U4" i="43"/>
  <c r="AA4" i="43"/>
  <c r="AC4" i="43"/>
  <c r="U2" i="43"/>
  <c r="W4" i="43"/>
  <c r="V4" i="43"/>
  <c r="X4" i="43"/>
  <c r="Z4" i="44"/>
  <c r="AH4" i="44"/>
  <c r="AG4" i="44"/>
  <c r="AJ4" i="44"/>
  <c r="AI4" i="44"/>
  <c r="AE4" i="44"/>
  <c r="AD4" i="44"/>
  <c r="AC4" i="44"/>
  <c r="AB4" i="44"/>
  <c r="AA4" i="44"/>
  <c r="Y4" i="44"/>
  <c r="AF4" i="44"/>
  <c r="U4" i="44"/>
  <c r="V4" i="44"/>
  <c r="U2" i="44"/>
  <c r="X4" i="44"/>
  <c r="W4" i="44"/>
  <c r="AJ4" i="42"/>
  <c r="AI4" i="42"/>
  <c r="AE4" i="42"/>
  <c r="AD4" i="42"/>
  <c r="AC4" i="42"/>
  <c r="AB4" i="42"/>
  <c r="U2" i="42"/>
  <c r="V4" i="42"/>
  <c r="AA4" i="42"/>
  <c r="AH4" i="42"/>
  <c r="AF4" i="42"/>
  <c r="Z4" i="42"/>
  <c r="Y4" i="42"/>
  <c r="AG4" i="42"/>
  <c r="W4" i="42"/>
  <c r="U4" i="42"/>
  <c r="X4" i="42"/>
  <c r="S12" i="26"/>
  <c r="O13" i="26"/>
  <c r="K14" i="26"/>
  <c r="G15" i="26"/>
  <c r="AA15" i="26"/>
  <c r="W16" i="26"/>
  <c r="S17" i="26"/>
  <c r="O18" i="26"/>
  <c r="K19" i="26"/>
  <c r="G20" i="26"/>
  <c r="AA20" i="26"/>
  <c r="W21" i="26"/>
  <c r="I10" i="26"/>
  <c r="I11" i="26" s="1"/>
  <c r="D9" i="26"/>
  <c r="X9" i="26"/>
  <c r="V12" i="26"/>
  <c r="R13" i="26"/>
  <c r="N14" i="26"/>
  <c r="J15" i="26"/>
  <c r="F16" i="26"/>
  <c r="Z16" i="26"/>
  <c r="V17" i="26"/>
  <c r="R18" i="26"/>
  <c r="N19" i="26"/>
  <c r="J20" i="26"/>
  <c r="F21" i="26"/>
  <c r="Z21" i="26"/>
  <c r="L10" i="26"/>
  <c r="L11" i="26" s="1"/>
  <c r="G9" i="26"/>
  <c r="AA9" i="26"/>
  <c r="C9" i="26"/>
  <c r="W12" i="26"/>
  <c r="S13" i="26"/>
  <c r="O14" i="26"/>
  <c r="K15" i="26"/>
  <c r="G16" i="26"/>
  <c r="AA16" i="26"/>
  <c r="W17" i="26"/>
  <c r="S18" i="26"/>
  <c r="O19" i="26"/>
  <c r="K20" i="26"/>
  <c r="G21" i="26"/>
  <c r="AA21" i="26"/>
  <c r="M10" i="26"/>
  <c r="M11" i="26" s="1"/>
  <c r="H9" i="26"/>
  <c r="D12" i="26"/>
  <c r="X12" i="26"/>
  <c r="T13" i="26"/>
  <c r="P14" i="26"/>
  <c r="L15" i="26"/>
  <c r="H16" i="26"/>
  <c r="D17" i="26"/>
  <c r="X17" i="26"/>
  <c r="T18" i="26"/>
  <c r="P19" i="26"/>
  <c r="L20" i="26"/>
  <c r="H21" i="26"/>
  <c r="C21" i="26"/>
  <c r="N10" i="26"/>
  <c r="N11" i="26" s="1"/>
  <c r="I9" i="26"/>
  <c r="E12" i="26"/>
  <c r="Y12" i="26"/>
  <c r="U13" i="26"/>
  <c r="Q14" i="26"/>
  <c r="M15" i="26"/>
  <c r="I16" i="26"/>
  <c r="E17" i="26"/>
  <c r="Y17" i="26"/>
  <c r="U18" i="26"/>
  <c r="Q19" i="26"/>
  <c r="M20" i="26"/>
  <c r="I21" i="26"/>
  <c r="C20" i="26"/>
  <c r="O10" i="26"/>
  <c r="O11" i="26" s="1"/>
  <c r="J9" i="26"/>
  <c r="J12" i="26"/>
  <c r="F13" i="26"/>
  <c r="Z13" i="26"/>
  <c r="V14" i="26"/>
  <c r="R15" i="26"/>
  <c r="N16" i="26"/>
  <c r="J17" i="26"/>
  <c r="F18" i="26"/>
  <c r="Z18" i="26"/>
  <c r="V19" i="26"/>
  <c r="R20" i="26"/>
  <c r="N21" i="26"/>
  <c r="C15" i="26"/>
  <c r="T10" i="26"/>
  <c r="T11" i="26" s="1"/>
  <c r="O9" i="26"/>
  <c r="O12" i="26"/>
  <c r="V13" i="26"/>
  <c r="Y14" i="26"/>
  <c r="D16" i="26"/>
  <c r="K17" i="26"/>
  <c r="M18" i="26"/>
  <c r="T19" i="26"/>
  <c r="W20" i="26"/>
  <c r="C19" i="26"/>
  <c r="W10" i="26"/>
  <c r="W11" i="26" s="1"/>
  <c r="Y9" i="26"/>
  <c r="AA12" i="26"/>
  <c r="F14" i="26"/>
  <c r="I15" i="26"/>
  <c r="P16" i="26"/>
  <c r="R17" i="26"/>
  <c r="Y18" i="26"/>
  <c r="D20" i="26"/>
  <c r="K21" i="26"/>
  <c r="D10" i="26"/>
  <c r="D11" i="26" s="1"/>
  <c r="F9" i="26"/>
  <c r="H14" i="26"/>
  <c r="O15" i="26"/>
  <c r="U17" i="26"/>
  <c r="D19" i="26"/>
  <c r="M21" i="26"/>
  <c r="L9" i="26"/>
  <c r="D13" i="26"/>
  <c r="G14" i="26"/>
  <c r="N15" i="26"/>
  <c r="Q16" i="26"/>
  <c r="T17" i="26"/>
  <c r="AA18" i="26"/>
  <c r="E20" i="26"/>
  <c r="L21" i="26"/>
  <c r="E10" i="26"/>
  <c r="E11" i="26" s="1"/>
  <c r="K9" i="26"/>
  <c r="E13" i="26"/>
  <c r="R16" i="26"/>
  <c r="F20" i="26"/>
  <c r="F10" i="26"/>
  <c r="F11" i="26" s="1"/>
  <c r="G13" i="26"/>
  <c r="I14" i="26"/>
  <c r="P15" i="26"/>
  <c r="S16" i="26"/>
  <c r="Z17" i="26"/>
  <c r="E19" i="26"/>
  <c r="H20" i="26"/>
  <c r="O21" i="26"/>
  <c r="G10" i="26"/>
  <c r="G11" i="26" s="1"/>
  <c r="M9" i="26"/>
  <c r="H13" i="26"/>
  <c r="J14" i="26"/>
  <c r="Q15" i="26"/>
  <c r="T16" i="26"/>
  <c r="AA17" i="26"/>
  <c r="F19" i="26"/>
  <c r="I20" i="26"/>
  <c r="P21" i="26"/>
  <c r="H10" i="26"/>
  <c r="H11" i="26" s="1"/>
  <c r="N9" i="26"/>
  <c r="G12" i="26"/>
  <c r="J13" i="26"/>
  <c r="M14" i="26"/>
  <c r="T15" i="26"/>
  <c r="V16" i="26"/>
  <c r="E18" i="26"/>
  <c r="H19" i="26"/>
  <c r="O20" i="26"/>
  <c r="R21" i="26"/>
  <c r="K10" i="26"/>
  <c r="K11" i="26" s="1"/>
  <c r="Q9" i="26"/>
  <c r="H12" i="26"/>
  <c r="K13" i="26"/>
  <c r="R14" i="26"/>
  <c r="U15" i="26"/>
  <c r="X16" i="26"/>
  <c r="G18" i="26"/>
  <c r="I19" i="26"/>
  <c r="P20" i="26"/>
  <c r="S21" i="26"/>
  <c r="P10" i="26"/>
  <c r="P11" i="26" s="1"/>
  <c r="R9" i="26"/>
  <c r="M12" i="26"/>
  <c r="L14" i="26"/>
  <c r="K16" i="26"/>
  <c r="K18" i="26"/>
  <c r="N20" i="26"/>
  <c r="C16" i="26"/>
  <c r="X18" i="26"/>
  <c r="N12" i="26"/>
  <c r="S14" i="26"/>
  <c r="L16" i="26"/>
  <c r="L18" i="26"/>
  <c r="Q20" i="26"/>
  <c r="C14" i="26"/>
  <c r="W9" i="26"/>
  <c r="P12" i="26"/>
  <c r="T14" i="26"/>
  <c r="M16" i="26"/>
  <c r="N18" i="26"/>
  <c r="S20" i="26"/>
  <c r="C13" i="26"/>
  <c r="Z9" i="26"/>
  <c r="Z12" i="26"/>
  <c r="Q12" i="26"/>
  <c r="U14" i="26"/>
  <c r="O16" i="26"/>
  <c r="P18" i="26"/>
  <c r="T20" i="26"/>
  <c r="T12" i="26"/>
  <c r="Y16" i="26"/>
  <c r="Q10" i="26"/>
  <c r="Q11" i="26" s="1"/>
  <c r="Z14" i="26"/>
  <c r="R12" i="26"/>
  <c r="W14" i="26"/>
  <c r="U16" i="26"/>
  <c r="Q18" i="26"/>
  <c r="U20" i="26"/>
  <c r="J10" i="26"/>
  <c r="J11" i="26" s="1"/>
  <c r="X14" i="26"/>
  <c r="V18" i="26"/>
  <c r="V20" i="26"/>
  <c r="U12" i="26"/>
  <c r="F17" i="26"/>
  <c r="W18" i="26"/>
  <c r="X20" i="26"/>
  <c r="R10" i="26"/>
  <c r="R11" i="26" s="1"/>
  <c r="AA14" i="26"/>
  <c r="I13" i="26"/>
  <c r="D15" i="26"/>
  <c r="H17" i="26"/>
  <c r="G19" i="26"/>
  <c r="Z20" i="26"/>
  <c r="U10" i="26"/>
  <c r="U11" i="26" s="1"/>
  <c r="L13" i="26"/>
  <c r="I17" i="26"/>
  <c r="J19" i="26"/>
  <c r="D21" i="26"/>
  <c r="V10" i="26"/>
  <c r="V11" i="26" s="1"/>
  <c r="M13" i="26"/>
  <c r="L19" i="26"/>
  <c r="X10" i="26"/>
  <c r="X11" i="26" s="1"/>
  <c r="N13" i="26"/>
  <c r="Y10" i="26"/>
  <c r="Y11" i="26" s="1"/>
  <c r="U19" i="26"/>
  <c r="E16" i="26"/>
  <c r="Y20" i="26"/>
  <c r="E15" i="26"/>
  <c r="F15" i="26"/>
  <c r="L17" i="26"/>
  <c r="E21" i="26"/>
  <c r="M17" i="26"/>
  <c r="J21" i="26"/>
  <c r="C10" i="26"/>
  <c r="C11" i="26" s="1"/>
  <c r="AA19" i="26"/>
  <c r="H15" i="26"/>
  <c r="K12" i="26"/>
  <c r="S10" i="26"/>
  <c r="S11" i="26" s="1"/>
  <c r="M19" i="26"/>
  <c r="I18" i="26"/>
  <c r="P13" i="26"/>
  <c r="S15" i="26"/>
  <c r="N17" i="26"/>
  <c r="R19" i="26"/>
  <c r="Q21" i="26"/>
  <c r="Z10" i="26"/>
  <c r="Z11" i="26" s="1"/>
  <c r="Q13" i="26"/>
  <c r="O17" i="26"/>
  <c r="S19" i="26"/>
  <c r="T21" i="26"/>
  <c r="AA10" i="26"/>
  <c r="AA11" i="26" s="1"/>
  <c r="W15" i="26"/>
  <c r="P17" i="26"/>
  <c r="U21" i="26"/>
  <c r="Z19" i="26"/>
  <c r="E14" i="26"/>
  <c r="C17" i="26"/>
  <c r="V15" i="26"/>
  <c r="J18" i="26"/>
  <c r="G17" i="26"/>
  <c r="W13" i="26"/>
  <c r="L12" i="26"/>
  <c r="X13" i="26"/>
  <c r="X15" i="26"/>
  <c r="Q17" i="26"/>
  <c r="W19" i="26"/>
  <c r="V21" i="26"/>
  <c r="E9" i="26"/>
  <c r="F12" i="26"/>
  <c r="Y13" i="26"/>
  <c r="Y15" i="26"/>
  <c r="D18" i="26"/>
  <c r="X19" i="26"/>
  <c r="X21" i="26"/>
  <c r="P9" i="26"/>
  <c r="D14" i="26"/>
  <c r="T9" i="26"/>
  <c r="J16" i="26"/>
  <c r="U9" i="26"/>
  <c r="V9" i="26"/>
  <c r="I12" i="26"/>
  <c r="AA13" i="26"/>
  <c r="Z15" i="26"/>
  <c r="H18" i="26"/>
  <c r="Y19" i="26"/>
  <c r="Y21" i="26"/>
  <c r="S9" i="26"/>
  <c r="C18" i="26"/>
  <c r="BD45" i="26"/>
  <c r="BD60" i="26" s="1"/>
  <c r="BD49" i="26"/>
  <c r="BD64" i="26" s="1"/>
  <c r="BD42" i="26"/>
  <c r="BC43" i="26"/>
  <c r="BC58" i="26" s="1"/>
  <c r="BC45" i="26"/>
  <c r="BC60" i="26" s="1"/>
  <c r="BC46" i="26"/>
  <c r="BC61" i="26" s="1"/>
  <c r="BD46" i="26"/>
  <c r="BD61" i="26" s="1"/>
  <c r="BD43" i="26"/>
  <c r="BD58" i="26" s="1"/>
  <c r="BC49" i="26"/>
  <c r="BC64" i="26" s="1"/>
  <c r="BC50" i="26"/>
  <c r="BC65" i="26" s="1"/>
  <c r="BC44" i="26"/>
  <c r="BC59" i="26" s="1"/>
  <c r="BD50" i="26"/>
  <c r="BD65" i="26" s="1"/>
  <c r="BC51" i="26"/>
  <c r="BC66" i="26" s="1"/>
  <c r="BC42" i="26"/>
  <c r="BD47" i="26"/>
  <c r="BD62" i="26" s="1"/>
  <c r="BD44" i="26"/>
  <c r="BD59" i="26" s="1"/>
  <c r="BD48" i="26"/>
  <c r="BD63" i="26" s="1"/>
  <c r="BD51" i="26"/>
  <c r="BD66" i="26" s="1"/>
  <c r="BC47" i="26"/>
  <c r="BC62" i="26" s="1"/>
  <c r="BC48" i="26"/>
  <c r="BC63" i="26" s="1"/>
  <c r="AK22" i="20"/>
  <c r="V22" i="20"/>
  <c r="AK21" i="20"/>
  <c r="V21" i="20"/>
  <c r="I54" i="7"/>
  <c r="K54" i="7"/>
  <c r="K53" i="7"/>
  <c r="K55" i="7"/>
  <c r="I53" i="7"/>
  <c r="I47" i="7"/>
  <c r="K47" i="7"/>
  <c r="M48" i="7"/>
  <c r="M52" i="7"/>
  <c r="M53" i="7"/>
  <c r="L53" i="7"/>
  <c r="L49" i="7"/>
  <c r="M49" i="7"/>
  <c r="K52" i="7"/>
  <c r="K50" i="7"/>
  <c r="K48" i="7"/>
  <c r="I52" i="7"/>
  <c r="K46" i="7"/>
  <c r="J46" i="7"/>
  <c r="J52" i="7"/>
  <c r="J47" i="7"/>
  <c r="J48" i="7"/>
  <c r="I48" i="7"/>
  <c r="M55" i="7"/>
  <c r="I49" i="7"/>
  <c r="M51" i="7"/>
  <c r="M47" i="7"/>
  <c r="J50" i="7"/>
  <c r="K49" i="7"/>
  <c r="I51" i="7"/>
  <c r="L55" i="7"/>
  <c r="L51" i="7"/>
  <c r="J53" i="7"/>
  <c r="L47" i="7"/>
  <c r="J54" i="7"/>
  <c r="J55" i="7"/>
  <c r="I55" i="7"/>
  <c r="J51" i="7"/>
  <c r="J49" i="7"/>
  <c r="M54" i="7"/>
  <c r="I50" i="7"/>
  <c r="M50" i="7"/>
  <c r="M46" i="7"/>
  <c r="K51" i="7"/>
  <c r="L52" i="7"/>
  <c r="I46" i="7"/>
  <c r="L48" i="7"/>
  <c r="L54" i="7"/>
  <c r="L46" i="7"/>
  <c r="L50" i="7"/>
  <c r="AZ22" i="20"/>
  <c r="AZ21" i="20"/>
  <c r="G96" i="31"/>
  <c r="A18" i="26" s="1"/>
  <c r="T18" i="36"/>
  <c r="G68" i="31"/>
  <c r="A16" i="26" s="1"/>
  <c r="T16" i="36"/>
  <c r="G54" i="31"/>
  <c r="A15" i="26" s="1"/>
  <c r="T15" i="36"/>
  <c r="G40" i="31"/>
  <c r="A14" i="26" s="1"/>
  <c r="T14" i="36"/>
  <c r="G26" i="31"/>
  <c r="A13" i="26" s="1"/>
  <c r="T13" i="36"/>
  <c r="G12" i="31"/>
  <c r="A12" i="26" s="1"/>
  <c r="T12" i="36"/>
  <c r="S18" i="36"/>
  <c r="G82" i="31"/>
  <c r="A17" i="26" s="1"/>
  <c r="I15" i="45" l="1"/>
  <c r="I20" i="45" s="1"/>
  <c r="H15" i="45"/>
  <c r="H20" i="45" s="1"/>
  <c r="F4" i="36"/>
  <c r="AL6" i="38"/>
  <c r="AM6" i="38"/>
  <c r="AM20" i="38"/>
  <c r="BC57" i="26"/>
  <c r="AL20" i="42" s="1"/>
  <c r="BC102" i="26"/>
  <c r="BC117" i="26" s="1"/>
  <c r="BD102" i="26"/>
  <c r="BD117" i="26" s="1"/>
  <c r="BD57" i="26"/>
  <c r="AM20" i="42" s="1"/>
  <c r="AM23" i="42"/>
  <c r="U49" i="26"/>
  <c r="U64" i="26" s="1"/>
  <c r="T45" i="26"/>
  <c r="T60" i="26" s="1"/>
  <c r="W48" i="26"/>
  <c r="W63" i="26" s="1"/>
  <c r="W47" i="26"/>
  <c r="W62" i="26" s="1"/>
  <c r="V43" i="26"/>
  <c r="V58" i="26" s="1"/>
  <c r="V44" i="26"/>
  <c r="V59" i="26" s="1"/>
  <c r="T48" i="26"/>
  <c r="T63" i="26" s="1"/>
  <c r="V45" i="26"/>
  <c r="V60" i="26" s="1"/>
  <c r="T44" i="26"/>
  <c r="T59" i="26" s="1"/>
  <c r="U47" i="26"/>
  <c r="U62" i="26" s="1"/>
  <c r="U46" i="26"/>
  <c r="U61" i="26" s="1"/>
  <c r="T42" i="26"/>
  <c r="T57" i="26" s="1"/>
  <c r="T43" i="26"/>
  <c r="T58" i="26" s="1"/>
  <c r="W49" i="26"/>
  <c r="W64" i="26" s="1"/>
  <c r="W46" i="26"/>
  <c r="W61" i="26" s="1"/>
  <c r="V42" i="26"/>
  <c r="V57" i="26" s="1"/>
  <c r="V51" i="26"/>
  <c r="V66" i="26" s="1"/>
  <c r="T50" i="26"/>
  <c r="T65" i="26" s="1"/>
  <c r="T51" i="26"/>
  <c r="T66" i="26" s="1"/>
  <c r="U48" i="26"/>
  <c r="U63" i="26" s="1"/>
  <c r="W44" i="26"/>
  <c r="W59" i="26" s="1"/>
  <c r="V49" i="26"/>
  <c r="V64" i="26" s="1"/>
  <c r="U45" i="26"/>
  <c r="U60" i="26" s="1"/>
  <c r="W43" i="26"/>
  <c r="W58" i="26" s="1"/>
  <c r="U43" i="26"/>
  <c r="U58" i="26" s="1"/>
  <c r="U42" i="26"/>
  <c r="U57" i="26" s="1"/>
  <c r="W45" i="26"/>
  <c r="W60" i="26" s="1"/>
  <c r="W42" i="26"/>
  <c r="W57" i="26" s="1"/>
  <c r="V47" i="26"/>
  <c r="V62" i="26" s="1"/>
  <c r="U51" i="26"/>
  <c r="U66" i="26" s="1"/>
  <c r="V48" i="26"/>
  <c r="V63" i="26" s="1"/>
  <c r="W51" i="26"/>
  <c r="W66" i="26" s="1"/>
  <c r="U50" i="26"/>
  <c r="U65" i="26" s="1"/>
  <c r="V50" i="26"/>
  <c r="V65" i="26" s="1"/>
  <c r="T49" i="26"/>
  <c r="T64" i="26" s="1"/>
  <c r="W50" i="26"/>
  <c r="W65" i="26" s="1"/>
  <c r="T46" i="26"/>
  <c r="T61" i="26" s="1"/>
  <c r="T47" i="26"/>
  <c r="T62" i="26" s="1"/>
  <c r="U44" i="26"/>
  <c r="U59" i="26" s="1"/>
  <c r="V46" i="26"/>
  <c r="V61" i="26" s="1"/>
  <c r="S36" i="26"/>
  <c r="S51" i="26"/>
  <c r="Y27" i="26"/>
  <c r="Y42" i="26"/>
  <c r="S33" i="26"/>
  <c r="S48" i="26"/>
  <c r="P35" i="26"/>
  <c r="P50" i="26"/>
  <c r="J30" i="26"/>
  <c r="J45" i="26"/>
  <c r="G33" i="26"/>
  <c r="G48" i="26"/>
  <c r="F35" i="26"/>
  <c r="F50" i="26"/>
  <c r="P29" i="26"/>
  <c r="P44" i="26"/>
  <c r="E24" i="26"/>
  <c r="E39" i="26"/>
  <c r="P30" i="26"/>
  <c r="P45" i="26"/>
  <c r="AA33" i="26"/>
  <c r="AA48" i="26"/>
  <c r="AA63" i="26" s="1"/>
  <c r="K33" i="26"/>
  <c r="K48" i="26"/>
  <c r="M25" i="26"/>
  <c r="M40" i="26"/>
  <c r="M55" i="26" s="1"/>
  <c r="M33" i="26"/>
  <c r="M48" i="26"/>
  <c r="M63" i="26" s="1"/>
  <c r="I24" i="26"/>
  <c r="I39" i="26"/>
  <c r="J33" i="26"/>
  <c r="J48" i="26"/>
  <c r="F29" i="26"/>
  <c r="F44" i="26"/>
  <c r="O33" i="26"/>
  <c r="O48" i="26"/>
  <c r="C31" i="26"/>
  <c r="C46" i="26"/>
  <c r="F30" i="26"/>
  <c r="F45" i="26"/>
  <c r="AA27" i="26"/>
  <c r="AA42" i="26"/>
  <c r="AA57" i="26" s="1"/>
  <c r="N30" i="26"/>
  <c r="N45" i="26"/>
  <c r="L25" i="26"/>
  <c r="L40" i="26"/>
  <c r="L55" i="26" s="1"/>
  <c r="L33" i="26"/>
  <c r="L48" i="26"/>
  <c r="L63" i="26" s="1"/>
  <c r="A42" i="26"/>
  <c r="A57" i="26"/>
  <c r="AA25" i="26"/>
  <c r="AA40" i="26"/>
  <c r="AA55" i="26" s="1"/>
  <c r="X27" i="26"/>
  <c r="X42" i="26"/>
  <c r="M24" i="26"/>
  <c r="M39" i="26"/>
  <c r="M54" i="26" s="1"/>
  <c r="L27" i="26"/>
  <c r="L42" i="26"/>
  <c r="L57" i="26" s="1"/>
  <c r="O24" i="26"/>
  <c r="O39" i="26"/>
  <c r="D29" i="26"/>
  <c r="D44" i="26"/>
  <c r="A43" i="26"/>
  <c r="A58" i="26"/>
  <c r="Q33" i="26"/>
  <c r="Q48" i="26"/>
  <c r="Q27" i="26"/>
  <c r="Q42" i="26"/>
  <c r="R29" i="26"/>
  <c r="R44" i="26"/>
  <c r="G35" i="26"/>
  <c r="G50" i="26"/>
  <c r="O25" i="26"/>
  <c r="O40" i="26"/>
  <c r="G32" i="26"/>
  <c r="G47" i="26"/>
  <c r="J29" i="26"/>
  <c r="J44" i="26"/>
  <c r="F28" i="26"/>
  <c r="F43" i="26"/>
  <c r="H28" i="26"/>
  <c r="H43" i="26"/>
  <c r="S31" i="26"/>
  <c r="S46" i="26"/>
  <c r="R28" i="26"/>
  <c r="R43" i="26"/>
  <c r="X36" i="26"/>
  <c r="X51" i="26"/>
  <c r="N35" i="26"/>
  <c r="N50" i="26"/>
  <c r="L32" i="26"/>
  <c r="L47" i="26"/>
  <c r="L62" i="26" s="1"/>
  <c r="P28" i="26"/>
  <c r="P43" i="26"/>
  <c r="Z35" i="26"/>
  <c r="Z50" i="26"/>
  <c r="S30" i="26"/>
  <c r="S45" i="26"/>
  <c r="C35" i="26"/>
  <c r="C50" i="26"/>
  <c r="J27" i="26"/>
  <c r="J42" i="26"/>
  <c r="I31" i="26"/>
  <c r="I46" i="26"/>
  <c r="F27" i="26"/>
  <c r="F42" i="26"/>
  <c r="J28" i="26"/>
  <c r="J43" i="26"/>
  <c r="K34" i="26"/>
  <c r="K49" i="26"/>
  <c r="X32" i="26"/>
  <c r="X47" i="26"/>
  <c r="M31" i="26"/>
  <c r="M46" i="26"/>
  <c r="M61" i="26" s="1"/>
  <c r="A44" i="26"/>
  <c r="A59" i="26"/>
  <c r="I28" i="26"/>
  <c r="I43" i="26"/>
  <c r="M27" i="26"/>
  <c r="M42" i="26"/>
  <c r="M57" i="26" s="1"/>
  <c r="Y35" i="26"/>
  <c r="Y50" i="26"/>
  <c r="O32" i="26"/>
  <c r="O47" i="26"/>
  <c r="E32" i="26"/>
  <c r="E47" i="26"/>
  <c r="U24" i="26"/>
  <c r="U39" i="26"/>
  <c r="U54" i="26" s="1"/>
  <c r="R25" i="26"/>
  <c r="R40" i="26"/>
  <c r="Y30" i="26"/>
  <c r="Y45" i="26"/>
  <c r="C33" i="26"/>
  <c r="C48" i="26"/>
  <c r="R27" i="26"/>
  <c r="R42" i="26"/>
  <c r="N31" i="26"/>
  <c r="N46" i="26"/>
  <c r="K30" i="26"/>
  <c r="K45" i="26"/>
  <c r="L31" i="26"/>
  <c r="L46" i="26"/>
  <c r="L61" i="26" s="1"/>
  <c r="A47" i="26"/>
  <c r="A62" i="26"/>
  <c r="P36" i="26"/>
  <c r="P51" i="26"/>
  <c r="Q30" i="26"/>
  <c r="Q45" i="26"/>
  <c r="C24" i="26"/>
  <c r="C39" i="26"/>
  <c r="H27" i="26"/>
  <c r="H42" i="26"/>
  <c r="X28" i="26"/>
  <c r="X43" i="26"/>
  <c r="N27" i="26"/>
  <c r="N42" i="26"/>
  <c r="M36" i="26"/>
  <c r="M51" i="26"/>
  <c r="M66" i="26" s="1"/>
  <c r="A45" i="26"/>
  <c r="A60" i="26"/>
  <c r="H29" i="26"/>
  <c r="H44" i="26"/>
  <c r="W25" i="26"/>
  <c r="W40" i="26"/>
  <c r="W55" i="26" s="1"/>
  <c r="E25" i="26"/>
  <c r="E40" i="26"/>
  <c r="K25" i="26"/>
  <c r="K40" i="26"/>
  <c r="K35" i="26"/>
  <c r="K50" i="26"/>
  <c r="M30" i="26"/>
  <c r="M45" i="26"/>
  <c r="M60" i="26" s="1"/>
  <c r="AA31" i="26"/>
  <c r="AA46" i="26"/>
  <c r="AA61" i="26" s="1"/>
  <c r="M32" i="26"/>
  <c r="M47" i="26"/>
  <c r="M62" i="26" s="1"/>
  <c r="D30" i="26"/>
  <c r="D45" i="26"/>
  <c r="F25" i="26"/>
  <c r="F40" i="26"/>
  <c r="N36" i="26"/>
  <c r="N51" i="26"/>
  <c r="N32" i="26"/>
  <c r="N47" i="26"/>
  <c r="L36" i="26"/>
  <c r="L51" i="26"/>
  <c r="L66" i="26" s="1"/>
  <c r="A46" i="26"/>
  <c r="A61" i="26"/>
  <c r="X35" i="26"/>
  <c r="X50" i="26"/>
  <c r="L24" i="26"/>
  <c r="L39" i="26"/>
  <c r="L54" i="26" s="1"/>
  <c r="C29" i="26"/>
  <c r="C44" i="26"/>
  <c r="D36" i="26"/>
  <c r="D51" i="26"/>
  <c r="F36" i="26"/>
  <c r="F51" i="26"/>
  <c r="F31" i="26"/>
  <c r="F46" i="26"/>
  <c r="O29" i="26"/>
  <c r="O44" i="26"/>
  <c r="R35" i="26"/>
  <c r="R50" i="26"/>
  <c r="V24" i="26"/>
  <c r="V39" i="26"/>
  <c r="V54" i="26" s="1"/>
  <c r="X33" i="26"/>
  <c r="X48" i="26"/>
  <c r="X29" i="26"/>
  <c r="X44" i="26"/>
  <c r="L30" i="26"/>
  <c r="L45" i="26"/>
  <c r="L60" i="26" s="1"/>
  <c r="H31" i="26"/>
  <c r="H46" i="26"/>
  <c r="J24" i="26"/>
  <c r="J39" i="26"/>
  <c r="E34" i="26"/>
  <c r="E49" i="26"/>
  <c r="Y29" i="26"/>
  <c r="Y44" i="26"/>
  <c r="J25" i="26"/>
  <c r="J40" i="26"/>
  <c r="F24" i="26"/>
  <c r="F39" i="26"/>
  <c r="D24" i="26"/>
  <c r="D39" i="26"/>
  <c r="K31" i="26"/>
  <c r="K46" i="26"/>
  <c r="K27" i="26"/>
  <c r="K42" i="26"/>
  <c r="M35" i="26"/>
  <c r="M50" i="26"/>
  <c r="M65" i="26" s="1"/>
  <c r="A48" i="26"/>
  <c r="A63" i="26"/>
  <c r="G34" i="26"/>
  <c r="G49" i="26"/>
  <c r="I36" i="26"/>
  <c r="I51" i="26"/>
  <c r="Y32" i="26"/>
  <c r="Y47" i="26"/>
  <c r="H32" i="26"/>
  <c r="H47" i="26"/>
  <c r="Z25" i="26"/>
  <c r="Z40" i="26"/>
  <c r="R34" i="26"/>
  <c r="R49" i="26"/>
  <c r="Y28" i="26"/>
  <c r="Y43" i="26"/>
  <c r="Q28" i="26"/>
  <c r="Q43" i="26"/>
  <c r="C34" i="26"/>
  <c r="C49" i="26"/>
  <c r="P34" i="26"/>
  <c r="P49" i="26"/>
  <c r="AA34" i="26"/>
  <c r="AA49" i="26"/>
  <c r="AA64" i="26" s="1"/>
  <c r="N28" i="26"/>
  <c r="N43" i="26"/>
  <c r="X34" i="26"/>
  <c r="X49" i="26"/>
  <c r="M29" i="26"/>
  <c r="M44" i="26"/>
  <c r="M59" i="26" s="1"/>
  <c r="AA29" i="26"/>
  <c r="AA44" i="26"/>
  <c r="AA59" i="26" s="1"/>
  <c r="O34" i="26"/>
  <c r="O49" i="26"/>
  <c r="H25" i="26"/>
  <c r="H40" i="26"/>
  <c r="Q29" i="26"/>
  <c r="Q44" i="26"/>
  <c r="S32" i="26"/>
  <c r="S47" i="26"/>
  <c r="J36" i="26"/>
  <c r="J51" i="26"/>
  <c r="Z33" i="26"/>
  <c r="Z48" i="26"/>
  <c r="H35" i="26"/>
  <c r="H50" i="26"/>
  <c r="Y36" i="26"/>
  <c r="Y51" i="26"/>
  <c r="C25" i="26"/>
  <c r="C40" i="26"/>
  <c r="F34" i="26"/>
  <c r="F49" i="26"/>
  <c r="AA24" i="26"/>
  <c r="AA39" i="26"/>
  <c r="AA54" i="26" s="1"/>
  <c r="X24" i="26"/>
  <c r="X39" i="26"/>
  <c r="K32" i="26"/>
  <c r="K47" i="26"/>
  <c r="L35" i="26"/>
  <c r="L50" i="26"/>
  <c r="L65" i="26" s="1"/>
  <c r="N25" i="26"/>
  <c r="N40" i="26"/>
  <c r="P31" i="26"/>
  <c r="P46" i="26"/>
  <c r="E31" i="26"/>
  <c r="E46" i="26"/>
  <c r="I29" i="26"/>
  <c r="I44" i="26"/>
  <c r="Y31" i="26"/>
  <c r="Y46" i="26"/>
  <c r="E29" i="26"/>
  <c r="E44" i="26"/>
  <c r="J34" i="26"/>
  <c r="J49" i="26"/>
  <c r="R33" i="26"/>
  <c r="R48" i="26"/>
  <c r="Z24" i="26"/>
  <c r="Z39" i="26"/>
  <c r="S25" i="26"/>
  <c r="S40" i="26"/>
  <c r="AA30" i="26"/>
  <c r="AA45" i="26"/>
  <c r="AA60" i="26" s="1"/>
  <c r="K36" i="26"/>
  <c r="K51" i="26"/>
  <c r="N29" i="26"/>
  <c r="N44" i="26"/>
  <c r="L29" i="26"/>
  <c r="L44" i="26"/>
  <c r="L59" i="26" s="1"/>
  <c r="H30" i="26"/>
  <c r="H45" i="26"/>
  <c r="G27" i="26"/>
  <c r="G42" i="26"/>
  <c r="D34" i="26"/>
  <c r="D49" i="26"/>
  <c r="Z32" i="26"/>
  <c r="Z47" i="26"/>
  <c r="T25" i="26"/>
  <c r="T40" i="26"/>
  <c r="Z36" i="26"/>
  <c r="Z51" i="26"/>
  <c r="P24" i="26"/>
  <c r="P39" i="26"/>
  <c r="R24" i="26"/>
  <c r="R39" i="26"/>
  <c r="D35" i="26"/>
  <c r="D50" i="26"/>
  <c r="T24" i="26"/>
  <c r="T39" i="26"/>
  <c r="Q31" i="26"/>
  <c r="Q46" i="26"/>
  <c r="G36" i="26"/>
  <c r="G51" i="26"/>
  <c r="O27" i="26"/>
  <c r="O42" i="26"/>
  <c r="P32" i="26"/>
  <c r="P47" i="26"/>
  <c r="I25" i="26"/>
  <c r="I40" i="26"/>
  <c r="D32" i="26"/>
  <c r="D47" i="26"/>
  <c r="S35" i="26"/>
  <c r="S50" i="26"/>
  <c r="Y25" i="26"/>
  <c r="Y40" i="26"/>
  <c r="D33" i="26"/>
  <c r="D48" i="26"/>
  <c r="AA32" i="26"/>
  <c r="AA47" i="26"/>
  <c r="AA62" i="26" s="1"/>
  <c r="N33" i="26"/>
  <c r="N48" i="26"/>
  <c r="X25" i="26"/>
  <c r="X40" i="26"/>
  <c r="M34" i="26"/>
  <c r="M49" i="26"/>
  <c r="M64" i="26" s="1"/>
  <c r="R32" i="26"/>
  <c r="R47" i="26"/>
  <c r="Q35" i="26"/>
  <c r="Q50" i="26"/>
  <c r="D28" i="26"/>
  <c r="D43" i="26"/>
  <c r="D27" i="26"/>
  <c r="D42" i="26"/>
  <c r="G30" i="26"/>
  <c r="G45" i="26"/>
  <c r="J35" i="26"/>
  <c r="J50" i="26"/>
  <c r="I32" i="26"/>
  <c r="I47" i="26"/>
  <c r="H34" i="26"/>
  <c r="H49" i="26"/>
  <c r="C30" i="26"/>
  <c r="C45" i="26"/>
  <c r="E28" i="26"/>
  <c r="E43" i="26"/>
  <c r="G31" i="26"/>
  <c r="G46" i="26"/>
  <c r="O36" i="26"/>
  <c r="O51" i="26"/>
  <c r="F33" i="26"/>
  <c r="F48" i="26"/>
  <c r="H33" i="26"/>
  <c r="H48" i="26"/>
  <c r="E36" i="26"/>
  <c r="E51" i="26"/>
  <c r="I27" i="26"/>
  <c r="I42" i="26"/>
  <c r="O30" i="26"/>
  <c r="O45" i="26"/>
  <c r="E27" i="26"/>
  <c r="E42" i="26"/>
  <c r="F32" i="26"/>
  <c r="F47" i="26"/>
  <c r="S34" i="26"/>
  <c r="S49" i="26"/>
  <c r="Y24" i="26"/>
  <c r="Y39" i="26"/>
  <c r="I35" i="26"/>
  <c r="I50" i="26"/>
  <c r="Q25" i="26"/>
  <c r="Q40" i="26"/>
  <c r="AA35" i="26"/>
  <c r="AA50" i="26"/>
  <c r="AA65" i="26" s="1"/>
  <c r="X30" i="26"/>
  <c r="X45" i="26"/>
  <c r="N34" i="26"/>
  <c r="N49" i="26"/>
  <c r="M28" i="26"/>
  <c r="M43" i="26"/>
  <c r="M58" i="26" s="1"/>
  <c r="C32" i="26"/>
  <c r="C47" i="26"/>
  <c r="R36" i="26"/>
  <c r="R51" i="26"/>
  <c r="I33" i="26"/>
  <c r="I48" i="26"/>
  <c r="E33" i="26"/>
  <c r="E48" i="26"/>
  <c r="Q32" i="26"/>
  <c r="Q47" i="26"/>
  <c r="O31" i="26"/>
  <c r="O46" i="26"/>
  <c r="H36" i="26"/>
  <c r="H51" i="26"/>
  <c r="P25" i="26"/>
  <c r="P40" i="26"/>
  <c r="G29" i="26"/>
  <c r="G44" i="26"/>
  <c r="P27" i="26"/>
  <c r="P42" i="26"/>
  <c r="D25" i="26"/>
  <c r="D40" i="26"/>
  <c r="O28" i="26"/>
  <c r="O43" i="26"/>
  <c r="Z27" i="26"/>
  <c r="Z42" i="26"/>
  <c r="P33" i="26"/>
  <c r="P48" i="26"/>
  <c r="G28" i="26"/>
  <c r="G43" i="26"/>
  <c r="S27" i="26"/>
  <c r="S42" i="26"/>
  <c r="Q36" i="26"/>
  <c r="Q51" i="26"/>
  <c r="I34" i="26"/>
  <c r="I49" i="26"/>
  <c r="Q24" i="26"/>
  <c r="Q39" i="26"/>
  <c r="J31" i="26"/>
  <c r="J46" i="26"/>
  <c r="Y34" i="26"/>
  <c r="Y49" i="26"/>
  <c r="G25" i="26"/>
  <c r="G40" i="26"/>
  <c r="J32" i="26"/>
  <c r="J47" i="26"/>
  <c r="AA36" i="26"/>
  <c r="AA51" i="26"/>
  <c r="AA66" i="26" s="1"/>
  <c r="K28" i="26"/>
  <c r="K43" i="26"/>
  <c r="X31" i="26"/>
  <c r="X46" i="26"/>
  <c r="L34" i="26"/>
  <c r="L49" i="26"/>
  <c r="L64" i="26" s="1"/>
  <c r="K24" i="26"/>
  <c r="K39" i="26"/>
  <c r="I30" i="26"/>
  <c r="I45" i="26"/>
  <c r="Z31" i="26"/>
  <c r="Z46" i="26"/>
  <c r="S29" i="26"/>
  <c r="S44" i="26"/>
  <c r="Z28" i="26"/>
  <c r="Z43" i="26"/>
  <c r="H24" i="26"/>
  <c r="H39" i="26"/>
  <c r="C28" i="26"/>
  <c r="C43" i="26"/>
  <c r="Z29" i="26"/>
  <c r="Z44" i="26"/>
  <c r="Z34" i="26"/>
  <c r="Z49" i="26"/>
  <c r="Z30" i="26"/>
  <c r="Z45" i="26"/>
  <c r="E30" i="26"/>
  <c r="E45" i="26"/>
  <c r="C36" i="26"/>
  <c r="C51" i="26"/>
  <c r="O35" i="26"/>
  <c r="O50" i="26"/>
  <c r="U25" i="26"/>
  <c r="U40" i="26"/>
  <c r="U55" i="26" s="1"/>
  <c r="V25" i="26"/>
  <c r="V40" i="26"/>
  <c r="V55" i="26" s="1"/>
  <c r="S28" i="26"/>
  <c r="S43" i="26"/>
  <c r="E35" i="26"/>
  <c r="E50" i="26"/>
  <c r="S24" i="26"/>
  <c r="S39" i="26"/>
  <c r="D31" i="26"/>
  <c r="D46" i="26"/>
  <c r="Y33" i="26"/>
  <c r="Y48" i="26"/>
  <c r="G24" i="26"/>
  <c r="G39" i="26"/>
  <c r="R30" i="26"/>
  <c r="R45" i="26"/>
  <c r="Q34" i="26"/>
  <c r="Q49" i="26"/>
  <c r="W24" i="26"/>
  <c r="W39" i="26"/>
  <c r="W54" i="26" s="1"/>
  <c r="R31" i="26"/>
  <c r="R46" i="26"/>
  <c r="AA28" i="26"/>
  <c r="AA43" i="26"/>
  <c r="AA58" i="26" s="1"/>
  <c r="N24" i="26"/>
  <c r="N39" i="26"/>
  <c r="K29" i="26"/>
  <c r="K44" i="26"/>
  <c r="L28" i="26"/>
  <c r="L43" i="26"/>
  <c r="L58" i="26" s="1"/>
  <c r="A91" i="26"/>
  <c r="A31" i="8"/>
  <c r="A93" i="26"/>
  <c r="A33" i="8"/>
  <c r="A27" i="8"/>
  <c r="AM8" i="38"/>
  <c r="AL13" i="38"/>
  <c r="AM17" i="38"/>
  <c r="AL8" i="38"/>
  <c r="AM11" i="38"/>
  <c r="AM15" i="38"/>
  <c r="AM9" i="38"/>
  <c r="AL11" i="38"/>
  <c r="AL17" i="38"/>
  <c r="AL7" i="38"/>
  <c r="AL14" i="38"/>
  <c r="AL16" i="38"/>
  <c r="AM10" i="38"/>
  <c r="AM13" i="38"/>
  <c r="AM12" i="38"/>
  <c r="AL15" i="38"/>
  <c r="AL12" i="38"/>
  <c r="AL10" i="38"/>
  <c r="AM16" i="38"/>
  <c r="AM14" i="38"/>
  <c r="AL9" i="38"/>
  <c r="AM7" i="38"/>
  <c r="A92" i="26"/>
  <c r="A32" i="8"/>
  <c r="A90" i="26"/>
  <c r="A30" i="8"/>
  <c r="A89" i="26"/>
  <c r="A29" i="8"/>
  <c r="A88" i="26"/>
  <c r="A28" i="8"/>
  <c r="BH21" i="26"/>
  <c r="BH13" i="26"/>
  <c r="S16" i="36"/>
  <c r="A135" i="26"/>
  <c r="A75" i="26"/>
  <c r="S15" i="36"/>
  <c r="S14" i="36"/>
  <c r="BG20" i="26"/>
  <c r="BH14" i="26"/>
  <c r="BE19" i="26"/>
  <c r="BH15" i="26"/>
  <c r="BH12" i="26"/>
  <c r="BE16" i="26"/>
  <c r="BE31" i="26" s="1"/>
  <c r="BE18" i="26"/>
  <c r="BH17" i="26"/>
  <c r="BF12" i="26"/>
  <c r="BG17" i="26"/>
  <c r="BF21" i="26"/>
  <c r="BG18" i="26"/>
  <c r="BF20" i="26"/>
  <c r="BH20" i="26"/>
  <c r="BG16" i="26"/>
  <c r="BF14" i="26"/>
  <c r="BE17" i="26"/>
  <c r="BF19" i="26"/>
  <c r="BE15" i="26"/>
  <c r="BE30" i="26" s="1"/>
  <c r="BH18" i="26"/>
  <c r="BG14" i="26"/>
  <c r="BG15" i="26"/>
  <c r="BG13" i="26"/>
  <c r="BE14" i="26"/>
  <c r="BE29" i="26" s="1"/>
  <c r="BE13" i="26"/>
  <c r="BE28" i="26" s="1"/>
  <c r="BF17" i="26"/>
  <c r="BF13" i="26"/>
  <c r="BE12" i="26"/>
  <c r="BH19" i="26"/>
  <c r="BG12" i="26"/>
  <c r="BG21" i="26"/>
  <c r="BF16" i="26"/>
  <c r="BH16" i="26"/>
  <c r="BF18" i="26"/>
  <c r="BG19" i="26"/>
  <c r="BF15" i="26"/>
  <c r="BE20" i="26"/>
  <c r="BE21" i="26"/>
  <c r="U34" i="26"/>
  <c r="U31" i="26"/>
  <c r="T34" i="26"/>
  <c r="W36" i="26"/>
  <c r="U28" i="26"/>
  <c r="V28" i="26"/>
  <c r="W27" i="26"/>
  <c r="U29" i="26"/>
  <c r="U27" i="26"/>
  <c r="W30" i="26"/>
  <c r="V32" i="26"/>
  <c r="U36" i="26"/>
  <c r="V33" i="26"/>
  <c r="U35" i="26"/>
  <c r="T31" i="26"/>
  <c r="T30" i="26"/>
  <c r="W33" i="26"/>
  <c r="T32" i="26"/>
  <c r="V30" i="26"/>
  <c r="T29" i="26"/>
  <c r="U32" i="26"/>
  <c r="A30" i="26"/>
  <c r="V31" i="26"/>
  <c r="T33" i="26"/>
  <c r="T27" i="26"/>
  <c r="W34" i="26"/>
  <c r="V27" i="26"/>
  <c r="V36" i="26"/>
  <c r="W31" i="26"/>
  <c r="W35" i="26"/>
  <c r="V29" i="26"/>
  <c r="W32" i="26"/>
  <c r="T28" i="26"/>
  <c r="U33" i="26"/>
  <c r="V34" i="26"/>
  <c r="U30" i="26"/>
  <c r="T35" i="26"/>
  <c r="T36" i="26"/>
  <c r="V35" i="26"/>
  <c r="W29" i="26"/>
  <c r="W28" i="26"/>
  <c r="A117" i="26"/>
  <c r="A87" i="26"/>
  <c r="A121" i="26"/>
  <c r="A123" i="26"/>
  <c r="A122" i="26"/>
  <c r="A118" i="26"/>
  <c r="A119" i="26"/>
  <c r="A120" i="26"/>
  <c r="A33" i="26"/>
  <c r="A74" i="26"/>
  <c r="A29" i="26"/>
  <c r="A133" i="26"/>
  <c r="A73" i="26"/>
  <c r="A28" i="26"/>
  <c r="S13" i="36"/>
  <c r="S12" i="36"/>
  <c r="A138" i="26"/>
  <c r="A78" i="26"/>
  <c r="A76" i="26"/>
  <c r="A136" i="26"/>
  <c r="A31" i="26"/>
  <c r="A134" i="26"/>
  <c r="S17" i="36"/>
  <c r="A132" i="26"/>
  <c r="A27" i="26"/>
  <c r="A72" i="26"/>
  <c r="AH15" i="26"/>
  <c r="AG14" i="26"/>
  <c r="AG9" i="26"/>
  <c r="AH10" i="26"/>
  <c r="AI10" i="26"/>
  <c r="AV9" i="26"/>
  <c r="BN9" i="26" s="1"/>
  <c r="AF13" i="26"/>
  <c r="AE14" i="26"/>
  <c r="AI14" i="26"/>
  <c r="AH14" i="26"/>
  <c r="AI15" i="26"/>
  <c r="AI13" i="26"/>
  <c r="AW10" i="26"/>
  <c r="BO10" i="26" s="1"/>
  <c r="AW12" i="26"/>
  <c r="BO12" i="26" s="1"/>
  <c r="AF14" i="26"/>
  <c r="AF10" i="26"/>
  <c r="AW13" i="26"/>
  <c r="BO13" i="26" s="1"/>
  <c r="AH13" i="26"/>
  <c r="AF9" i="26"/>
  <c r="AF16" i="26"/>
  <c r="AW9" i="26"/>
  <c r="BO9" i="26" s="1"/>
  <c r="AE10" i="26"/>
  <c r="AW15" i="26"/>
  <c r="BO15" i="26" s="1"/>
  <c r="AW16" i="26"/>
  <c r="BO16" i="26" s="1"/>
  <c r="AE13" i="26"/>
  <c r="AF15" i="26"/>
  <c r="AE16" i="26"/>
  <c r="AI16" i="26"/>
  <c r="AW14" i="26"/>
  <c r="BO14" i="26" s="1"/>
  <c r="AE15" i="26"/>
  <c r="AH16" i="26"/>
  <c r="AH9" i="26"/>
  <c r="AE9" i="26"/>
  <c r="AI9" i="26"/>
  <c r="AO18" i="26"/>
  <c r="AH18" i="26"/>
  <c r="AH17" i="26"/>
  <c r="AE17" i="26"/>
  <c r="AW17" i="26"/>
  <c r="BO17" i="26" s="1"/>
  <c r="AF17" i="26"/>
  <c r="AI17" i="26"/>
  <c r="A32" i="26"/>
  <c r="A137" i="26"/>
  <c r="A77" i="26"/>
  <c r="AG10" i="26"/>
  <c r="AG18" i="26"/>
  <c r="AG15" i="26"/>
  <c r="AG13" i="26"/>
  <c r="AV14" i="26"/>
  <c r="AV17" i="26"/>
  <c r="AR18" i="26"/>
  <c r="AV10" i="26"/>
  <c r="BN10" i="26" s="1"/>
  <c r="AX13" i="26"/>
  <c r="AR19" i="26"/>
  <c r="AH20" i="26"/>
  <c r="AO19" i="26"/>
  <c r="AH21" i="26"/>
  <c r="AO20" i="26"/>
  <c r="AR20" i="26"/>
  <c r="AO21" i="26"/>
  <c r="AG20" i="26"/>
  <c r="AH19" i="26"/>
  <c r="AX9" i="26"/>
  <c r="BP9" i="26" s="1"/>
  <c r="AR21" i="26"/>
  <c r="AG19" i="26"/>
  <c r="AG21" i="26"/>
  <c r="AU13" i="26"/>
  <c r="AV12" i="26"/>
  <c r="AV16" i="26"/>
  <c r="AX17" i="26"/>
  <c r="AU9" i="26"/>
  <c r="BM9" i="26" s="1"/>
  <c r="AX14" i="26"/>
  <c r="AV15" i="26"/>
  <c r="AV13" i="26"/>
  <c r="AE18" i="26"/>
  <c r="AF18" i="26"/>
  <c r="AT19" i="26"/>
  <c r="AC19" i="26"/>
  <c r="AP20" i="26"/>
  <c r="AK21" i="26"/>
  <c r="AT14" i="26"/>
  <c r="AW18" i="26"/>
  <c r="BO18" i="26" s="1"/>
  <c r="AP18" i="26"/>
  <c r="AF20" i="26"/>
  <c r="AT10" i="26"/>
  <c r="BL10" i="26" s="1"/>
  <c r="AI18" i="26"/>
  <c r="AX12" i="26"/>
  <c r="AX19" i="26"/>
  <c r="AX15" i="26"/>
  <c r="AX10" i="26"/>
  <c r="BP10" i="26" s="1"/>
  <c r="AQ20" i="26"/>
  <c r="AE21" i="26"/>
  <c r="AP21" i="26"/>
  <c r="AL18" i="26"/>
  <c r="AE19" i="26"/>
  <c r="AN20" i="26"/>
  <c r="AJ19" i="26"/>
  <c r="AQ19" i="26"/>
  <c r="AK20" i="26"/>
  <c r="AW21" i="26"/>
  <c r="BO21" i="26" s="1"/>
  <c r="AD21" i="26"/>
  <c r="AJ21" i="26"/>
  <c r="AT13" i="26"/>
  <c r="AK18" i="26"/>
  <c r="AL19" i="26"/>
  <c r="AV18" i="26"/>
  <c r="AT18" i="26"/>
  <c r="AQ21" i="26"/>
  <c r="AD18" i="26"/>
  <c r="AU18" i="26"/>
  <c r="AU14" i="26"/>
  <c r="AT21" i="26"/>
  <c r="AC21" i="26"/>
  <c r="AU15" i="26"/>
  <c r="AI20" i="26"/>
  <c r="AN18" i="26"/>
  <c r="AI21" i="26"/>
  <c r="AT20" i="26"/>
  <c r="AC20" i="26"/>
  <c r="AJ18" i="26"/>
  <c r="AE20" i="26"/>
  <c r="AN21" i="26"/>
  <c r="AD20" i="26"/>
  <c r="AJ20" i="26"/>
  <c r="AX21" i="26"/>
  <c r="AW19" i="26"/>
  <c r="BO19" i="26" s="1"/>
  <c r="AM20" i="26"/>
  <c r="AI19" i="26"/>
  <c r="AV20" i="26"/>
  <c r="AU20" i="26"/>
  <c r="AU16" i="26"/>
  <c r="AU12" i="26"/>
  <c r="AV21" i="26"/>
  <c r="AX18" i="26"/>
  <c r="AP19" i="26"/>
  <c r="AT16" i="26"/>
  <c r="AF21" i="26"/>
  <c r="AT9" i="26"/>
  <c r="AQ18" i="26"/>
  <c r="AT17" i="26"/>
  <c r="AV19" i="26"/>
  <c r="AU10" i="26"/>
  <c r="BM10" i="26" s="1"/>
  <c r="AN19" i="26"/>
  <c r="AL21" i="26"/>
  <c r="AX16" i="26"/>
  <c r="AK19" i="26"/>
  <c r="AU19" i="26"/>
  <c r="AL20" i="26"/>
  <c r="AM21" i="26"/>
  <c r="AT15" i="26"/>
  <c r="AM18" i="26"/>
  <c r="AF19" i="26"/>
  <c r="AM19" i="26"/>
  <c r="AX20" i="26"/>
  <c r="AU21" i="26"/>
  <c r="AU17" i="26"/>
  <c r="AD19" i="26"/>
  <c r="AW20" i="26"/>
  <c r="BO20" i="26" s="1"/>
  <c r="AD9" i="26"/>
  <c r="AJ10" i="26"/>
  <c r="AK9" i="26"/>
  <c r="AJ9" i="26"/>
  <c r="AK10" i="26"/>
  <c r="AD17" i="26"/>
  <c r="AD14" i="26"/>
  <c r="AJ14" i="26"/>
  <c r="AJ15" i="26"/>
  <c r="AK15" i="26"/>
  <c r="AJ16" i="26"/>
  <c r="AK13" i="26"/>
  <c r="AJ17" i="26"/>
  <c r="AK14" i="26"/>
  <c r="AK17" i="26"/>
  <c r="AK16" i="26"/>
  <c r="AJ13" i="26"/>
  <c r="AC15" i="26"/>
  <c r="AD13" i="26"/>
  <c r="AQ17" i="26"/>
  <c r="AC17" i="26"/>
  <c r="AM16" i="26"/>
  <c r="AC14" i="26"/>
  <c r="AG16" i="26"/>
  <c r="AD16" i="26"/>
  <c r="AC18" i="26"/>
  <c r="AP15" i="26"/>
  <c r="AM13" i="26"/>
  <c r="AN13" i="26"/>
  <c r="AO15" i="26"/>
  <c r="AL16" i="26"/>
  <c r="AQ13" i="26"/>
  <c r="AN16" i="26"/>
  <c r="AR17" i="26"/>
  <c r="AM14" i="26"/>
  <c r="AN15" i="26"/>
  <c r="AQ16" i="26"/>
  <c r="AO16" i="26"/>
  <c r="AP17" i="26"/>
  <c r="AP14" i="26"/>
  <c r="AL14" i="26"/>
  <c r="AL15" i="26"/>
  <c r="AM15" i="26"/>
  <c r="AG17" i="26"/>
  <c r="AP16" i="26"/>
  <c r="AR16" i="26"/>
  <c r="AR14" i="26"/>
  <c r="AO13" i="26"/>
  <c r="AQ15" i="26"/>
  <c r="AO12" i="26"/>
  <c r="AC13" i="26"/>
  <c r="AC16" i="26"/>
  <c r="AR13" i="26"/>
  <c r="AR15" i="26"/>
  <c r="AL13" i="26"/>
  <c r="AQ14" i="26"/>
  <c r="AN14" i="26"/>
  <c r="AD15" i="26"/>
  <c r="AP13" i="26"/>
  <c r="AO14" i="26"/>
  <c r="AO17" i="26"/>
  <c r="AL17" i="26"/>
  <c r="AM17" i="26"/>
  <c r="AN17" i="26"/>
  <c r="AR12" i="26"/>
  <c r="AL9" i="26"/>
  <c r="AN9" i="26"/>
  <c r="AQ9" i="26"/>
  <c r="AR9" i="26"/>
  <c r="AO9" i="26"/>
  <c r="AP9" i="26"/>
  <c r="AM9" i="26"/>
  <c r="AC9" i="26"/>
  <c r="AC10" i="26"/>
  <c r="AM10" i="26"/>
  <c r="AO10" i="26"/>
  <c r="AQ10" i="26"/>
  <c r="AR10" i="26"/>
  <c r="AL10" i="26"/>
  <c r="AP10" i="26"/>
  <c r="AN10" i="26"/>
  <c r="AD10" i="26"/>
  <c r="AL6" i="42" l="1"/>
  <c r="AM24" i="42"/>
  <c r="AM6" i="42"/>
  <c r="BG45" i="26"/>
  <c r="BG60" i="26" s="1"/>
  <c r="BG30" i="26"/>
  <c r="BH44" i="26"/>
  <c r="BH59" i="26" s="1"/>
  <c r="BH29" i="26"/>
  <c r="BG44" i="26"/>
  <c r="BG59" i="26" s="1"/>
  <c r="BG29" i="26"/>
  <c r="BG50" i="26"/>
  <c r="BG65" i="26" s="1"/>
  <c r="BG35" i="26"/>
  <c r="BE51" i="26"/>
  <c r="BE66" i="26" s="1"/>
  <c r="BE36" i="26"/>
  <c r="BF49" i="26"/>
  <c r="BF64" i="26" s="1"/>
  <c r="BF34" i="26"/>
  <c r="BE50" i="26"/>
  <c r="BE65" i="26" s="1"/>
  <c r="BE35" i="26"/>
  <c r="BE47" i="26"/>
  <c r="BE62" i="26" s="1"/>
  <c r="BE32" i="26"/>
  <c r="BF45" i="26"/>
  <c r="BF60" i="26" s="1"/>
  <c r="BF30" i="26"/>
  <c r="BF48" i="26"/>
  <c r="BF63" i="26" s="1"/>
  <c r="BF33" i="26"/>
  <c r="BH50" i="26"/>
  <c r="BH65" i="26" s="1"/>
  <c r="BH35" i="26"/>
  <c r="BH51" i="26"/>
  <c r="BH66" i="26" s="1"/>
  <c r="BH36" i="26"/>
  <c r="BH46" i="26"/>
  <c r="BH61" i="26" s="1"/>
  <c r="BH31" i="26"/>
  <c r="BF50" i="26"/>
  <c r="BF65" i="26" s="1"/>
  <c r="BF35" i="26"/>
  <c r="BF46" i="26"/>
  <c r="BF61" i="26" s="1"/>
  <c r="BF31" i="26"/>
  <c r="BG48" i="26"/>
  <c r="BG63" i="26" s="1"/>
  <c r="BG33" i="26"/>
  <c r="BG51" i="26"/>
  <c r="BG66" i="26" s="1"/>
  <c r="BG36" i="26"/>
  <c r="BF51" i="26"/>
  <c r="BF66" i="26" s="1"/>
  <c r="BF36" i="26"/>
  <c r="BG42" i="26"/>
  <c r="BG57" i="26" s="1"/>
  <c r="BG27" i="26"/>
  <c r="BG47" i="26"/>
  <c r="BG62" i="26" s="1"/>
  <c r="BG32" i="26"/>
  <c r="BH49" i="26"/>
  <c r="BH64" i="26" s="1"/>
  <c r="BH34" i="26"/>
  <c r="BF42" i="26"/>
  <c r="BF57" i="26" s="1"/>
  <c r="BF27" i="26"/>
  <c r="BH48" i="26"/>
  <c r="BH63" i="26" s="1"/>
  <c r="BH33" i="26"/>
  <c r="BG46" i="26"/>
  <c r="BG61" i="26" s="1"/>
  <c r="BG31" i="26"/>
  <c r="BE27" i="26"/>
  <c r="BE102" i="26"/>
  <c r="BE117" i="26" s="1"/>
  <c r="BH47" i="26"/>
  <c r="BH62" i="26" s="1"/>
  <c r="BH32" i="26"/>
  <c r="BF44" i="26"/>
  <c r="BF59" i="26" s="1"/>
  <c r="BF29" i="26"/>
  <c r="BF43" i="26"/>
  <c r="BF58" i="26" s="1"/>
  <c r="BF28" i="26"/>
  <c r="BE48" i="26"/>
  <c r="BE63" i="26" s="1"/>
  <c r="BE33" i="26"/>
  <c r="BF47" i="26"/>
  <c r="BF62" i="26" s="1"/>
  <c r="BF32" i="26"/>
  <c r="BH43" i="26"/>
  <c r="BH58" i="26" s="1"/>
  <c r="BH28" i="26"/>
  <c r="BH42" i="26"/>
  <c r="BH57" i="26" s="1"/>
  <c r="BH27" i="26"/>
  <c r="BG49" i="26"/>
  <c r="BG64" i="26" s="1"/>
  <c r="BG34" i="26"/>
  <c r="BH45" i="26"/>
  <c r="BH60" i="26" s="1"/>
  <c r="BH30" i="26"/>
  <c r="BG43" i="26"/>
  <c r="BG58" i="26" s="1"/>
  <c r="BG28" i="26"/>
  <c r="BE49" i="26"/>
  <c r="BE64" i="26" s="1"/>
  <c r="BE34" i="26"/>
  <c r="AN6" i="38"/>
  <c r="D29" i="20"/>
  <c r="D31" i="20"/>
  <c r="AM13" i="42"/>
  <c r="AL8" i="42"/>
  <c r="AL7" i="42"/>
  <c r="AL12" i="42"/>
  <c r="AL11" i="42"/>
  <c r="AM11" i="42"/>
  <c r="AM8" i="42"/>
  <c r="AM7" i="42"/>
  <c r="AL9" i="42"/>
  <c r="AL10" i="42"/>
  <c r="AM12" i="42"/>
  <c r="AL13" i="42"/>
  <c r="AL16" i="42"/>
  <c r="AM10" i="42"/>
  <c r="AL17" i="42"/>
  <c r="AL14" i="42"/>
  <c r="AL15" i="42"/>
  <c r="AM16" i="42"/>
  <c r="AM14" i="42"/>
  <c r="AM15" i="42"/>
  <c r="AM17" i="42"/>
  <c r="AM9" i="42"/>
  <c r="AZ6" i="43"/>
  <c r="AM25" i="42"/>
  <c r="AM21" i="42"/>
  <c r="AZ16" i="43"/>
  <c r="AZ17" i="43"/>
  <c r="AL25" i="42"/>
  <c r="AL21" i="42"/>
  <c r="AL22" i="42"/>
  <c r="AL26" i="42"/>
  <c r="AM26" i="42"/>
  <c r="AZ7" i="43"/>
  <c r="AL27" i="42"/>
  <c r="AL28" i="42"/>
  <c r="AL29" i="42"/>
  <c r="AL30" i="42"/>
  <c r="AL31" i="42"/>
  <c r="AM27" i="42"/>
  <c r="AM28" i="42"/>
  <c r="AM29" i="42"/>
  <c r="AM30" i="42"/>
  <c r="AM31" i="42"/>
  <c r="AL23" i="42"/>
  <c r="AL24" i="42"/>
  <c r="AM22" i="42"/>
  <c r="BE46" i="26"/>
  <c r="BE61" i="26" s="1"/>
  <c r="BE44" i="26"/>
  <c r="BE59" i="26" s="1"/>
  <c r="AZ7" i="42"/>
  <c r="E9" i="38"/>
  <c r="BE45" i="26"/>
  <c r="BE60" i="26" s="1"/>
  <c r="AG6" i="38"/>
  <c r="AG7" i="38"/>
  <c r="AJ6" i="38"/>
  <c r="AZ16" i="42"/>
  <c r="AZ17" i="42"/>
  <c r="AJ16" i="38"/>
  <c r="AJ17" i="38"/>
  <c r="BE42" i="26"/>
  <c r="AJ7" i="38"/>
  <c r="AZ6" i="42"/>
  <c r="D9" i="38"/>
  <c r="AG17" i="38"/>
  <c r="AG16" i="38"/>
  <c r="BE43" i="26"/>
  <c r="BE58" i="26" s="1"/>
  <c r="AN43" i="26"/>
  <c r="AN45" i="26"/>
  <c r="I7" i="20"/>
  <c r="AN47" i="26"/>
  <c r="AN62" i="26"/>
  <c r="K19" i="20"/>
  <c r="AN60" i="26"/>
  <c r="J11" i="20"/>
  <c r="J13" i="20"/>
  <c r="J12" i="20"/>
  <c r="J7" i="20"/>
  <c r="J15" i="20"/>
  <c r="J9" i="20"/>
  <c r="AN66" i="26"/>
  <c r="J18" i="20"/>
  <c r="AN61" i="26"/>
  <c r="J16" i="20"/>
  <c r="AN64" i="26"/>
  <c r="J10" i="20"/>
  <c r="D11" i="46" s="1"/>
  <c r="J20" i="20"/>
  <c r="AN58" i="26"/>
  <c r="J14" i="20"/>
  <c r="J8" i="20"/>
  <c r="J19" i="20"/>
  <c r="J17" i="20"/>
  <c r="AN57" i="26"/>
  <c r="D30" i="20"/>
  <c r="AN59" i="26"/>
  <c r="AN51" i="26"/>
  <c r="AN49" i="26"/>
  <c r="AN48" i="26"/>
  <c r="AN63" i="26"/>
  <c r="AN42" i="26"/>
  <c r="AN46" i="26"/>
  <c r="AN44" i="26"/>
  <c r="AN50" i="26"/>
  <c r="AN65" i="26"/>
  <c r="R60" i="26"/>
  <c r="AL60" i="26" s="1"/>
  <c r="AL45" i="26"/>
  <c r="E26" i="26"/>
  <c r="E41" i="26"/>
  <c r="G26" i="26"/>
  <c r="G41" i="26"/>
  <c r="D64" i="26"/>
  <c r="AU49" i="26"/>
  <c r="J64" i="26"/>
  <c r="AF64" i="26" s="1"/>
  <c r="AF49" i="26"/>
  <c r="O64" i="26"/>
  <c r="AI64" i="26" s="1"/>
  <c r="AI49" i="26"/>
  <c r="Y58" i="26"/>
  <c r="AP58" i="26" s="1"/>
  <c r="AP43" i="26"/>
  <c r="K61" i="26"/>
  <c r="AG61" i="26" s="1"/>
  <c r="AG46" i="26"/>
  <c r="X59" i="26"/>
  <c r="AO59" i="26" s="1"/>
  <c r="AO44" i="26"/>
  <c r="X65" i="26"/>
  <c r="AO65" i="26" s="1"/>
  <c r="AO50" i="26"/>
  <c r="K65" i="26"/>
  <c r="AG65" i="26" s="1"/>
  <c r="AG50" i="26"/>
  <c r="H57" i="26"/>
  <c r="AW57" i="26" s="1"/>
  <c r="BO57" i="26" s="1"/>
  <c r="AW42" i="26"/>
  <c r="BO42" i="26" s="1"/>
  <c r="C63" i="26"/>
  <c r="AC48" i="26"/>
  <c r="AT48" i="26"/>
  <c r="P58" i="26"/>
  <c r="AJ58" i="26" s="1"/>
  <c r="AJ43" i="26"/>
  <c r="C66" i="26"/>
  <c r="AT51" i="26"/>
  <c r="AC51" i="26"/>
  <c r="P60" i="26"/>
  <c r="AJ60" i="26" s="1"/>
  <c r="AJ45" i="26"/>
  <c r="V26" i="26"/>
  <c r="V41" i="26"/>
  <c r="V56" i="26" s="1"/>
  <c r="G54" i="26"/>
  <c r="AD39" i="26"/>
  <c r="E60" i="26"/>
  <c r="AV60" i="26" s="1"/>
  <c r="AV45" i="26"/>
  <c r="I60" i="26"/>
  <c r="AE60" i="26" s="1"/>
  <c r="AE45" i="26"/>
  <c r="Q54" i="26"/>
  <c r="AK54" i="26" s="1"/>
  <c r="AK39" i="26"/>
  <c r="G59" i="26"/>
  <c r="AD44" i="26"/>
  <c r="N64" i="26"/>
  <c r="AH64" i="26" s="1"/>
  <c r="AH49" i="26"/>
  <c r="E57" i="26"/>
  <c r="AV57" i="26" s="1"/>
  <c r="AV42" i="26"/>
  <c r="H64" i="26"/>
  <c r="AW64" i="26" s="1"/>
  <c r="BO64" i="26" s="1"/>
  <c r="AW49" i="26"/>
  <c r="BO49" i="26" s="1"/>
  <c r="X55" i="26"/>
  <c r="AO55" i="26" s="1"/>
  <c r="AO40" i="26"/>
  <c r="Y19" i="20" s="1"/>
  <c r="G66" i="26"/>
  <c r="AD51" i="26"/>
  <c r="J59" i="26"/>
  <c r="AF59" i="26" s="1"/>
  <c r="AF44" i="26"/>
  <c r="C61" i="26"/>
  <c r="AC46" i="26"/>
  <c r="AT46" i="26"/>
  <c r="E54" i="26"/>
  <c r="AV54" i="26" s="1"/>
  <c r="BN54" i="26" s="1"/>
  <c r="AV39" i="26"/>
  <c r="BN39" i="26" s="1"/>
  <c r="Q26" i="26"/>
  <c r="Q41" i="26"/>
  <c r="F60" i="26"/>
  <c r="AX60" i="26" s="1"/>
  <c r="AX45" i="26"/>
  <c r="W26" i="26"/>
  <c r="W41" i="26"/>
  <c r="W56" i="26" s="1"/>
  <c r="G57" i="26"/>
  <c r="AD42" i="26"/>
  <c r="E59" i="26"/>
  <c r="AV59" i="26" s="1"/>
  <c r="AV44" i="26"/>
  <c r="F64" i="26"/>
  <c r="AX64" i="26" s="1"/>
  <c r="AX49" i="26"/>
  <c r="R64" i="26"/>
  <c r="AL64" i="26" s="1"/>
  <c r="AL49" i="26"/>
  <c r="D54" i="26"/>
  <c r="AU54" i="26" s="1"/>
  <c r="BM54" i="26" s="1"/>
  <c r="AU39" i="26"/>
  <c r="BM39" i="26" s="1"/>
  <c r="X63" i="26"/>
  <c r="AO63" i="26" s="1"/>
  <c r="AO48" i="26"/>
  <c r="K55" i="26"/>
  <c r="AG55" i="26" s="1"/>
  <c r="AG40" i="26"/>
  <c r="Y11" i="20" s="1"/>
  <c r="C54" i="26"/>
  <c r="AC39" i="26"/>
  <c r="AT39" i="26"/>
  <c r="BL39" i="26" s="1"/>
  <c r="Y60" i="26"/>
  <c r="AP60" i="26" s="1"/>
  <c r="AP45" i="26"/>
  <c r="X62" i="26"/>
  <c r="AO62" i="26" s="1"/>
  <c r="AO47" i="26"/>
  <c r="O57" i="26"/>
  <c r="AI57" i="26" s="1"/>
  <c r="AI42" i="26"/>
  <c r="O54" i="26"/>
  <c r="AI54" i="26" s="1"/>
  <c r="AI39" i="26"/>
  <c r="Y26" i="26"/>
  <c r="Y41" i="26"/>
  <c r="Y63" i="26"/>
  <c r="AP63" i="26" s="1"/>
  <c r="AP48" i="26"/>
  <c r="Z60" i="26"/>
  <c r="AR45" i="26"/>
  <c r="AQ45" i="26"/>
  <c r="K54" i="26"/>
  <c r="AG54" i="26" s="1"/>
  <c r="AG39" i="26"/>
  <c r="I64" i="26"/>
  <c r="AE64" i="26" s="1"/>
  <c r="AE49" i="26"/>
  <c r="P55" i="26"/>
  <c r="AJ55" i="26" s="1"/>
  <c r="AJ40" i="26"/>
  <c r="Y14" i="20" s="1"/>
  <c r="X60" i="26"/>
  <c r="AO60" i="26" s="1"/>
  <c r="AO45" i="26"/>
  <c r="O60" i="26"/>
  <c r="AI60" i="26" s="1"/>
  <c r="AI45" i="26"/>
  <c r="N63" i="26"/>
  <c r="AH63" i="26" s="1"/>
  <c r="AH48" i="26"/>
  <c r="G62" i="26"/>
  <c r="AD47" i="26"/>
  <c r="O63" i="26"/>
  <c r="AI63" i="26" s="1"/>
  <c r="AI48" i="26"/>
  <c r="P59" i="26"/>
  <c r="AJ59" i="26" s="1"/>
  <c r="AJ44" i="26"/>
  <c r="J61" i="26"/>
  <c r="AF61" i="26" s="1"/>
  <c r="AF46" i="26"/>
  <c r="P57" i="26"/>
  <c r="AJ57" i="26" s="1"/>
  <c r="AJ42" i="26"/>
  <c r="F62" i="26"/>
  <c r="AX62" i="26" s="1"/>
  <c r="AX47" i="26"/>
  <c r="C60" i="26"/>
  <c r="AT45" i="26"/>
  <c r="AC45" i="26"/>
  <c r="F58" i="26"/>
  <c r="AX58" i="26" s="1"/>
  <c r="AX43" i="26"/>
  <c r="AA26" i="26"/>
  <c r="AA41" i="26"/>
  <c r="AA56" i="26" s="1"/>
  <c r="Q61" i="26"/>
  <c r="AK61" i="26" s="1"/>
  <c r="AK46" i="26"/>
  <c r="H60" i="26"/>
  <c r="AW60" i="26" s="1"/>
  <c r="BO60" i="26" s="1"/>
  <c r="AW45" i="26"/>
  <c r="BO45" i="26" s="1"/>
  <c r="Y61" i="26"/>
  <c r="AP61" i="26" s="1"/>
  <c r="AP46" i="26"/>
  <c r="C55" i="26"/>
  <c r="AC40" i="26"/>
  <c r="Y7" i="20" s="1"/>
  <c r="AT40" i="26"/>
  <c r="BL40" i="26" s="1"/>
  <c r="Z55" i="26"/>
  <c r="AQ40" i="26"/>
  <c r="AR40" i="26"/>
  <c r="F54" i="26"/>
  <c r="AX54" i="26" s="1"/>
  <c r="BP54" i="26" s="1"/>
  <c r="AX39" i="26"/>
  <c r="BP39" i="26" s="1"/>
  <c r="Q60" i="26"/>
  <c r="AK60" i="26" s="1"/>
  <c r="AK45" i="26"/>
  <c r="R55" i="26"/>
  <c r="AL55" i="26" s="1"/>
  <c r="AL40" i="26"/>
  <c r="Y16" i="20" s="1"/>
  <c r="K64" i="26"/>
  <c r="AG64" i="26" s="1"/>
  <c r="AG49" i="26"/>
  <c r="R26" i="26"/>
  <c r="R41" i="26"/>
  <c r="D61" i="26"/>
  <c r="AU61" i="26" s="1"/>
  <c r="AU46" i="26"/>
  <c r="Z64" i="26"/>
  <c r="AQ64" i="26" s="1"/>
  <c r="AQ49" i="26"/>
  <c r="AR49" i="26"/>
  <c r="Q66" i="26"/>
  <c r="AK66" i="26" s="1"/>
  <c r="AK51" i="26"/>
  <c r="H66" i="26"/>
  <c r="AW66" i="26" s="1"/>
  <c r="BO66" i="26" s="1"/>
  <c r="AW51" i="26"/>
  <c r="BO51" i="26" s="1"/>
  <c r="I57" i="26"/>
  <c r="AE57" i="26" s="1"/>
  <c r="AE42" i="26"/>
  <c r="I62" i="26"/>
  <c r="AE62" i="26" s="1"/>
  <c r="AE47" i="26"/>
  <c r="N65" i="26"/>
  <c r="AH65" i="26" s="1"/>
  <c r="AH50" i="26"/>
  <c r="O55" i="26"/>
  <c r="AI55" i="26" s="1"/>
  <c r="AI40" i="26"/>
  <c r="Y13" i="20" s="1"/>
  <c r="X57" i="26"/>
  <c r="AO57" i="26" s="1"/>
  <c r="AO42" i="26"/>
  <c r="F59" i="26"/>
  <c r="AX59" i="26" s="1"/>
  <c r="AX44" i="26"/>
  <c r="F65" i="26"/>
  <c r="AX65" i="26" s="1"/>
  <c r="AX50" i="26"/>
  <c r="K26" i="26"/>
  <c r="K41" i="26"/>
  <c r="T54" i="26"/>
  <c r="AN54" i="26" s="1"/>
  <c r="AN39" i="26"/>
  <c r="I59" i="26"/>
  <c r="AE59" i="26" s="1"/>
  <c r="AE44" i="26"/>
  <c r="Y66" i="26"/>
  <c r="AP66" i="26" s="1"/>
  <c r="AP51" i="26"/>
  <c r="H62" i="26"/>
  <c r="AW62" i="26" s="1"/>
  <c r="BO62" i="26" s="1"/>
  <c r="AW47" i="26"/>
  <c r="BO47" i="26" s="1"/>
  <c r="J55" i="26"/>
  <c r="AF55" i="26" s="1"/>
  <c r="AF40" i="26"/>
  <c r="Y10" i="20" s="1"/>
  <c r="R65" i="26"/>
  <c r="AL65" i="26" s="1"/>
  <c r="AL50" i="26"/>
  <c r="N62" i="26"/>
  <c r="AH62" i="26" s="1"/>
  <c r="AH47" i="26"/>
  <c r="E55" i="26"/>
  <c r="AV55" i="26" s="1"/>
  <c r="BN55" i="26" s="1"/>
  <c r="AV40" i="26"/>
  <c r="BN40" i="26" s="1"/>
  <c r="P66" i="26"/>
  <c r="AJ66" i="26" s="1"/>
  <c r="AJ51" i="26"/>
  <c r="J58" i="26"/>
  <c r="AF58" i="26" s="1"/>
  <c r="AF43" i="26"/>
  <c r="K59" i="26"/>
  <c r="AG59" i="26" s="1"/>
  <c r="AG44" i="26"/>
  <c r="S54" i="26"/>
  <c r="AM54" i="26" s="1"/>
  <c r="AM39" i="26"/>
  <c r="Z59" i="26"/>
  <c r="AQ44" i="26"/>
  <c r="AR44" i="26"/>
  <c r="X61" i="26"/>
  <c r="AO61" i="26" s="1"/>
  <c r="AO46" i="26"/>
  <c r="S57" i="26"/>
  <c r="AM57" i="26" s="1"/>
  <c r="AM42" i="26"/>
  <c r="O61" i="26"/>
  <c r="AI61" i="26" s="1"/>
  <c r="AI46" i="26"/>
  <c r="E66" i="26"/>
  <c r="AV66" i="26" s="1"/>
  <c r="AV51" i="26"/>
  <c r="J65" i="26"/>
  <c r="AF65" i="26" s="1"/>
  <c r="AF50" i="26"/>
  <c r="D63" i="26"/>
  <c r="AU63" i="26" s="1"/>
  <c r="AU48" i="26"/>
  <c r="X66" i="26"/>
  <c r="AO66" i="26" s="1"/>
  <c r="AO51" i="26"/>
  <c r="G65" i="26"/>
  <c r="AD50" i="26"/>
  <c r="J63" i="26"/>
  <c r="AF63" i="26" s="1"/>
  <c r="AF48" i="26"/>
  <c r="G63" i="26"/>
  <c r="AD48" i="26"/>
  <c r="D65" i="26"/>
  <c r="AU65" i="26" s="1"/>
  <c r="AU50" i="26"/>
  <c r="N59" i="26"/>
  <c r="AH59" i="26" s="1"/>
  <c r="AH44" i="26"/>
  <c r="E61" i="26"/>
  <c r="AV61" i="26" s="1"/>
  <c r="AV46" i="26"/>
  <c r="H65" i="26"/>
  <c r="AW65" i="26" s="1"/>
  <c r="BO65" i="26" s="1"/>
  <c r="AW50" i="26"/>
  <c r="BO50" i="26" s="1"/>
  <c r="X64" i="26"/>
  <c r="AO64" i="26" s="1"/>
  <c r="AO49" i="26"/>
  <c r="Y62" i="26"/>
  <c r="AP62" i="26" s="1"/>
  <c r="AP47" i="26"/>
  <c r="Y59" i="26"/>
  <c r="AP59" i="26" s="1"/>
  <c r="AP44" i="26"/>
  <c r="O59" i="26"/>
  <c r="AI59" i="26" s="1"/>
  <c r="AI44" i="26"/>
  <c r="N66" i="26"/>
  <c r="AH66" i="26" s="1"/>
  <c r="AH51" i="26"/>
  <c r="E62" i="26"/>
  <c r="AV62" i="26" s="1"/>
  <c r="AV47" i="26"/>
  <c r="F57" i="26"/>
  <c r="AX57" i="26" s="1"/>
  <c r="AX42" i="26"/>
  <c r="F26" i="26"/>
  <c r="F41" i="26"/>
  <c r="O26" i="26"/>
  <c r="O41" i="26"/>
  <c r="N54" i="26"/>
  <c r="AH54" i="26" s="1"/>
  <c r="AH39" i="26"/>
  <c r="E65" i="26"/>
  <c r="AV65" i="26" s="1"/>
  <c r="AV50" i="26"/>
  <c r="C58" i="26"/>
  <c r="AC43" i="26"/>
  <c r="AT43" i="26"/>
  <c r="K58" i="26"/>
  <c r="AG58" i="26" s="1"/>
  <c r="AG43" i="26"/>
  <c r="G58" i="26"/>
  <c r="AD43" i="26"/>
  <c r="Q62" i="26"/>
  <c r="AK62" i="26" s="1"/>
  <c r="AK47" i="26"/>
  <c r="Q55" i="26"/>
  <c r="AK55" i="26" s="1"/>
  <c r="AK40" i="26"/>
  <c r="Y15" i="20" s="1"/>
  <c r="H63" i="26"/>
  <c r="AW63" i="26" s="1"/>
  <c r="BO63" i="26" s="1"/>
  <c r="AW48" i="26"/>
  <c r="BO48" i="26" s="1"/>
  <c r="G60" i="26"/>
  <c r="AD45" i="26"/>
  <c r="Y55" i="26"/>
  <c r="AP55" i="26" s="1"/>
  <c r="AP40" i="26"/>
  <c r="Y20" i="20" s="1"/>
  <c r="R59" i="26"/>
  <c r="AL59" i="26" s="1"/>
  <c r="AL44" i="26"/>
  <c r="I54" i="26"/>
  <c r="AE54" i="26" s="1"/>
  <c r="AE39" i="26"/>
  <c r="J60" i="26"/>
  <c r="AF60" i="26" s="1"/>
  <c r="AF45" i="26"/>
  <c r="R54" i="26"/>
  <c r="AL54" i="26" s="1"/>
  <c r="AL39" i="26"/>
  <c r="K66" i="26"/>
  <c r="AG66" i="26" s="1"/>
  <c r="AG51" i="26"/>
  <c r="P61" i="26"/>
  <c r="AJ61" i="26" s="1"/>
  <c r="AJ46" i="26"/>
  <c r="Z63" i="26"/>
  <c r="AQ48" i="26"/>
  <c r="AR48" i="26"/>
  <c r="N58" i="26"/>
  <c r="AH58" i="26" s="1"/>
  <c r="AH43" i="26"/>
  <c r="I66" i="26"/>
  <c r="AE66" i="26" s="1"/>
  <c r="AE51" i="26"/>
  <c r="E64" i="26"/>
  <c r="AV64" i="26" s="1"/>
  <c r="AV49" i="26"/>
  <c r="F61" i="26"/>
  <c r="AX61" i="26" s="1"/>
  <c r="AX46" i="26"/>
  <c r="F55" i="26"/>
  <c r="AX55" i="26" s="1"/>
  <c r="BP55" i="26" s="1"/>
  <c r="AX40" i="26"/>
  <c r="BP40" i="26" s="1"/>
  <c r="H59" i="26"/>
  <c r="AW59" i="26" s="1"/>
  <c r="BO59" i="26" s="1"/>
  <c r="AW44" i="26"/>
  <c r="BO44" i="26" s="1"/>
  <c r="O62" i="26"/>
  <c r="AI62" i="26" s="1"/>
  <c r="AI47" i="26"/>
  <c r="I61" i="26"/>
  <c r="AE61" i="26" s="1"/>
  <c r="AE46" i="26"/>
  <c r="L26" i="26"/>
  <c r="L41" i="26"/>
  <c r="L56" i="26" s="1"/>
  <c r="I26" i="26"/>
  <c r="I41" i="26"/>
  <c r="X26" i="26"/>
  <c r="X41" i="26"/>
  <c r="J26" i="26"/>
  <c r="J41" i="26"/>
  <c r="S58" i="26"/>
  <c r="AM58" i="26" s="1"/>
  <c r="AM43" i="26"/>
  <c r="H54" i="26"/>
  <c r="AW54" i="26" s="1"/>
  <c r="BO54" i="26" s="1"/>
  <c r="AW39" i="26"/>
  <c r="BO39" i="26" s="1"/>
  <c r="P63" i="26"/>
  <c r="AJ63" i="26" s="1"/>
  <c r="AJ48" i="26"/>
  <c r="E63" i="26"/>
  <c r="AV63" i="26" s="1"/>
  <c r="AV48" i="26"/>
  <c r="I65" i="26"/>
  <c r="AE65" i="26" s="1"/>
  <c r="AE50" i="26"/>
  <c r="F63" i="26"/>
  <c r="AX63" i="26" s="1"/>
  <c r="AX48" i="26"/>
  <c r="D57" i="26"/>
  <c r="AU57" i="26" s="1"/>
  <c r="AU42" i="26"/>
  <c r="S65" i="26"/>
  <c r="AM65" i="26" s="1"/>
  <c r="AM50" i="26"/>
  <c r="R58" i="26"/>
  <c r="AL58" i="26" s="1"/>
  <c r="AL43" i="26"/>
  <c r="Q57" i="26"/>
  <c r="AK57" i="26" s="1"/>
  <c r="AK42" i="26"/>
  <c r="P65" i="26"/>
  <c r="AJ65" i="26" s="1"/>
  <c r="AJ50" i="26"/>
  <c r="T26" i="26"/>
  <c r="T41" i="26"/>
  <c r="M26" i="26"/>
  <c r="M41" i="26"/>
  <c r="M56" i="26" s="1"/>
  <c r="H26" i="26"/>
  <c r="H41" i="26"/>
  <c r="P54" i="26"/>
  <c r="AJ54" i="26" s="1"/>
  <c r="AJ39" i="26"/>
  <c r="N55" i="26"/>
  <c r="AH55" i="26" s="1"/>
  <c r="AH40" i="26"/>
  <c r="Y12" i="20" s="1"/>
  <c r="J66" i="26"/>
  <c r="AF66" i="26" s="1"/>
  <c r="AF51" i="26"/>
  <c r="G64" i="26"/>
  <c r="AD49" i="26"/>
  <c r="J54" i="26"/>
  <c r="AF54" i="26" s="1"/>
  <c r="AF39" i="26"/>
  <c r="F66" i="26"/>
  <c r="AX66" i="26" s="1"/>
  <c r="AX51" i="26"/>
  <c r="D60" i="26"/>
  <c r="AU60" i="26" s="1"/>
  <c r="AU45" i="26"/>
  <c r="Y65" i="26"/>
  <c r="AP65" i="26" s="1"/>
  <c r="AP50" i="26"/>
  <c r="J57" i="26"/>
  <c r="AF57" i="26" s="1"/>
  <c r="AF42" i="26"/>
  <c r="R61" i="26"/>
  <c r="AL61" i="26" s="1"/>
  <c r="AL46" i="26"/>
  <c r="Z58" i="26"/>
  <c r="AQ43" i="26"/>
  <c r="AR43" i="26"/>
  <c r="J62" i="26"/>
  <c r="AF62" i="26" s="1"/>
  <c r="AF47" i="26"/>
  <c r="Z57" i="26"/>
  <c r="AQ42" i="26"/>
  <c r="AR42" i="26"/>
  <c r="I63" i="26"/>
  <c r="AE63" i="26" s="1"/>
  <c r="AE48" i="26"/>
  <c r="O66" i="26"/>
  <c r="AI66" i="26" s="1"/>
  <c r="AI51" i="26"/>
  <c r="D58" i="26"/>
  <c r="AU58" i="26" s="1"/>
  <c r="AU43" i="26"/>
  <c r="D62" i="26"/>
  <c r="AU62" i="26" s="1"/>
  <c r="AU47" i="26"/>
  <c r="S61" i="26"/>
  <c r="AM61" i="26" s="1"/>
  <c r="AM46" i="26"/>
  <c r="Q63" i="26"/>
  <c r="AK63" i="26" s="1"/>
  <c r="AK48" i="26"/>
  <c r="S63" i="26"/>
  <c r="AM63" i="26" s="1"/>
  <c r="AM48" i="26"/>
  <c r="N26" i="26"/>
  <c r="N41" i="26"/>
  <c r="Z66" i="26"/>
  <c r="AR51" i="26"/>
  <c r="AQ51" i="26"/>
  <c r="S55" i="26"/>
  <c r="AM55" i="26" s="1"/>
  <c r="AM40" i="26"/>
  <c r="Y17" i="20" s="1"/>
  <c r="S62" i="26"/>
  <c r="AM62" i="26" s="1"/>
  <c r="AM47" i="26"/>
  <c r="P64" i="26"/>
  <c r="AJ64" i="26" s="1"/>
  <c r="AJ49" i="26"/>
  <c r="D66" i="26"/>
  <c r="AU66" i="26" s="1"/>
  <c r="AU51" i="26"/>
  <c r="K60" i="26"/>
  <c r="AG60" i="26" s="1"/>
  <c r="AG45" i="26"/>
  <c r="C65" i="26"/>
  <c r="AT50" i="26"/>
  <c r="AC50" i="26"/>
  <c r="S26" i="26"/>
  <c r="S41" i="26"/>
  <c r="P26" i="26"/>
  <c r="P41" i="26"/>
  <c r="S59" i="26"/>
  <c r="AM59" i="26" s="1"/>
  <c r="AM44" i="26"/>
  <c r="G55" i="26"/>
  <c r="AD40" i="26"/>
  <c r="Y8" i="20" s="1"/>
  <c r="O58" i="26"/>
  <c r="AI58" i="26" s="1"/>
  <c r="AI43" i="26"/>
  <c r="R66" i="26"/>
  <c r="AL66" i="26" s="1"/>
  <c r="AL51" i="26"/>
  <c r="Y54" i="26"/>
  <c r="AP54" i="26" s="1"/>
  <c r="AP39" i="26"/>
  <c r="G61" i="26"/>
  <c r="AD46" i="26"/>
  <c r="Q65" i="26"/>
  <c r="AK65" i="26" s="1"/>
  <c r="AK50" i="26"/>
  <c r="I55" i="26"/>
  <c r="AE55" i="26" s="1"/>
  <c r="AE40" i="26"/>
  <c r="Y9" i="20" s="1"/>
  <c r="N60" i="26"/>
  <c r="AH60" i="26" s="1"/>
  <c r="AH45" i="26"/>
  <c r="K63" i="26"/>
  <c r="AG63" i="26" s="1"/>
  <c r="AG48" i="26"/>
  <c r="Y57" i="26"/>
  <c r="AP57" i="26" s="1"/>
  <c r="AP42" i="26"/>
  <c r="D26" i="26"/>
  <c r="D41" i="26"/>
  <c r="Z26" i="26"/>
  <c r="Z41" i="26"/>
  <c r="T55" i="26"/>
  <c r="AN55" i="26" s="1"/>
  <c r="AN40" i="26"/>
  <c r="Y18" i="20" s="1"/>
  <c r="Z54" i="26"/>
  <c r="AR39" i="26"/>
  <c r="AQ39" i="26"/>
  <c r="K62" i="26"/>
  <c r="AG62" i="26" s="1"/>
  <c r="AG47" i="26"/>
  <c r="Q59" i="26"/>
  <c r="AK59" i="26" s="1"/>
  <c r="AK44" i="26"/>
  <c r="C64" i="26"/>
  <c r="AC49" i="26"/>
  <c r="AT49" i="26"/>
  <c r="H61" i="26"/>
  <c r="AW61" i="26" s="1"/>
  <c r="BO61" i="26" s="1"/>
  <c r="AW46" i="26"/>
  <c r="BO46" i="26" s="1"/>
  <c r="C59" i="26"/>
  <c r="AC44" i="26"/>
  <c r="AT44" i="26"/>
  <c r="N57" i="26"/>
  <c r="AH57" i="26" s="1"/>
  <c r="AH42" i="26"/>
  <c r="N61" i="26"/>
  <c r="AH61" i="26" s="1"/>
  <c r="AH46" i="26"/>
  <c r="I58" i="26"/>
  <c r="AE58" i="26" s="1"/>
  <c r="AE43" i="26"/>
  <c r="S60" i="26"/>
  <c r="AM60" i="26" s="1"/>
  <c r="AM45" i="26"/>
  <c r="C26" i="26"/>
  <c r="C41" i="26"/>
  <c r="Q64" i="26"/>
  <c r="AK64" i="26" s="1"/>
  <c r="AK49" i="26"/>
  <c r="O65" i="26"/>
  <c r="AI65" i="26" s="1"/>
  <c r="AI50" i="26"/>
  <c r="Z61" i="26"/>
  <c r="AR46" i="26"/>
  <c r="AQ46" i="26"/>
  <c r="Y64" i="26"/>
  <c r="AP64" i="26" s="1"/>
  <c r="AP49" i="26"/>
  <c r="D55" i="26"/>
  <c r="AU55" i="26" s="1"/>
  <c r="BM55" i="26" s="1"/>
  <c r="AU40" i="26"/>
  <c r="BM40" i="26" s="1"/>
  <c r="C62" i="26"/>
  <c r="AC47" i="26"/>
  <c r="AT47" i="26"/>
  <c r="S64" i="26"/>
  <c r="AM64" i="26" s="1"/>
  <c r="AM49" i="26"/>
  <c r="E58" i="26"/>
  <c r="AV58" i="26" s="1"/>
  <c r="AV43" i="26"/>
  <c r="R62" i="26"/>
  <c r="AL62" i="26" s="1"/>
  <c r="AL47" i="26"/>
  <c r="P62" i="26"/>
  <c r="AJ62" i="26" s="1"/>
  <c r="AJ47" i="26"/>
  <c r="H58" i="26"/>
  <c r="AW58" i="26" s="1"/>
  <c r="BO58" i="26" s="1"/>
  <c r="AW43" i="26"/>
  <c r="BO43" i="26" s="1"/>
  <c r="D59" i="26"/>
  <c r="AU59" i="26" s="1"/>
  <c r="AU44" i="26"/>
  <c r="S66" i="26"/>
  <c r="AM66" i="26" s="1"/>
  <c r="AM51" i="26"/>
  <c r="U26" i="26"/>
  <c r="U41" i="26"/>
  <c r="U56" i="26" s="1"/>
  <c r="Z62" i="26"/>
  <c r="AQ47" i="26"/>
  <c r="AR47" i="26"/>
  <c r="R63" i="26"/>
  <c r="AL63" i="26" s="1"/>
  <c r="AL48" i="26"/>
  <c r="X54" i="26"/>
  <c r="AO54" i="26" s="1"/>
  <c r="AO39" i="26"/>
  <c r="H55" i="26"/>
  <c r="AW55" i="26" s="1"/>
  <c r="BO55" i="26" s="1"/>
  <c r="AW40" i="26"/>
  <c r="BO40" i="26" s="1"/>
  <c r="Q58" i="26"/>
  <c r="AK58" i="26" s="1"/>
  <c r="AK43" i="26"/>
  <c r="K57" i="26"/>
  <c r="AG57" i="26" s="1"/>
  <c r="AG42" i="26"/>
  <c r="X58" i="26"/>
  <c r="AO58" i="26" s="1"/>
  <c r="AO43" i="26"/>
  <c r="R57" i="26"/>
  <c r="AL57" i="26" s="1"/>
  <c r="AL42" i="26"/>
  <c r="Z65" i="26"/>
  <c r="AR50" i="26"/>
  <c r="AQ50" i="26"/>
  <c r="AZ7" i="38"/>
  <c r="AN8" i="38"/>
  <c r="AZ6" i="38"/>
  <c r="I9" i="20"/>
  <c r="AZ16" i="38"/>
  <c r="AZ17" i="38"/>
  <c r="I14" i="20"/>
  <c r="I15" i="20"/>
  <c r="I12" i="20"/>
  <c r="AN9" i="38"/>
  <c r="I8" i="20"/>
  <c r="I10" i="20"/>
  <c r="C11" i="46" s="1"/>
  <c r="I11" i="20"/>
  <c r="I20" i="20"/>
  <c r="AN7" i="38"/>
  <c r="I17" i="20"/>
  <c r="I19" i="20"/>
  <c r="I18" i="20"/>
  <c r="AN17" i="38"/>
  <c r="AN14" i="38"/>
  <c r="AN12" i="38"/>
  <c r="AN11" i="38"/>
  <c r="AN16" i="38"/>
  <c r="AN15" i="38"/>
  <c r="AN13" i="38"/>
  <c r="I13" i="20"/>
  <c r="I16" i="20"/>
  <c r="AN10" i="38"/>
  <c r="Y2" i="36"/>
  <c r="AE31" i="36" s="1"/>
  <c r="BI21" i="26"/>
  <c r="BI17" i="26"/>
  <c r="BI13" i="26"/>
  <c r="BI20" i="26"/>
  <c r="BI15" i="26"/>
  <c r="BI12" i="26"/>
  <c r="BI16" i="26"/>
  <c r="BI18" i="26"/>
  <c r="BI19" i="26"/>
  <c r="BI14" i="26"/>
  <c r="J22" i="20"/>
  <c r="J21" i="20"/>
  <c r="I21" i="20"/>
  <c r="I22" i="20"/>
  <c r="AF11" i="26"/>
  <c r="AE11" i="26"/>
  <c r="AI11" i="26"/>
  <c r="AW11" i="26"/>
  <c r="BO11" i="26" s="1"/>
  <c r="AZ9" i="42" s="1"/>
  <c r="AJ11" i="26"/>
  <c r="AV11" i="26"/>
  <c r="BN11" i="26" s="1"/>
  <c r="AQ11" i="26"/>
  <c r="AR11" i="26"/>
  <c r="AJ8" i="38" s="1"/>
  <c r="AN11" i="26"/>
  <c r="AC11" i="26"/>
  <c r="AT11" i="26"/>
  <c r="AU11" i="26"/>
  <c r="BM11" i="26" s="1"/>
  <c r="AM11" i="26"/>
  <c r="AX11" i="26"/>
  <c r="BP11" i="26" s="1"/>
  <c r="AK11" i="26"/>
  <c r="AP11" i="26"/>
  <c r="AL11" i="26"/>
  <c r="AD11" i="26"/>
  <c r="AH11" i="26"/>
  <c r="AG11" i="26"/>
  <c r="AO11" i="26"/>
  <c r="AG14" i="38" s="1"/>
  <c r="AY15" i="26"/>
  <c r="AY9" i="26"/>
  <c r="BL9" i="26"/>
  <c r="AY13" i="26"/>
  <c r="AY10" i="26"/>
  <c r="AY19" i="26"/>
  <c r="AY17" i="26"/>
  <c r="AY18" i="26"/>
  <c r="AY16" i="26"/>
  <c r="AY20" i="26"/>
  <c r="AY14" i="26"/>
  <c r="AY21" i="26"/>
  <c r="Z14" i="31"/>
  <c r="AA14" i="31"/>
  <c r="C16" i="31"/>
  <c r="D16" i="31"/>
  <c r="E16" i="31"/>
  <c r="F16" i="31"/>
  <c r="G16" i="31"/>
  <c r="H16" i="31"/>
  <c r="I16" i="31"/>
  <c r="J16" i="31"/>
  <c r="K16" i="31"/>
  <c r="N16" i="31"/>
  <c r="O16" i="31"/>
  <c r="P16" i="31"/>
  <c r="Q16" i="31"/>
  <c r="R16" i="31"/>
  <c r="S16" i="31"/>
  <c r="T16" i="31"/>
  <c r="U16" i="31"/>
  <c r="V16" i="31"/>
  <c r="W16" i="31"/>
  <c r="X16" i="31"/>
  <c r="Y16" i="31"/>
  <c r="Z16" i="31"/>
  <c r="C19" i="31"/>
  <c r="C12" i="26" s="1"/>
  <c r="AE12" i="26"/>
  <c r="AF12" i="26"/>
  <c r="AG12" i="26"/>
  <c r="AH12" i="26"/>
  <c r="Z6" i="38" s="1"/>
  <c r="AI12" i="26"/>
  <c r="N31" i="36" a="1"/>
  <c r="AZ15" i="38" l="1"/>
  <c r="AZ14" i="43"/>
  <c r="AZ15" i="43"/>
  <c r="AZ10" i="42"/>
  <c r="AZ12" i="43"/>
  <c r="AG12" i="38"/>
  <c r="AG10" i="38"/>
  <c r="AG9" i="38"/>
  <c r="AG11" i="38"/>
  <c r="AZ11" i="38"/>
  <c r="AZ13" i="43"/>
  <c r="AZ12" i="38"/>
  <c r="F9" i="38"/>
  <c r="AZ14" i="38"/>
  <c r="AZ8" i="43"/>
  <c r="AJ15" i="38"/>
  <c r="AJ9" i="38"/>
  <c r="AJ10" i="38"/>
  <c r="L9" i="38"/>
  <c r="AZ8" i="38"/>
  <c r="K9" i="38"/>
  <c r="AZ11" i="43"/>
  <c r="AA10" i="38"/>
  <c r="I9" i="38"/>
  <c r="M9" i="38"/>
  <c r="Y9" i="38"/>
  <c r="AG15" i="38"/>
  <c r="X9" i="38"/>
  <c r="AG13" i="38"/>
  <c r="AZ10" i="43"/>
  <c r="W10" i="38"/>
  <c r="AZ9" i="43"/>
  <c r="AZ13" i="42"/>
  <c r="H9" i="38"/>
  <c r="AZ12" i="42"/>
  <c r="G9" i="38"/>
  <c r="AG8" i="38"/>
  <c r="AJ11" i="38"/>
  <c r="AJ13" i="38"/>
  <c r="AZ8" i="42"/>
  <c r="AZ13" i="38"/>
  <c r="AJ14" i="38"/>
  <c r="N9" i="38"/>
  <c r="AZ10" i="38"/>
  <c r="AJ12" i="38"/>
  <c r="O9" i="38"/>
  <c r="AZ9" i="38"/>
  <c r="AZ11" i="42"/>
  <c r="AZ14" i="42"/>
  <c r="AZ15" i="42"/>
  <c r="J9" i="38"/>
  <c r="BA15" i="26"/>
  <c r="AZ15" i="26"/>
  <c r="BA13" i="26"/>
  <c r="AZ13" i="26"/>
  <c r="BA19" i="26"/>
  <c r="AZ19" i="26"/>
  <c r="BA17" i="26"/>
  <c r="AZ17" i="26"/>
  <c r="BA18" i="26"/>
  <c r="AZ18" i="26"/>
  <c r="BA16" i="26"/>
  <c r="AZ16" i="26"/>
  <c r="BA20" i="26"/>
  <c r="AZ20" i="26"/>
  <c r="BA14" i="26"/>
  <c r="AZ14" i="26"/>
  <c r="BA21" i="26"/>
  <c r="AZ21" i="26"/>
  <c r="BN60" i="26"/>
  <c r="BN45" i="26"/>
  <c r="BN44" i="26"/>
  <c r="BP64" i="26"/>
  <c r="BP49" i="26"/>
  <c r="BP43" i="26"/>
  <c r="BP58" i="26"/>
  <c r="BM61" i="26"/>
  <c r="BM46" i="26"/>
  <c r="BP59" i="26"/>
  <c r="BP44" i="26"/>
  <c r="BP65" i="26"/>
  <c r="BP50" i="26"/>
  <c r="BN66" i="26"/>
  <c r="BM65" i="26"/>
  <c r="BP57" i="26"/>
  <c r="BP42" i="26"/>
  <c r="BN65" i="26"/>
  <c r="BN50" i="26"/>
  <c r="BN64" i="26"/>
  <c r="BN49" i="26"/>
  <c r="BP61" i="26"/>
  <c r="BP46" i="26"/>
  <c r="BM42" i="26"/>
  <c r="BP66" i="26"/>
  <c r="BP51" i="26"/>
  <c r="BM51" i="26"/>
  <c r="BN58" i="26"/>
  <c r="BN43" i="26"/>
  <c r="X8" i="38"/>
  <c r="AA16" i="38"/>
  <c r="AA13" i="38"/>
  <c r="Y12" i="38"/>
  <c r="Z9" i="38"/>
  <c r="AA8" i="38"/>
  <c r="Z12" i="38"/>
  <c r="Y8" i="38"/>
  <c r="Y15" i="38"/>
  <c r="Z8" i="38"/>
  <c r="Y14" i="38"/>
  <c r="Z16" i="38"/>
  <c r="AA12" i="38"/>
  <c r="W8" i="38"/>
  <c r="BP45" i="26"/>
  <c r="W14" i="38"/>
  <c r="X10" i="38"/>
  <c r="W13" i="38"/>
  <c r="W16" i="38"/>
  <c r="W15" i="38"/>
  <c r="W17" i="38"/>
  <c r="Y13" i="38"/>
  <c r="Y16" i="38"/>
  <c r="X16" i="38"/>
  <c r="Z15" i="38"/>
  <c r="X12" i="38"/>
  <c r="Y17" i="38"/>
  <c r="X14" i="38"/>
  <c r="AA17" i="38"/>
  <c r="Z13" i="38"/>
  <c r="X17" i="38"/>
  <c r="X13" i="38"/>
  <c r="AA15" i="38"/>
  <c r="Z17" i="38"/>
  <c r="X15" i="38"/>
  <c r="Z10" i="38"/>
  <c r="W12" i="38"/>
  <c r="AA14" i="38"/>
  <c r="Z14" i="38"/>
  <c r="BN59" i="26"/>
  <c r="BP48" i="26"/>
  <c r="BM57" i="26"/>
  <c r="BM48" i="26"/>
  <c r="BP63" i="26"/>
  <c r="BM63" i="26"/>
  <c r="BN46" i="26"/>
  <c r="BN61" i="26"/>
  <c r="BM47" i="26"/>
  <c r="BN62" i="26"/>
  <c r="BM62" i="26"/>
  <c r="BL51" i="26"/>
  <c r="BI64" i="26"/>
  <c r="BN47" i="26"/>
  <c r="BN51" i="26"/>
  <c r="BI65" i="26"/>
  <c r="BM66" i="26"/>
  <c r="BM60" i="26"/>
  <c r="BM50" i="26"/>
  <c r="BM49" i="26"/>
  <c r="BP60" i="26"/>
  <c r="BM58" i="26"/>
  <c r="BM43" i="26"/>
  <c r="E7" i="42" s="1"/>
  <c r="BI66" i="26"/>
  <c r="BP47" i="26"/>
  <c r="BP62" i="26"/>
  <c r="BL47" i="26"/>
  <c r="BM44" i="26"/>
  <c r="BM59" i="26"/>
  <c r="BL49" i="26"/>
  <c r="BL44" i="26"/>
  <c r="BL50" i="26"/>
  <c r="BN63" i="26"/>
  <c r="BN48" i="26"/>
  <c r="BI63" i="26"/>
  <c r="BI62" i="26"/>
  <c r="BM45" i="26"/>
  <c r="BN42" i="26"/>
  <c r="BN57" i="26"/>
  <c r="BL48" i="26"/>
  <c r="AN6" i="42"/>
  <c r="BE57" i="26"/>
  <c r="AN20" i="42" s="1"/>
  <c r="BI47" i="26"/>
  <c r="BJ47" i="26" s="1"/>
  <c r="BJ17" i="26"/>
  <c r="Y6" i="38"/>
  <c r="BI49" i="26"/>
  <c r="BJ49" i="26" s="1"/>
  <c r="BJ19" i="26"/>
  <c r="BI43" i="26"/>
  <c r="BJ43" i="26" s="1"/>
  <c r="BJ13" i="26"/>
  <c r="BI44" i="26"/>
  <c r="BJ44" i="26" s="1"/>
  <c r="BJ14" i="26"/>
  <c r="BI48" i="26"/>
  <c r="BJ48" i="26" s="1"/>
  <c r="BJ18" i="26"/>
  <c r="BI46" i="26"/>
  <c r="BJ46" i="26" s="1"/>
  <c r="BJ16" i="26"/>
  <c r="BI45" i="26"/>
  <c r="BJ45" i="26" s="1"/>
  <c r="BJ15" i="26"/>
  <c r="BI50" i="26"/>
  <c r="BJ50" i="26" s="1"/>
  <c r="BJ20" i="26"/>
  <c r="BI51" i="26"/>
  <c r="BJ51" i="26" s="1"/>
  <c r="BJ21" i="26"/>
  <c r="X6" i="38"/>
  <c r="AA6" i="38"/>
  <c r="W6" i="38"/>
  <c r="BL45" i="26"/>
  <c r="BL43" i="26"/>
  <c r="BL46" i="26"/>
  <c r="Y10" i="38"/>
  <c r="AA9" i="38"/>
  <c r="W9" i="38"/>
  <c r="AB16" i="42"/>
  <c r="AB17" i="42"/>
  <c r="Y7" i="42"/>
  <c r="W17" i="42"/>
  <c r="W16" i="42"/>
  <c r="AB28" i="42"/>
  <c r="AB31" i="42"/>
  <c r="W7" i="42"/>
  <c r="X7" i="20"/>
  <c r="Y21" i="42"/>
  <c r="W21" i="42"/>
  <c r="X15" i="20"/>
  <c r="AC6" i="42"/>
  <c r="E9" i="42"/>
  <c r="AN11" i="42"/>
  <c r="AN7" i="42"/>
  <c r="AC22" i="42"/>
  <c r="X14" i="20"/>
  <c r="AB6" i="42"/>
  <c r="X17" i="20"/>
  <c r="AE6" i="42"/>
  <c r="AB7" i="42"/>
  <c r="X11" i="20"/>
  <c r="Y6" i="42"/>
  <c r="AC20" i="42"/>
  <c r="AN8" i="42"/>
  <c r="AB20" i="42"/>
  <c r="X16" i="20"/>
  <c r="AD6" i="42"/>
  <c r="AE20" i="42"/>
  <c r="AB21" i="42"/>
  <c r="Y20" i="42"/>
  <c r="V17" i="42"/>
  <c r="V16" i="42"/>
  <c r="AD16" i="42"/>
  <c r="AD17" i="42"/>
  <c r="AD20" i="42"/>
  <c r="AA22" i="42"/>
  <c r="X18" i="20"/>
  <c r="AF6" i="42"/>
  <c r="X17" i="42"/>
  <c r="X16" i="42"/>
  <c r="AN14" i="42"/>
  <c r="AN17" i="42"/>
  <c r="AN16" i="42"/>
  <c r="AN15" i="42"/>
  <c r="AN13" i="42"/>
  <c r="D10" i="42"/>
  <c r="AI6" i="42"/>
  <c r="AF20" i="42"/>
  <c r="AF21" i="42"/>
  <c r="X19" i="20"/>
  <c r="AG6" i="42"/>
  <c r="AJ6" i="42"/>
  <c r="X20" i="20"/>
  <c r="AH6" i="42"/>
  <c r="AE16" i="42"/>
  <c r="AE17" i="42"/>
  <c r="X7" i="42"/>
  <c r="D7" i="42"/>
  <c r="AG20" i="42"/>
  <c r="AH17" i="42"/>
  <c r="AH16" i="42"/>
  <c r="AB22" i="42"/>
  <c r="X8" i="42"/>
  <c r="X8" i="20"/>
  <c r="V6" i="42"/>
  <c r="AH20" i="42"/>
  <c r="X21" i="42"/>
  <c r="X9" i="20"/>
  <c r="W6" i="42"/>
  <c r="D9" i="42"/>
  <c r="W20" i="42"/>
  <c r="Z16" i="42"/>
  <c r="Z17" i="42"/>
  <c r="AD8" i="42"/>
  <c r="Y16" i="42"/>
  <c r="Y17" i="42"/>
  <c r="AF16" i="42"/>
  <c r="AF17" i="42"/>
  <c r="X12" i="20"/>
  <c r="Z6" i="42"/>
  <c r="AF7" i="42"/>
  <c r="Z7" i="42"/>
  <c r="Z20" i="42"/>
  <c r="AC16" i="42"/>
  <c r="AC17" i="42"/>
  <c r="X13" i="20"/>
  <c r="AA6" i="42"/>
  <c r="Z21" i="42"/>
  <c r="AC7" i="42"/>
  <c r="AG7" i="42"/>
  <c r="AA20" i="42"/>
  <c r="AC21" i="42"/>
  <c r="AA16" i="42"/>
  <c r="AA17" i="42"/>
  <c r="AG21" i="42"/>
  <c r="AA7" i="42"/>
  <c r="AN10" i="42"/>
  <c r="AN9" i="42"/>
  <c r="AH7" i="42"/>
  <c r="AE8" i="42"/>
  <c r="X10" i="20"/>
  <c r="X6" i="42"/>
  <c r="AA21" i="42"/>
  <c r="V7" i="42"/>
  <c r="AN12" i="42"/>
  <c r="AH21" i="42"/>
  <c r="X20" i="42"/>
  <c r="AE7" i="42"/>
  <c r="E8" i="42"/>
  <c r="AD7" i="42"/>
  <c r="AI16" i="42"/>
  <c r="AI17" i="42"/>
  <c r="AJ7" i="42"/>
  <c r="AE21" i="42"/>
  <c r="AD21" i="42"/>
  <c r="AJ17" i="42"/>
  <c r="AJ16" i="42"/>
  <c r="AI7" i="42"/>
  <c r="AD64" i="26"/>
  <c r="E10" i="42"/>
  <c r="AG16" i="42"/>
  <c r="AG17" i="42"/>
  <c r="AA11" i="38"/>
  <c r="AA7" i="38"/>
  <c r="Y7" i="38"/>
  <c r="Y11" i="38"/>
  <c r="X11" i="38"/>
  <c r="X7" i="38"/>
  <c r="W11" i="38"/>
  <c r="W7" i="38"/>
  <c r="Z11" i="38"/>
  <c r="Z7" i="38"/>
  <c r="D32" i="20"/>
  <c r="BI42" i="26"/>
  <c r="BJ42" i="26" s="1"/>
  <c r="K13" i="20"/>
  <c r="K9" i="20"/>
  <c r="K11" i="20"/>
  <c r="Y22" i="20"/>
  <c r="Y21" i="20"/>
  <c r="Y26" i="20" s="1"/>
  <c r="K10" i="20"/>
  <c r="K12" i="20"/>
  <c r="X21" i="20"/>
  <c r="X22" i="20"/>
  <c r="J26" i="20"/>
  <c r="AD57" i="26"/>
  <c r="AD60" i="26"/>
  <c r="AD63" i="26"/>
  <c r="AD55" i="26"/>
  <c r="AD66" i="26"/>
  <c r="AT55" i="26"/>
  <c r="AC55" i="26"/>
  <c r="AQ60" i="26"/>
  <c r="AR60" i="26"/>
  <c r="AT61" i="26"/>
  <c r="AC61" i="26"/>
  <c r="D56" i="26"/>
  <c r="AU56" i="26" s="1"/>
  <c r="BM56" i="26" s="1"/>
  <c r="AU41" i="26"/>
  <c r="BM41" i="26" s="1"/>
  <c r="AQ65" i="26"/>
  <c r="AR65" i="26"/>
  <c r="AT59" i="26"/>
  <c r="AC59" i="26"/>
  <c r="J56" i="26"/>
  <c r="AF56" i="26" s="1"/>
  <c r="X26" i="42" s="1"/>
  <c r="AF41" i="26"/>
  <c r="X12" i="42" s="1"/>
  <c r="AD54" i="26"/>
  <c r="O56" i="26"/>
  <c r="AI56" i="26" s="1"/>
  <c r="AA23" i="42" s="1"/>
  <c r="AI41" i="26"/>
  <c r="AA12" i="42" s="1"/>
  <c r="Y56" i="26"/>
  <c r="AP56" i="26" s="1"/>
  <c r="AH27" i="42" s="1"/>
  <c r="AP41" i="26"/>
  <c r="AH12" i="42" s="1"/>
  <c r="AQ62" i="26"/>
  <c r="AR62" i="26"/>
  <c r="X56" i="26"/>
  <c r="AO56" i="26" s="1"/>
  <c r="AG28" i="42" s="1"/>
  <c r="AO41" i="26"/>
  <c r="AG15" i="42" s="1"/>
  <c r="R56" i="26"/>
  <c r="AL56" i="26" s="1"/>
  <c r="AD31" i="42" s="1"/>
  <c r="AL41" i="26"/>
  <c r="AD12" i="42" s="1"/>
  <c r="AR61" i="26"/>
  <c r="AQ61" i="26"/>
  <c r="P56" i="26"/>
  <c r="AJ56" i="26" s="1"/>
  <c r="AB23" i="42" s="1"/>
  <c r="AJ41" i="26"/>
  <c r="AB14" i="42" s="1"/>
  <c r="AR66" i="26"/>
  <c r="AQ66" i="26"/>
  <c r="F56" i="26"/>
  <c r="AX56" i="26" s="1"/>
  <c r="BP56" i="26" s="1"/>
  <c r="AX41" i="26"/>
  <c r="BP41" i="26" s="1"/>
  <c r="AD62" i="26"/>
  <c r="AQ57" i="26"/>
  <c r="AR57" i="26"/>
  <c r="AR64" i="26"/>
  <c r="I56" i="26"/>
  <c r="AE56" i="26" s="1"/>
  <c r="W28" i="42" s="1"/>
  <c r="AE41" i="26"/>
  <c r="W9" i="42" s="1"/>
  <c r="AT64" i="26"/>
  <c r="S56" i="26"/>
  <c r="AM56" i="26" s="1"/>
  <c r="AE25" i="42" s="1"/>
  <c r="AM41" i="26"/>
  <c r="AE9" i="42" s="1"/>
  <c r="N56" i="26"/>
  <c r="AH56" i="26" s="1"/>
  <c r="Z22" i="42" s="1"/>
  <c r="AH41" i="26"/>
  <c r="Z8" i="42" s="1"/>
  <c r="AQ63" i="26"/>
  <c r="AR63" i="26"/>
  <c r="AT66" i="26"/>
  <c r="AC66" i="26"/>
  <c r="C56" i="26"/>
  <c r="AC41" i="26"/>
  <c r="AT41" i="26"/>
  <c r="BL41" i="26" s="1"/>
  <c r="AT65" i="26"/>
  <c r="AC65" i="26"/>
  <c r="AQ58" i="26"/>
  <c r="AR58" i="26"/>
  <c r="AQ59" i="26"/>
  <c r="AR59" i="26"/>
  <c r="AD61" i="26"/>
  <c r="AD58" i="26"/>
  <c r="AC64" i="26"/>
  <c r="AU64" i="26"/>
  <c r="BM64" i="26" s="1"/>
  <c r="H56" i="26"/>
  <c r="AW56" i="26" s="1"/>
  <c r="BO56" i="26" s="1"/>
  <c r="AW41" i="26"/>
  <c r="BO41" i="26" s="1"/>
  <c r="G9" i="42" s="1"/>
  <c r="AT60" i="26"/>
  <c r="AC60" i="26"/>
  <c r="BQ39" i="26"/>
  <c r="G56" i="26"/>
  <c r="AD41" i="26"/>
  <c r="V9" i="42" s="1"/>
  <c r="AR54" i="26"/>
  <c r="AQ54" i="26"/>
  <c r="AD65" i="26"/>
  <c r="Q56" i="26"/>
  <c r="AK56" i="26" s="1"/>
  <c r="AC26" i="42" s="1"/>
  <c r="AK41" i="26"/>
  <c r="AC13" i="42" s="1"/>
  <c r="AD59" i="26"/>
  <c r="AT63" i="26"/>
  <c r="AC63" i="26"/>
  <c r="AT54" i="26"/>
  <c r="AC54" i="26"/>
  <c r="E56" i="26"/>
  <c r="AV56" i="26" s="1"/>
  <c r="BN56" i="26" s="1"/>
  <c r="AV41" i="26"/>
  <c r="BN41" i="26" s="1"/>
  <c r="Z56" i="26"/>
  <c r="AR41" i="26"/>
  <c r="AJ9" i="42" s="1"/>
  <c r="AQ41" i="26"/>
  <c r="AI10" i="42" s="1"/>
  <c r="T56" i="26"/>
  <c r="AN56" i="26" s="1"/>
  <c r="AF27" i="42" s="1"/>
  <c r="AN41" i="26"/>
  <c r="AF14" i="42" s="1"/>
  <c r="AT58" i="26"/>
  <c r="AC58" i="26"/>
  <c r="K56" i="26"/>
  <c r="AG56" i="26" s="1"/>
  <c r="Y25" i="42" s="1"/>
  <c r="AG41" i="26"/>
  <c r="Y14" i="42" s="1"/>
  <c r="AQ55" i="26"/>
  <c r="AR55" i="26"/>
  <c r="AT62" i="26"/>
  <c r="AC62" i="26"/>
  <c r="BQ40" i="26"/>
  <c r="Y4" i="36"/>
  <c r="AE16" i="36"/>
  <c r="AE17" i="36"/>
  <c r="AE24" i="36"/>
  <c r="AE26" i="36"/>
  <c r="Y5" i="36"/>
  <c r="AE21" i="36"/>
  <c r="N31" i="36"/>
  <c r="AE28" i="36"/>
  <c r="AE19" i="36"/>
  <c r="AE22" i="36"/>
  <c r="AE20" i="36"/>
  <c r="J24" i="20"/>
  <c r="Y18" i="36"/>
  <c r="AE9" i="36"/>
  <c r="Y25" i="36"/>
  <c r="AE11" i="36"/>
  <c r="AE13" i="36"/>
  <c r="AE12" i="36"/>
  <c r="AE14" i="36"/>
  <c r="Y11" i="36"/>
  <c r="Y23" i="36"/>
  <c r="Y21" i="36"/>
  <c r="Y33" i="36"/>
  <c r="Y20" i="36"/>
  <c r="Y28" i="36"/>
  <c r="Y12" i="36"/>
  <c r="Y17" i="36"/>
  <c r="Y15" i="36"/>
  <c r="Y10" i="36"/>
  <c r="Y32" i="36"/>
  <c r="Y9" i="36"/>
  <c r="Y16" i="36"/>
  <c r="Y13" i="36"/>
  <c r="Y26" i="36"/>
  <c r="AE10" i="36"/>
  <c r="Y22" i="36"/>
  <c r="Y31" i="36"/>
  <c r="BL11" i="26"/>
  <c r="BQ11" i="26" s="1"/>
  <c r="AY11" i="26"/>
  <c r="AK12" i="26"/>
  <c r="AC8" i="38" s="1"/>
  <c r="AJ12" i="26"/>
  <c r="AB8" i="38" s="1"/>
  <c r="AD12" i="26"/>
  <c r="V8" i="38" s="1"/>
  <c r="AN12" i="26"/>
  <c r="AF8" i="38" s="1"/>
  <c r="AL12" i="26"/>
  <c r="AD8" i="38" s="1"/>
  <c r="AQ12" i="26"/>
  <c r="AI8" i="38" s="1"/>
  <c r="AP12" i="26"/>
  <c r="AH8" i="38" s="1"/>
  <c r="N9" i="36" a="1"/>
  <c r="X10" i="42" l="1"/>
  <c r="X9" i="42"/>
  <c r="Z29" i="42"/>
  <c r="AE13" i="42"/>
  <c r="AB29" i="42"/>
  <c r="AI13" i="42"/>
  <c r="AE28" i="42"/>
  <c r="AB24" i="42"/>
  <c r="AB26" i="42"/>
  <c r="AC11" i="42"/>
  <c r="AB10" i="42"/>
  <c r="AB25" i="42"/>
  <c r="AC24" i="42"/>
  <c r="AC30" i="42"/>
  <c r="AC27" i="42"/>
  <c r="AC31" i="42"/>
  <c r="AB11" i="42"/>
  <c r="AC23" i="42"/>
  <c r="AC29" i="42"/>
  <c r="AC12" i="42"/>
  <c r="AB12" i="42"/>
  <c r="AC10" i="42"/>
  <c r="AC9" i="42"/>
  <c r="AB9" i="42"/>
  <c r="AB27" i="42"/>
  <c r="AB30" i="42"/>
  <c r="H9" i="42"/>
  <c r="AA25" i="42"/>
  <c r="Z27" i="42"/>
  <c r="AE31" i="42"/>
  <c r="Z31" i="42"/>
  <c r="AE30" i="42"/>
  <c r="Y8" i="42"/>
  <c r="AI8" i="42"/>
  <c r="AE27" i="42"/>
  <c r="Y26" i="42"/>
  <c r="N9" i="42"/>
  <c r="AJ10" i="42"/>
  <c r="O9" i="42"/>
  <c r="AH11" i="42"/>
  <c r="W12" i="42"/>
  <c r="F9" i="42"/>
  <c r="AI14" i="42"/>
  <c r="AC14" i="42"/>
  <c r="AB15" i="42"/>
  <c r="Z13" i="42"/>
  <c r="W22" i="42"/>
  <c r="AB13" i="42"/>
  <c r="Z26" i="42"/>
  <c r="AC25" i="42"/>
  <c r="AE26" i="42"/>
  <c r="AH22" i="42"/>
  <c r="AI15" i="42"/>
  <c r="AA11" i="42"/>
  <c r="J9" i="42"/>
  <c r="AC15" i="42"/>
  <c r="Z14" i="42"/>
  <c r="AD26" i="42"/>
  <c r="AA26" i="42"/>
  <c r="AF8" i="42"/>
  <c r="X11" i="42"/>
  <c r="AA8" i="42"/>
  <c r="AI11" i="42"/>
  <c r="AE22" i="42"/>
  <c r="AF24" i="42"/>
  <c r="AF22" i="42"/>
  <c r="Z24" i="42"/>
  <c r="I7" i="42"/>
  <c r="AJ13" i="42"/>
  <c r="AH25" i="42"/>
  <c r="AC28" i="42"/>
  <c r="Z23" i="42"/>
  <c r="AJ14" i="42"/>
  <c r="Z30" i="42"/>
  <c r="AI12" i="42"/>
  <c r="AF23" i="42"/>
  <c r="AJ15" i="42"/>
  <c r="Z28" i="42"/>
  <c r="AE29" i="42"/>
  <c r="W11" i="42"/>
  <c r="E11" i="46"/>
  <c r="X29" i="42"/>
  <c r="X31" i="42"/>
  <c r="AD15" i="42"/>
  <c r="Z15" i="42"/>
  <c r="AG8" i="42"/>
  <c r="Z11" i="42"/>
  <c r="AE15" i="42"/>
  <c r="AD25" i="42"/>
  <c r="X23" i="42"/>
  <c r="X28" i="42"/>
  <c r="Y12" i="42"/>
  <c r="V11" i="42"/>
  <c r="AF12" i="42"/>
  <c r="X22" i="42"/>
  <c r="X24" i="42"/>
  <c r="X30" i="42"/>
  <c r="AG11" i="42"/>
  <c r="AD13" i="42"/>
  <c r="AG25" i="42"/>
  <c r="AG22" i="42"/>
  <c r="AH8" i="42"/>
  <c r="I9" i="42"/>
  <c r="AF26" i="42"/>
  <c r="AH23" i="42"/>
  <c r="AF9" i="42"/>
  <c r="AD23" i="42"/>
  <c r="W25" i="42"/>
  <c r="AH10" i="42"/>
  <c r="AF31" i="42"/>
  <c r="AG31" i="42"/>
  <c r="AF13" i="42"/>
  <c r="AD29" i="42"/>
  <c r="AG12" i="42"/>
  <c r="AG24" i="42"/>
  <c r="AF28" i="42"/>
  <c r="AA13" i="42"/>
  <c r="Y27" i="42"/>
  <c r="AH30" i="42"/>
  <c r="AH15" i="42"/>
  <c r="AD28" i="42"/>
  <c r="AI9" i="42"/>
  <c r="V15" i="42"/>
  <c r="W15" i="42"/>
  <c r="X27" i="42"/>
  <c r="V8" i="42"/>
  <c r="Y22" i="42"/>
  <c r="AD14" i="42"/>
  <c r="AD11" i="42"/>
  <c r="AH24" i="42"/>
  <c r="Z25" i="42"/>
  <c r="AF10" i="42"/>
  <c r="AE14" i="42"/>
  <c r="AD24" i="42"/>
  <c r="AH31" i="42"/>
  <c r="Y24" i="42"/>
  <c r="AH9" i="42"/>
  <c r="AF30" i="42"/>
  <c r="AA10" i="42"/>
  <c r="AA15" i="42"/>
  <c r="AG30" i="42"/>
  <c r="AF11" i="42"/>
  <c r="AF15" i="42"/>
  <c r="AH29" i="42"/>
  <c r="Y23" i="42"/>
  <c r="AD30" i="42"/>
  <c r="W24" i="42"/>
  <c r="V13" i="42"/>
  <c r="AG26" i="42"/>
  <c r="AG9" i="42"/>
  <c r="AA9" i="42"/>
  <c r="AA14" i="42"/>
  <c r="Y28" i="42"/>
  <c r="AH28" i="42"/>
  <c r="W23" i="42"/>
  <c r="AG10" i="42"/>
  <c r="AA27" i="42"/>
  <c r="AG29" i="42"/>
  <c r="V12" i="42"/>
  <c r="AA29" i="42"/>
  <c r="V10" i="42"/>
  <c r="Y31" i="42"/>
  <c r="AH14" i="42"/>
  <c r="AD27" i="42"/>
  <c r="V14" i="42"/>
  <c r="W27" i="42"/>
  <c r="W14" i="42"/>
  <c r="AF29" i="42"/>
  <c r="AA28" i="42"/>
  <c r="AG27" i="42"/>
  <c r="AH13" i="42"/>
  <c r="AE24" i="42"/>
  <c r="X13" i="42"/>
  <c r="W31" i="42"/>
  <c r="AA31" i="42"/>
  <c r="AE23" i="42"/>
  <c r="Z9" i="42"/>
  <c r="W30" i="42"/>
  <c r="AG13" i="42"/>
  <c r="AA24" i="42"/>
  <c r="W26" i="42"/>
  <c r="Y9" i="42"/>
  <c r="Z10" i="42"/>
  <c r="Y11" i="42"/>
  <c r="AH26" i="42"/>
  <c r="X14" i="42"/>
  <c r="AD9" i="42"/>
  <c r="AD22" i="42"/>
  <c r="AE10" i="42"/>
  <c r="AD10" i="42"/>
  <c r="W8" i="42"/>
  <c r="L9" i="42"/>
  <c r="AE11" i="42"/>
  <c r="AE12" i="42"/>
  <c r="Y13" i="42"/>
  <c r="X25" i="42"/>
  <c r="AB8" i="42"/>
  <c r="AF25" i="42"/>
  <c r="W10" i="42"/>
  <c r="AC8" i="42"/>
  <c r="AG23" i="42"/>
  <c r="Y30" i="42"/>
  <c r="AJ8" i="42"/>
  <c r="W13" i="42"/>
  <c r="Y29" i="42"/>
  <c r="Y10" i="42"/>
  <c r="AJ11" i="42"/>
  <c r="AA30" i="42"/>
  <c r="X15" i="42"/>
  <c r="W29" i="42"/>
  <c r="AG14" i="42"/>
  <c r="Z12" i="42"/>
  <c r="Y15" i="42"/>
  <c r="K9" i="42"/>
  <c r="AJ12" i="42"/>
  <c r="M9" i="42"/>
  <c r="BQ51" i="26"/>
  <c r="F7" i="42"/>
  <c r="M10" i="42"/>
  <c r="O10" i="42"/>
  <c r="N10" i="42"/>
  <c r="L10" i="42"/>
  <c r="K10" i="42"/>
  <c r="F10" i="42"/>
  <c r="G10" i="42"/>
  <c r="H10" i="42"/>
  <c r="J10" i="42"/>
  <c r="I10" i="42"/>
  <c r="O7" i="42"/>
  <c r="M7" i="42"/>
  <c r="N7" i="42"/>
  <c r="L7" i="42"/>
  <c r="K7" i="42"/>
  <c r="J7" i="42"/>
  <c r="H7" i="42"/>
  <c r="D8" i="42"/>
  <c r="F8" i="42"/>
  <c r="L8" i="42"/>
  <c r="M8" i="42"/>
  <c r="O8" i="42"/>
  <c r="G8" i="42"/>
  <c r="K8" i="42"/>
  <c r="J8" i="42"/>
  <c r="N8" i="42"/>
  <c r="AB6" i="38"/>
  <c r="AB14" i="38"/>
  <c r="AB17" i="38"/>
  <c r="AB12" i="38"/>
  <c r="AB13" i="38"/>
  <c r="AB15" i="38"/>
  <c r="AB16" i="38"/>
  <c r="AC6" i="38"/>
  <c r="AC15" i="38"/>
  <c r="AC17" i="38"/>
  <c r="AC16" i="38"/>
  <c r="AC13" i="38"/>
  <c r="AC14" i="38"/>
  <c r="AC12" i="38"/>
  <c r="AD6" i="38"/>
  <c r="AD14" i="38"/>
  <c r="AD16" i="38"/>
  <c r="AD17" i="38"/>
  <c r="AD15" i="38"/>
  <c r="AD13" i="38"/>
  <c r="AD12" i="38"/>
  <c r="V6" i="38"/>
  <c r="V13" i="38"/>
  <c r="V15" i="38"/>
  <c r="V14" i="38"/>
  <c r="V12" i="38"/>
  <c r="V16" i="38"/>
  <c r="V17" i="38"/>
  <c r="AF6" i="38"/>
  <c r="AF16" i="38"/>
  <c r="AF12" i="38"/>
  <c r="AF17" i="38"/>
  <c r="AF15" i="38"/>
  <c r="AF13" i="38"/>
  <c r="AF14" i="38"/>
  <c r="AH6" i="38"/>
  <c r="AH15" i="38"/>
  <c r="AH16" i="38"/>
  <c r="AH12" i="38"/>
  <c r="AH17" i="38"/>
  <c r="AH13" i="38"/>
  <c r="AH14" i="38"/>
  <c r="AI6" i="38"/>
  <c r="AI12" i="38"/>
  <c r="AI17" i="38"/>
  <c r="AI14" i="38"/>
  <c r="AI13" i="38"/>
  <c r="AI15" i="38"/>
  <c r="AI16" i="38"/>
  <c r="I8" i="42"/>
  <c r="H8" i="42"/>
  <c r="BQ43" i="26"/>
  <c r="BQ47" i="26"/>
  <c r="BQ49" i="26"/>
  <c r="BQ44" i="26"/>
  <c r="BQ50" i="26"/>
  <c r="BQ48" i="26"/>
  <c r="BQ46" i="26"/>
  <c r="BQ45" i="26"/>
  <c r="G7" i="42"/>
  <c r="AH10" i="38"/>
  <c r="AH9" i="38"/>
  <c r="AI9" i="38"/>
  <c r="AI10" i="38"/>
  <c r="AF9" i="38"/>
  <c r="AF10" i="38"/>
  <c r="AB10" i="38"/>
  <c r="AB9" i="38"/>
  <c r="AC9" i="38"/>
  <c r="AC10" i="38"/>
  <c r="V10" i="38"/>
  <c r="V9" i="38"/>
  <c r="AD10" i="38"/>
  <c r="AD9" i="38"/>
  <c r="AN26" i="42"/>
  <c r="BI58" i="26"/>
  <c r="AN31" i="42"/>
  <c r="AN30" i="42"/>
  <c r="AN29" i="42"/>
  <c r="AN28" i="42"/>
  <c r="AN27" i="42"/>
  <c r="BI61" i="26"/>
  <c r="AN25" i="42"/>
  <c r="AN21" i="42"/>
  <c r="BI57" i="26"/>
  <c r="AJ26" i="42"/>
  <c r="AN23" i="42"/>
  <c r="AN24" i="42"/>
  <c r="BI60" i="26"/>
  <c r="AJ21" i="42"/>
  <c r="AI25" i="42"/>
  <c r="AI21" i="42"/>
  <c r="V21" i="42"/>
  <c r="V20" i="42"/>
  <c r="AJ20" i="42"/>
  <c r="AI20" i="42"/>
  <c r="AN22" i="42"/>
  <c r="BI59" i="26"/>
  <c r="AH11" i="38"/>
  <c r="AH7" i="38"/>
  <c r="AI7" i="38"/>
  <c r="AI11" i="38"/>
  <c r="AD7" i="38"/>
  <c r="AD11" i="38"/>
  <c r="AF7" i="38"/>
  <c r="AF11" i="38"/>
  <c r="V11" i="38"/>
  <c r="V7" i="38"/>
  <c r="AB7" i="38"/>
  <c r="AB11" i="38"/>
  <c r="AC11" i="38"/>
  <c r="AC7" i="38"/>
  <c r="X24" i="20"/>
  <c r="Y24" i="20"/>
  <c r="K22" i="20"/>
  <c r="K21" i="20"/>
  <c r="K8" i="20"/>
  <c r="K20" i="20"/>
  <c r="K18" i="20"/>
  <c r="K16" i="20"/>
  <c r="K15" i="20"/>
  <c r="K14" i="20"/>
  <c r="AD56" i="26"/>
  <c r="V22" i="42" s="1"/>
  <c r="AY62" i="26"/>
  <c r="BL62" i="26"/>
  <c r="BQ62" i="26" s="1"/>
  <c r="BL65" i="26"/>
  <c r="BQ65" i="26" s="1"/>
  <c r="AY65" i="26"/>
  <c r="BQ41" i="26"/>
  <c r="AY58" i="26"/>
  <c r="BL58" i="26"/>
  <c r="BQ58" i="26" s="1"/>
  <c r="AT56" i="26"/>
  <c r="AC56" i="26"/>
  <c r="BL59" i="26"/>
  <c r="BQ59" i="26" s="1"/>
  <c r="AY59" i="26"/>
  <c r="C27" i="26"/>
  <c r="C42" i="26"/>
  <c r="AY60" i="26"/>
  <c r="BL60" i="26"/>
  <c r="BQ60" i="26" s="1"/>
  <c r="BL66" i="26"/>
  <c r="BQ66" i="26" s="1"/>
  <c r="AY66" i="26"/>
  <c r="AR56" i="26"/>
  <c r="AJ30" i="42" s="1"/>
  <c r="AQ56" i="26"/>
  <c r="AI27" i="42" s="1"/>
  <c r="AY61" i="26"/>
  <c r="BL61" i="26"/>
  <c r="BQ61" i="26" s="1"/>
  <c r="AY54" i="26"/>
  <c r="BL54" i="26"/>
  <c r="BQ54" i="26" s="1"/>
  <c r="AY63" i="26"/>
  <c r="BL63" i="26"/>
  <c r="BQ63" i="26" s="1"/>
  <c r="AY64" i="26"/>
  <c r="BL64" i="26"/>
  <c r="BQ64" i="26" s="1"/>
  <c r="AY55" i="26"/>
  <c r="BL55" i="26"/>
  <c r="BQ55" i="26" s="1"/>
  <c r="AT12" i="26"/>
  <c r="AY12" i="26" s="1"/>
  <c r="AC12" i="26"/>
  <c r="U8" i="38" s="1"/>
  <c r="N9" i="36"/>
  <c r="AM12" i="26"/>
  <c r="AE8" i="38" s="1"/>
  <c r="AI24" i="42" l="1"/>
  <c r="V28" i="42"/>
  <c r="V24" i="42"/>
  <c r="V31" i="42"/>
  <c r="V23" i="42"/>
  <c r="V30" i="42"/>
  <c r="V25" i="42"/>
  <c r="AJ24" i="42"/>
  <c r="AJ28" i="42"/>
  <c r="AI22" i="42"/>
  <c r="AJ25" i="42"/>
  <c r="AJ29" i="42"/>
  <c r="AJ27" i="42"/>
  <c r="AJ22" i="42"/>
  <c r="AI23" i="42"/>
  <c r="V26" i="42"/>
  <c r="V29" i="42"/>
  <c r="V27" i="42"/>
  <c r="AI26" i="42"/>
  <c r="AI31" i="42"/>
  <c r="AI30" i="42"/>
  <c r="AJ23" i="42"/>
  <c r="AI29" i="42"/>
  <c r="AI28" i="42"/>
  <c r="AJ31" i="42"/>
  <c r="BR51" i="26"/>
  <c r="BS51" i="26"/>
  <c r="BA51" i="26"/>
  <c r="BR43" i="26"/>
  <c r="BS43" i="26"/>
  <c r="BA43" i="26"/>
  <c r="BR47" i="26"/>
  <c r="BA47" i="26"/>
  <c r="BS47" i="26"/>
  <c r="BA49" i="26"/>
  <c r="BR49" i="26"/>
  <c r="BS49" i="26"/>
  <c r="BS44" i="26"/>
  <c r="BR44" i="26"/>
  <c r="BA44" i="26"/>
  <c r="BA50" i="26"/>
  <c r="BS50" i="26"/>
  <c r="BR50" i="26"/>
  <c r="BA48" i="26"/>
  <c r="BS48" i="26"/>
  <c r="BR48" i="26"/>
  <c r="BR46" i="26"/>
  <c r="BS46" i="26"/>
  <c r="BA46" i="26"/>
  <c r="BR45" i="26"/>
  <c r="BA45" i="26"/>
  <c r="BS45" i="26"/>
  <c r="BJ62" i="26"/>
  <c r="AZ62" i="26"/>
  <c r="BA62" i="26"/>
  <c r="BS62" i="26"/>
  <c r="BR62" i="26"/>
  <c r="BS65" i="26"/>
  <c r="BR65" i="26"/>
  <c r="BJ65" i="26"/>
  <c r="AZ65" i="26"/>
  <c r="BA65" i="26"/>
  <c r="BA58" i="26"/>
  <c r="AZ58" i="26"/>
  <c r="BR58" i="26"/>
  <c r="BS58" i="26"/>
  <c r="BR59" i="26"/>
  <c r="BS59" i="26"/>
  <c r="BA59" i="26"/>
  <c r="AZ59" i="26"/>
  <c r="BA60" i="26"/>
  <c r="AZ60" i="26"/>
  <c r="BS60" i="26"/>
  <c r="BR60" i="26"/>
  <c r="BS66" i="26"/>
  <c r="BR66" i="26"/>
  <c r="BJ66" i="26"/>
  <c r="BA66" i="26"/>
  <c r="AZ66" i="26"/>
  <c r="BA61" i="26"/>
  <c r="AZ61" i="26"/>
  <c r="BS61" i="26"/>
  <c r="BR61" i="26"/>
  <c r="BJ63" i="26"/>
  <c r="BA63" i="26"/>
  <c r="AZ63" i="26"/>
  <c r="BS63" i="26"/>
  <c r="BR63" i="26"/>
  <c r="BJ64" i="26"/>
  <c r="BA64" i="26"/>
  <c r="AZ64" i="26"/>
  <c r="BS64" i="26"/>
  <c r="BR64" i="26"/>
  <c r="BJ12" i="26"/>
  <c r="BA12" i="26"/>
  <c r="AZ12" i="26"/>
  <c r="AK8" i="38"/>
  <c r="AO8" i="38" s="1"/>
  <c r="AE6" i="38"/>
  <c r="AE17" i="38"/>
  <c r="AE16" i="38"/>
  <c r="AE14" i="38"/>
  <c r="AE12" i="38"/>
  <c r="AE13" i="38"/>
  <c r="AE15" i="38"/>
  <c r="U6" i="38"/>
  <c r="U17" i="38"/>
  <c r="U13" i="38"/>
  <c r="U12" i="38"/>
  <c r="U15" i="38"/>
  <c r="U16" i="38"/>
  <c r="U14" i="38"/>
  <c r="BJ60" i="26"/>
  <c r="BJ58" i="26"/>
  <c r="BJ61" i="26"/>
  <c r="BJ59" i="26"/>
  <c r="U9" i="38"/>
  <c r="U10" i="38"/>
  <c r="AE9" i="38"/>
  <c r="AE10" i="38"/>
  <c r="AE7" i="38"/>
  <c r="AE11" i="38"/>
  <c r="U7" i="38"/>
  <c r="U11" i="38"/>
  <c r="K17" i="20"/>
  <c r="K7" i="20"/>
  <c r="C57" i="26"/>
  <c r="AC42" i="26"/>
  <c r="U8" i="42" s="1"/>
  <c r="AK8" i="42" s="1"/>
  <c r="AO8" i="42" s="1"/>
  <c r="AT42" i="26"/>
  <c r="BL42" i="26" s="1"/>
  <c r="F6" i="42" s="1"/>
  <c r="BL56" i="26"/>
  <c r="BQ56" i="26" s="1"/>
  <c r="AY56" i="26"/>
  <c r="D28" i="20"/>
  <c r="C3" i="8"/>
  <c r="I17" i="45" l="1"/>
  <c r="I22" i="45" s="1"/>
  <c r="H17" i="45"/>
  <c r="H22" i="45" s="1"/>
  <c r="AK6" i="38"/>
  <c r="AO6" i="38" s="1"/>
  <c r="AK17" i="38"/>
  <c r="AO17" i="38" s="1"/>
  <c r="AK13" i="38"/>
  <c r="AO13" i="38" s="1"/>
  <c r="AK15" i="38"/>
  <c r="AO15" i="38" s="1"/>
  <c r="AK12" i="38"/>
  <c r="AO12" i="38" s="1"/>
  <c r="AK16" i="38"/>
  <c r="AO16" i="38" s="1"/>
  <c r="AK14" i="38"/>
  <c r="AO14" i="38" s="1"/>
  <c r="U6" i="42"/>
  <c r="AK6" i="42" s="1"/>
  <c r="AO6" i="42" s="1"/>
  <c r="U12" i="42"/>
  <c r="AK12" i="42" s="1"/>
  <c r="AO12" i="42" s="1"/>
  <c r="U16" i="42"/>
  <c r="AK16" i="42" s="1"/>
  <c r="AO16" i="42" s="1"/>
  <c r="U15" i="42"/>
  <c r="AK15" i="42" s="1"/>
  <c r="AO15" i="42" s="1"/>
  <c r="U17" i="42"/>
  <c r="AK17" i="42" s="1"/>
  <c r="AO17" i="42" s="1"/>
  <c r="U13" i="42"/>
  <c r="AK13" i="42" s="1"/>
  <c r="AO13" i="42" s="1"/>
  <c r="U14" i="42"/>
  <c r="AK14" i="42" s="1"/>
  <c r="AO14" i="42" s="1"/>
  <c r="D6" i="42"/>
  <c r="D11" i="42" s="1"/>
  <c r="M6" i="42"/>
  <c r="L6" i="42"/>
  <c r="N6" i="42"/>
  <c r="O6" i="42"/>
  <c r="K6" i="42"/>
  <c r="J6" i="42"/>
  <c r="H6" i="42"/>
  <c r="G6" i="42"/>
  <c r="AK10" i="38"/>
  <c r="AO10" i="38" s="1"/>
  <c r="U9" i="42"/>
  <c r="AK9" i="42" s="1"/>
  <c r="AO9" i="42" s="1"/>
  <c r="U10" i="42"/>
  <c r="AK10" i="42" s="1"/>
  <c r="AO10" i="42" s="1"/>
  <c r="AK9" i="38"/>
  <c r="AO9" i="38" s="1"/>
  <c r="AK11" i="38"/>
  <c r="AO11" i="38" s="1"/>
  <c r="BQ42" i="26"/>
  <c r="I6" i="42"/>
  <c r="E6" i="42"/>
  <c r="U7" i="42"/>
  <c r="AK7" i="42" s="1"/>
  <c r="AO7" i="42" s="1"/>
  <c r="U11" i="42"/>
  <c r="AK11" i="42" s="1"/>
  <c r="AO11" i="42" s="1"/>
  <c r="AK7" i="38"/>
  <c r="AO7" i="38" s="1"/>
  <c r="AT57" i="26"/>
  <c r="AC57" i="26"/>
  <c r="U22" i="42" s="1"/>
  <c r="G15" i="8"/>
  <c r="E15" i="8"/>
  <c r="AU1" i="30" l="1"/>
  <c r="AY1" i="30"/>
  <c r="AV1" i="30"/>
  <c r="AW1" i="30"/>
  <c r="AX1" i="30"/>
  <c r="BE1" i="30"/>
  <c r="BF1" i="30"/>
  <c r="BD1" i="30"/>
  <c r="BC1" i="30"/>
  <c r="BB1" i="30"/>
  <c r="BA42" i="26"/>
  <c r="BS42" i="26"/>
  <c r="BR42" i="26"/>
  <c r="U20" i="42"/>
  <c r="U29" i="42"/>
  <c r="U30" i="42"/>
  <c r="U26" i="42"/>
  <c r="U27" i="42"/>
  <c r="U28" i="42"/>
  <c r="U31" i="42"/>
  <c r="U23" i="42"/>
  <c r="U24" i="42"/>
  <c r="U21" i="42"/>
  <c r="U25" i="42"/>
  <c r="AY57" i="26"/>
  <c r="BL57" i="26"/>
  <c r="BQ57" i="26" s="1"/>
  <c r="AX1" i="29"/>
  <c r="AV1" i="29"/>
  <c r="AY1" i="29"/>
  <c r="AW1" i="29"/>
  <c r="AU1" i="29"/>
  <c r="BE1" i="29"/>
  <c r="BD1" i="29"/>
  <c r="BC1" i="29"/>
  <c r="BB1" i="29"/>
  <c r="AB4" i="36" s="1"/>
  <c r="BF1" i="29"/>
  <c r="I16" i="45" l="1"/>
  <c r="I21" i="45" s="1"/>
  <c r="H16" i="45"/>
  <c r="H21" i="45" s="1"/>
  <c r="BJ57" i="26"/>
  <c r="AZ57" i="26"/>
  <c r="BA57" i="26"/>
  <c r="F12" i="42"/>
  <c r="BS57" i="26"/>
  <c r="BR57" i="26"/>
  <c r="D12" i="42"/>
  <c r="O12" i="42"/>
  <c r="K12" i="42"/>
  <c r="M12" i="42"/>
  <c r="J12" i="42"/>
  <c r="L12" i="42"/>
  <c r="N12" i="42"/>
  <c r="AD4" i="36"/>
  <c r="AC4" i="36"/>
  <c r="AE4" i="36"/>
  <c r="AF4" i="36"/>
  <c r="AG4" i="36"/>
  <c r="H12" i="42"/>
  <c r="G12" i="42"/>
  <c r="E12" i="42"/>
  <c r="I12" i="42"/>
  <c r="K4" i="36"/>
  <c r="AB5" i="36"/>
  <c r="Z11" i="36"/>
  <c r="Z9" i="36"/>
  <c r="Z21" i="36"/>
  <c r="AF10" i="36"/>
  <c r="Z22" i="36"/>
  <c r="AF13" i="36"/>
  <c r="Z20" i="36"/>
  <c r="Z12" i="36"/>
  <c r="Z13" i="36"/>
  <c r="Z28" i="36"/>
  <c r="AF28" i="36"/>
  <c r="Z25" i="36"/>
  <c r="Z10" i="36"/>
  <c r="Z18" i="36"/>
  <c r="Z31" i="36"/>
  <c r="AF16" i="36"/>
  <c r="Z17" i="36"/>
  <c r="Z33" i="36"/>
  <c r="AF19" i="36"/>
  <c r="AF21" i="36"/>
  <c r="AF20" i="36"/>
  <c r="Z16" i="36"/>
  <c r="Z23" i="36"/>
  <c r="AF22" i="36"/>
  <c r="AF17" i="36"/>
  <c r="AF24" i="36"/>
  <c r="AF26" i="36"/>
  <c r="Z15" i="36"/>
  <c r="AF14" i="36"/>
  <c r="AF11" i="36"/>
  <c r="Z5" i="36"/>
  <c r="AF12" i="36"/>
  <c r="Z32" i="36"/>
  <c r="Z4" i="36"/>
  <c r="Z26" i="36"/>
  <c r="A108" i="26"/>
  <c r="A107" i="26"/>
  <c r="A106" i="26"/>
  <c r="A105" i="26"/>
  <c r="F17" i="36" a="1"/>
  <c r="L28" i="36" a="1"/>
  <c r="G31" i="36" a="1"/>
  <c r="G15" i="36" a="1"/>
  <c r="N17" i="36" a="1"/>
  <c r="H10" i="36" a="1"/>
  <c r="M28" i="36" a="1"/>
  <c r="M10" i="36" a="1"/>
  <c r="G17" i="36" a="1"/>
  <c r="L13" i="36" a="1"/>
  <c r="N10" i="36" a="1"/>
  <c r="F25" i="36" a="1"/>
  <c r="L14" i="36" a="1"/>
  <c r="H23" i="36" a="1"/>
  <c r="H11" i="36" a="1"/>
  <c r="G23" i="36" a="1"/>
  <c r="L24" i="36" a="1"/>
  <c r="G22" i="36" a="1"/>
  <c r="F9" i="36" a="1"/>
  <c r="F10" i="36" a="1"/>
  <c r="H26" i="36" a="1"/>
  <c r="G9" i="36" a="1"/>
  <c r="H21" i="36" a="1"/>
  <c r="G18" i="36" a="1"/>
  <c r="L26" i="36" a="1"/>
  <c r="N22" i="36" a="1"/>
  <c r="M16" i="36" a="1"/>
  <c r="N14" i="36" a="1"/>
  <c r="F5" i="36" a="1"/>
  <c r="F11" i="36" a="1"/>
  <c r="N16" i="36" a="1"/>
  <c r="H31" i="36" a="1"/>
  <c r="N26" i="36" a="1"/>
  <c r="G10" i="36" a="1"/>
  <c r="F22" i="36" a="1"/>
  <c r="H22" i="36" a="1"/>
  <c r="M22" i="36" a="1"/>
  <c r="G11" i="36" a="1"/>
  <c r="M14" i="36" a="1"/>
  <c r="F20" i="36" a="1"/>
  <c r="F31" i="36" a="1"/>
  <c r="N24" i="36" a="1"/>
  <c r="H25" i="36" a="1"/>
  <c r="M26" i="36" a="1"/>
  <c r="H15" i="36" a="1"/>
  <c r="H9" i="36" a="1"/>
  <c r="L16" i="36" a="1"/>
  <c r="G26" i="36" a="1"/>
  <c r="L10" i="36" a="1"/>
  <c r="L22" i="36" a="1"/>
  <c r="F26" i="36" a="1"/>
  <c r="G25" i="36" a="1"/>
  <c r="L17" i="36" a="1"/>
  <c r="M24" i="36" a="1"/>
  <c r="M17" i="36" a="1"/>
  <c r="F13" i="36" a="1"/>
  <c r="H18" i="36" a="1"/>
  <c r="F15" i="36" a="1"/>
  <c r="F23" i="36" a="1"/>
  <c r="N28" i="36" a="1"/>
  <c r="F18" i="36" a="1"/>
  <c r="H17" i="36" a="1"/>
  <c r="M13" i="36" a="1"/>
  <c r="N11" i="36" a="1"/>
  <c r="L19" i="36" a="1"/>
  <c r="M21" i="36" a="1"/>
  <c r="N20" i="36" a="1"/>
  <c r="G32" i="36" a="1"/>
  <c r="F33" i="36" a="1"/>
  <c r="G12" i="36" a="1"/>
  <c r="G13" i="36" a="1"/>
  <c r="F16" i="36" a="1"/>
  <c r="H20" i="36" a="1"/>
  <c r="M12" i="36" a="1"/>
  <c r="F28" i="36" a="1"/>
  <c r="AC5" i="36" l="1"/>
  <c r="AD5" i="36"/>
  <c r="AE5" i="36"/>
  <c r="AF5" i="36"/>
  <c r="AG5" i="36"/>
  <c r="L24" i="36"/>
  <c r="M24" i="36"/>
  <c r="M16" i="36"/>
  <c r="L16" i="36"/>
  <c r="N16" i="36"/>
  <c r="G18" i="36"/>
  <c r="F18" i="36"/>
  <c r="H18" i="36"/>
  <c r="F28" i="36"/>
  <c r="G32" i="36"/>
  <c r="F13" i="36"/>
  <c r="G13" i="36"/>
  <c r="F15" i="36"/>
  <c r="G15" i="36"/>
  <c r="H15" i="36"/>
  <c r="F20" i="36"/>
  <c r="H20" i="36"/>
  <c r="M28" i="36"/>
  <c r="L28" i="36"/>
  <c r="N28" i="36"/>
  <c r="G22" i="36"/>
  <c r="F22" i="36"/>
  <c r="H22" i="36"/>
  <c r="G26" i="36"/>
  <c r="F26" i="36"/>
  <c r="H26" i="36"/>
  <c r="L10" i="36"/>
  <c r="M10" i="36"/>
  <c r="N10" i="36"/>
  <c r="H21" i="36"/>
  <c r="M12" i="36"/>
  <c r="G9" i="36"/>
  <c r="F9" i="36"/>
  <c r="H9" i="36"/>
  <c r="G31" i="36"/>
  <c r="F31" i="36"/>
  <c r="H31" i="36"/>
  <c r="L14" i="36"/>
  <c r="M14" i="36"/>
  <c r="N14" i="36"/>
  <c r="F11" i="36"/>
  <c r="G11" i="36"/>
  <c r="H11" i="36"/>
  <c r="G10" i="36"/>
  <c r="F10" i="36"/>
  <c r="H10" i="36"/>
  <c r="N11" i="36"/>
  <c r="N24" i="36"/>
  <c r="L17" i="36"/>
  <c r="M17" i="36"/>
  <c r="N17" i="36"/>
  <c r="F16" i="36"/>
  <c r="M21" i="36"/>
  <c r="F5" i="36"/>
  <c r="M26" i="36"/>
  <c r="D14" i="46" s="1"/>
  <c r="L26" i="36"/>
  <c r="C14" i="46" s="1"/>
  <c r="N26" i="36"/>
  <c r="E14" i="46" s="1"/>
  <c r="M13" i="36"/>
  <c r="L13" i="36"/>
  <c r="L22" i="36"/>
  <c r="M22" i="36"/>
  <c r="N22" i="36"/>
  <c r="N20" i="36"/>
  <c r="L19" i="36"/>
  <c r="G17" i="36"/>
  <c r="F17" i="36"/>
  <c r="H17" i="36"/>
  <c r="G25" i="36"/>
  <c r="F25" i="36"/>
  <c r="H25" i="36"/>
  <c r="G12" i="36"/>
  <c r="G23" i="36"/>
  <c r="F23" i="36"/>
  <c r="H23" i="36"/>
  <c r="F33" i="36"/>
  <c r="K5" i="36"/>
  <c r="A102" i="26"/>
  <c r="A103" i="26"/>
  <c r="A104" i="26"/>
  <c r="A100" i="26"/>
  <c r="L5" i="36" a="1"/>
  <c r="M5" i="36" a="1"/>
  <c r="P4" i="36" a="1"/>
  <c r="L4" i="36" a="1"/>
  <c r="M4" i="36" a="1"/>
  <c r="O4" i="36" a="1"/>
  <c r="N4" i="36" a="1"/>
  <c r="F12" i="36" a="1"/>
  <c r="G16" i="36" a="1"/>
  <c r="M20" i="36" a="1"/>
  <c r="H32" i="36" a="1"/>
  <c r="N19" i="36" a="1"/>
  <c r="N13" i="36" a="1"/>
  <c r="M19" i="36" a="1"/>
  <c r="H33" i="36" a="1"/>
  <c r="N21" i="36" a="1"/>
  <c r="F32" i="36" a="1"/>
  <c r="H16" i="36" a="1"/>
  <c r="L11" i="36" a="1"/>
  <c r="G20" i="36" a="1"/>
  <c r="L12" i="36" a="1"/>
  <c r="G28" i="36" a="1"/>
  <c r="H12" i="36" a="1"/>
  <c r="G33" i="36" a="1"/>
  <c r="L21" i="36" a="1"/>
  <c r="L20" i="36" a="1"/>
  <c r="H13" i="36" a="1"/>
  <c r="N12" i="36" a="1"/>
  <c r="M11" i="36" a="1"/>
  <c r="H28" i="36" a="1"/>
  <c r="H28" i="36" l="1"/>
  <c r="M11" i="36"/>
  <c r="N12" i="36"/>
  <c r="H13" i="36"/>
  <c r="L20" i="36"/>
  <c r="L21" i="36"/>
  <c r="G33" i="36"/>
  <c r="H12" i="36"/>
  <c r="G28" i="36"/>
  <c r="L12" i="36"/>
  <c r="G20" i="36"/>
  <c r="L11" i="36"/>
  <c r="H16" i="36"/>
  <c r="F32" i="36"/>
  <c r="N21" i="36"/>
  <c r="H33" i="36"/>
  <c r="M19" i="36"/>
  <c r="N13" i="36"/>
  <c r="N19" i="36"/>
  <c r="H32" i="36"/>
  <c r="M20" i="36"/>
  <c r="G16" i="36"/>
  <c r="F12" i="36"/>
  <c r="M25" i="36"/>
  <c r="D13" i="46"/>
  <c r="N25" i="36"/>
  <c r="E13" i="46"/>
  <c r="L25" i="36"/>
  <c r="C13" i="46"/>
  <c r="E12" i="46"/>
  <c r="D12" i="46"/>
  <c r="C12" i="46"/>
  <c r="C10" i="46"/>
  <c r="E10" i="46"/>
  <c r="D10" i="46"/>
  <c r="P4" i="36"/>
  <c r="O4" i="36"/>
  <c r="N4" i="36"/>
  <c r="M4" i="36"/>
  <c r="L4" i="36"/>
  <c r="L5" i="36"/>
  <c r="M5" i="36"/>
  <c r="Y25" i="20"/>
  <c r="X25" i="20"/>
  <c r="J25" i="20"/>
  <c r="A99" i="26"/>
  <c r="N5" i="36" a="1"/>
  <c r="AM6" i="43" l="1"/>
  <c r="N5" i="36"/>
  <c r="O5" i="36" a="1"/>
  <c r="O5" i="36" l="1"/>
  <c r="B22" i="24"/>
  <c r="P5" i="36" a="1"/>
  <c r="P5" i="36" l="1"/>
  <c r="E7" i="7" l="1"/>
  <c r="A53" i="26" l="1"/>
  <c r="A23" i="26"/>
  <c r="S19" i="38" s="1"/>
  <c r="A113" i="26"/>
  <c r="S19" i="43" s="1"/>
  <c r="A83" i="26"/>
  <c r="S19" i="44" s="1"/>
  <c r="D20" i="20"/>
  <c r="I40" i="7"/>
  <c r="J40" i="7"/>
  <c r="S19" i="42" l="1"/>
  <c r="Z22" i="20"/>
  <c r="Z9" i="20"/>
  <c r="Z18" i="20"/>
  <c r="Z17" i="20"/>
  <c r="Z14" i="20"/>
  <c r="Z8" i="20"/>
  <c r="Z10" i="20"/>
  <c r="Z11" i="20"/>
  <c r="Z16" i="20"/>
  <c r="Z12" i="20"/>
  <c r="Z15" i="20"/>
  <c r="Z19" i="20"/>
  <c r="Z13" i="20"/>
  <c r="Z20" i="20"/>
  <c r="Z21" i="20"/>
  <c r="Z7" i="20"/>
  <c r="AB12" i="20"/>
  <c r="AA12" i="20"/>
  <c r="AB14" i="20"/>
  <c r="AA14" i="20"/>
  <c r="AA13" i="20"/>
  <c r="AB13" i="20"/>
  <c r="AA10" i="20"/>
  <c r="AB10" i="20"/>
  <c r="AA9" i="20"/>
  <c r="AB9" i="20"/>
  <c r="AB18" i="20"/>
  <c r="AA18" i="20"/>
  <c r="AB17" i="20"/>
  <c r="AA17" i="20"/>
  <c r="AB19" i="20"/>
  <c r="AA19" i="20"/>
  <c r="AB15" i="20"/>
  <c r="AA15" i="20"/>
  <c r="AA8" i="20"/>
  <c r="AB8" i="20"/>
  <c r="AA16" i="20"/>
  <c r="AB16" i="20"/>
  <c r="AA22" i="20"/>
  <c r="AB22" i="20"/>
  <c r="AA21" i="20"/>
  <c r="AB21" i="20"/>
  <c r="AA20" i="20"/>
  <c r="AB20" i="20"/>
  <c r="AA7" i="20"/>
  <c r="AB7" i="20"/>
  <c r="AA11" i="20"/>
  <c r="AB11" i="20"/>
  <c r="L13" i="20"/>
  <c r="M13" i="20"/>
  <c r="L12" i="20"/>
  <c r="M12" i="20"/>
  <c r="L15" i="20"/>
  <c r="M15" i="20"/>
  <c r="L22" i="20"/>
  <c r="M22" i="20"/>
  <c r="L10" i="20"/>
  <c r="M10" i="20"/>
  <c r="L17" i="20"/>
  <c r="M17" i="20"/>
  <c r="M14" i="20"/>
  <c r="L14" i="20"/>
  <c r="L21" i="20"/>
  <c r="M21" i="20"/>
  <c r="L9" i="20"/>
  <c r="M9" i="20"/>
  <c r="L19" i="20"/>
  <c r="M19" i="20"/>
  <c r="L20" i="20"/>
  <c r="M20" i="20"/>
  <c r="L8" i="20"/>
  <c r="M8" i="20"/>
  <c r="M7" i="20"/>
  <c r="L7" i="20"/>
  <c r="L18" i="20"/>
  <c r="M18" i="20"/>
  <c r="M16" i="20"/>
  <c r="L16" i="20"/>
  <c r="L11" i="20"/>
  <c r="M11" i="20"/>
  <c r="I24" i="20"/>
  <c r="I25" i="20" s="1"/>
  <c r="J58" i="7"/>
  <c r="J57" i="7"/>
  <c r="J64" i="7"/>
  <c r="BF77" i="26" s="1"/>
  <c r="BF92" i="26" s="1"/>
  <c r="J66" i="7"/>
  <c r="BF79" i="26" s="1"/>
  <c r="BF94" i="26" s="1"/>
  <c r="J59" i="7"/>
  <c r="BF72" i="26" s="1"/>
  <c r="BF87" i="26" s="1"/>
  <c r="J60" i="7"/>
  <c r="BF73" i="26" s="1"/>
  <c r="BF88" i="26" s="1"/>
  <c r="J65" i="7"/>
  <c r="BF78" i="26" s="1"/>
  <c r="BF93" i="26" s="1"/>
  <c r="J68" i="7"/>
  <c r="BF81" i="26" s="1"/>
  <c r="BF96" i="26" s="1"/>
  <c r="J62" i="7"/>
  <c r="BF75" i="26" s="1"/>
  <c r="BF90" i="26" s="1"/>
  <c r="J67" i="7"/>
  <c r="BF80" i="26" s="1"/>
  <c r="BF95" i="26" s="1"/>
  <c r="J61" i="7"/>
  <c r="BF74" i="26" s="1"/>
  <c r="BF89" i="26" s="1"/>
  <c r="J63" i="7"/>
  <c r="BF76" i="26" s="1"/>
  <c r="BF91" i="26" s="1"/>
  <c r="AN20" i="38" l="1"/>
  <c r="AN24" i="38"/>
  <c r="AN22" i="38"/>
  <c r="AN21" i="38"/>
  <c r="AN23" i="38"/>
  <c r="AN29" i="38"/>
  <c r="AN30" i="38"/>
  <c r="AN26" i="38"/>
  <c r="AN25" i="38"/>
  <c r="AN28" i="38"/>
  <c r="AN27" i="38"/>
  <c r="AN31" i="38"/>
  <c r="M57" i="7"/>
  <c r="M58" i="7"/>
  <c r="M61" i="7"/>
  <c r="BH74" i="26" s="1"/>
  <c r="BH89" i="26" s="1"/>
  <c r="M60" i="7"/>
  <c r="BH73" i="26" s="1"/>
  <c r="BH88" i="26" s="1"/>
  <c r="M62" i="7"/>
  <c r="BH75" i="26" s="1"/>
  <c r="BH90" i="26" s="1"/>
  <c r="M66" i="7"/>
  <c r="BH79" i="26" s="1"/>
  <c r="BH94" i="26" s="1"/>
  <c r="M67" i="7"/>
  <c r="BH80" i="26" s="1"/>
  <c r="BH95" i="26" s="1"/>
  <c r="M68" i="7"/>
  <c r="BH81" i="26" s="1"/>
  <c r="BH96" i="26" s="1"/>
  <c r="M63" i="7"/>
  <c r="BH76" i="26" s="1"/>
  <c r="BH91" i="26" s="1"/>
  <c r="M65" i="7"/>
  <c r="BH78" i="26" s="1"/>
  <c r="BH93" i="26" s="1"/>
  <c r="M64" i="7"/>
  <c r="BH77" i="26" s="1"/>
  <c r="BH92" i="26" s="1"/>
  <c r="M59" i="7"/>
  <c r="BH72" i="26" s="1"/>
  <c r="BH87" i="26" s="1"/>
  <c r="I58" i="7"/>
  <c r="I57" i="7"/>
  <c r="I66" i="7"/>
  <c r="I59" i="7"/>
  <c r="I64" i="7"/>
  <c r="I63" i="7"/>
  <c r="I60" i="7"/>
  <c r="I67" i="7"/>
  <c r="I68" i="7"/>
  <c r="I65" i="7"/>
  <c r="I62" i="7"/>
  <c r="I61" i="7"/>
  <c r="L76" i="26"/>
  <c r="L91" i="26" s="1"/>
  <c r="U76" i="26"/>
  <c r="U91" i="26" s="1"/>
  <c r="D76" i="26"/>
  <c r="D91" i="26" s="1"/>
  <c r="D74" i="26"/>
  <c r="D89" i="26" s="1"/>
  <c r="L74" i="26"/>
  <c r="L89" i="26" s="1"/>
  <c r="U74" i="26"/>
  <c r="U89" i="26" s="1"/>
  <c r="D80" i="26"/>
  <c r="D95" i="26" s="1"/>
  <c r="L80" i="26"/>
  <c r="L95" i="26" s="1"/>
  <c r="U80" i="26"/>
  <c r="U95" i="26" s="1"/>
  <c r="L75" i="26"/>
  <c r="L90" i="26" s="1"/>
  <c r="U75" i="26"/>
  <c r="U90" i="26" s="1"/>
  <c r="D75" i="26"/>
  <c r="D90" i="26" s="1"/>
  <c r="D78" i="26"/>
  <c r="D93" i="26" s="1"/>
  <c r="U78" i="26"/>
  <c r="U93" i="26" s="1"/>
  <c r="L78" i="26"/>
  <c r="L93" i="26" s="1"/>
  <c r="L73" i="26"/>
  <c r="L88" i="26" s="1"/>
  <c r="U73" i="26"/>
  <c r="U88" i="26" s="1"/>
  <c r="D73" i="26"/>
  <c r="D88" i="26" s="1"/>
  <c r="L72" i="26"/>
  <c r="L87" i="26" s="1"/>
  <c r="D72" i="26"/>
  <c r="D87" i="26" s="1"/>
  <c r="U72" i="26"/>
  <c r="U87" i="26" s="1"/>
  <c r="L81" i="26"/>
  <c r="L96" i="26" s="1"/>
  <c r="D81" i="26"/>
  <c r="D96" i="26" s="1"/>
  <c r="U81" i="26"/>
  <c r="U96" i="26" s="1"/>
  <c r="L58" i="7"/>
  <c r="L57" i="7"/>
  <c r="H69" i="26" s="1"/>
  <c r="L61" i="7"/>
  <c r="H74" i="26" s="1"/>
  <c r="L63" i="7"/>
  <c r="H76" i="26" s="1"/>
  <c r="L64" i="7"/>
  <c r="H77" i="26" s="1"/>
  <c r="L62" i="7"/>
  <c r="H75" i="26" s="1"/>
  <c r="L59" i="7"/>
  <c r="H72" i="26" s="1"/>
  <c r="L60" i="7"/>
  <c r="H73" i="26" s="1"/>
  <c r="L68" i="7"/>
  <c r="H81" i="26" s="1"/>
  <c r="L66" i="7"/>
  <c r="H79" i="26" s="1"/>
  <c r="L67" i="7"/>
  <c r="H80" i="26" s="1"/>
  <c r="L65" i="7"/>
  <c r="H78" i="26" s="1"/>
  <c r="U79" i="26"/>
  <c r="U94" i="26" s="1"/>
  <c r="L79" i="26"/>
  <c r="L94" i="26" s="1"/>
  <c r="D79" i="26"/>
  <c r="D94" i="26" s="1"/>
  <c r="K58" i="7"/>
  <c r="K57" i="7"/>
  <c r="K60" i="7"/>
  <c r="BG73" i="26" s="1"/>
  <c r="BG88" i="26" s="1"/>
  <c r="K59" i="7"/>
  <c r="BG72" i="26" s="1"/>
  <c r="BG87" i="26" s="1"/>
  <c r="K64" i="7"/>
  <c r="BG77" i="26" s="1"/>
  <c r="BG92" i="26" s="1"/>
  <c r="K68" i="7"/>
  <c r="BG81" i="26" s="1"/>
  <c r="BG96" i="26" s="1"/>
  <c r="K61" i="7"/>
  <c r="BG74" i="26" s="1"/>
  <c r="BG89" i="26" s="1"/>
  <c r="K62" i="7"/>
  <c r="BG75" i="26" s="1"/>
  <c r="BG90" i="26" s="1"/>
  <c r="K66" i="7"/>
  <c r="BG79" i="26" s="1"/>
  <c r="BG94" i="26" s="1"/>
  <c r="K63" i="7"/>
  <c r="BG76" i="26" s="1"/>
  <c r="BG91" i="26" s="1"/>
  <c r="K67" i="7"/>
  <c r="BG80" i="26" s="1"/>
  <c r="BG95" i="26" s="1"/>
  <c r="K65" i="7"/>
  <c r="BG78" i="26" s="1"/>
  <c r="BG93" i="26" s="1"/>
  <c r="L77" i="26"/>
  <c r="L92" i="26" s="1"/>
  <c r="D77" i="26"/>
  <c r="D92" i="26" s="1"/>
  <c r="U77" i="26"/>
  <c r="U92" i="26" s="1"/>
  <c r="U69" i="26"/>
  <c r="U84" i="26" s="1"/>
  <c r="D69" i="26"/>
  <c r="D84" i="26" s="1"/>
  <c r="L69" i="26"/>
  <c r="L84" i="26" s="1"/>
  <c r="D70" i="26"/>
  <c r="D85" i="26" s="1"/>
  <c r="U70" i="26"/>
  <c r="U85" i="26" s="1"/>
  <c r="D71" i="26"/>
  <c r="D86" i="26" s="1"/>
  <c r="U71" i="26"/>
  <c r="U86" i="26" s="1"/>
  <c r="L71" i="26"/>
  <c r="L86" i="26" s="1"/>
  <c r="L70" i="26"/>
  <c r="L85" i="26" s="1"/>
  <c r="L85" i="7"/>
  <c r="L87" i="7"/>
  <c r="H104" i="26" s="1"/>
  <c r="L89" i="7"/>
  <c r="H106" i="26" s="1"/>
  <c r="L91" i="7"/>
  <c r="H108" i="26" s="1"/>
  <c r="L93" i="7"/>
  <c r="H110" i="26" s="1"/>
  <c r="L83" i="7"/>
  <c r="H99" i="26" s="1"/>
  <c r="L84" i="7"/>
  <c r="H100" i="26" s="1"/>
  <c r="L88" i="7"/>
  <c r="H105" i="26" s="1"/>
  <c r="L90" i="7"/>
  <c r="H107" i="26" s="1"/>
  <c r="L94" i="7"/>
  <c r="H111" i="26" s="1"/>
  <c r="L86" i="7"/>
  <c r="H103" i="26" s="1"/>
  <c r="L92" i="7"/>
  <c r="H109" i="26" s="1"/>
  <c r="I84" i="7"/>
  <c r="I92" i="7"/>
  <c r="I93" i="7"/>
  <c r="I86" i="7"/>
  <c r="I94" i="7"/>
  <c r="I87" i="7"/>
  <c r="I88" i="7"/>
  <c r="I89" i="7"/>
  <c r="I90" i="7"/>
  <c r="I91" i="7"/>
  <c r="I83" i="7"/>
  <c r="K85" i="7"/>
  <c r="BG102" i="26" s="1"/>
  <c r="BG117" i="26" s="1"/>
  <c r="K87" i="7"/>
  <c r="BG104" i="26" s="1"/>
  <c r="BG119" i="26" s="1"/>
  <c r="K89" i="7"/>
  <c r="BG106" i="26" s="1"/>
  <c r="BG121" i="26" s="1"/>
  <c r="K91" i="7"/>
  <c r="BG108" i="26" s="1"/>
  <c r="BG123" i="26" s="1"/>
  <c r="K93" i="7"/>
  <c r="BG110" i="26" s="1"/>
  <c r="BG125" i="26" s="1"/>
  <c r="K83" i="7"/>
  <c r="K84" i="7"/>
  <c r="K86" i="7"/>
  <c r="BG103" i="26" s="1"/>
  <c r="BG118" i="26" s="1"/>
  <c r="K88" i="7"/>
  <c r="BG105" i="26" s="1"/>
  <c r="BG120" i="26" s="1"/>
  <c r="K90" i="7"/>
  <c r="BG107" i="26" s="1"/>
  <c r="BG122" i="26" s="1"/>
  <c r="K92" i="7"/>
  <c r="BG109" i="26" s="1"/>
  <c r="BG124" i="26" s="1"/>
  <c r="K94" i="7"/>
  <c r="BG111" i="26" s="1"/>
  <c r="BG126" i="26" s="1"/>
  <c r="M83" i="7"/>
  <c r="M87" i="7"/>
  <c r="BH104" i="26" s="1"/>
  <c r="BH119" i="26" s="1"/>
  <c r="M89" i="7"/>
  <c r="BH106" i="26" s="1"/>
  <c r="BH121" i="26" s="1"/>
  <c r="M93" i="7"/>
  <c r="BH110" i="26" s="1"/>
  <c r="BH125" i="26" s="1"/>
  <c r="M84" i="7"/>
  <c r="M86" i="7"/>
  <c r="BH103" i="26" s="1"/>
  <c r="BH118" i="26" s="1"/>
  <c r="M88" i="7"/>
  <c r="BH105" i="26" s="1"/>
  <c r="BH120" i="26" s="1"/>
  <c r="M90" i="7"/>
  <c r="BH107" i="26" s="1"/>
  <c r="BH122" i="26" s="1"/>
  <c r="M92" i="7"/>
  <c r="BH109" i="26" s="1"/>
  <c r="BH124" i="26" s="1"/>
  <c r="M94" i="7"/>
  <c r="BH111" i="26" s="1"/>
  <c r="BH126" i="26" s="1"/>
  <c r="M85" i="7"/>
  <c r="BH102" i="26" s="1"/>
  <c r="BH117" i="26" s="1"/>
  <c r="M91" i="7"/>
  <c r="BH108" i="26" s="1"/>
  <c r="BH123" i="26" s="1"/>
  <c r="J83" i="7"/>
  <c r="J85" i="7"/>
  <c r="BF102" i="26" s="1"/>
  <c r="BF117" i="26" s="1"/>
  <c r="J87" i="7"/>
  <c r="BF104" i="26" s="1"/>
  <c r="BF119" i="26" s="1"/>
  <c r="J89" i="7"/>
  <c r="BF106" i="26" s="1"/>
  <c r="BF121" i="26" s="1"/>
  <c r="J91" i="7"/>
  <c r="BF108" i="26" s="1"/>
  <c r="BF123" i="26" s="1"/>
  <c r="J93" i="7"/>
  <c r="BF110" i="26" s="1"/>
  <c r="BF125" i="26" s="1"/>
  <c r="J84" i="7"/>
  <c r="J86" i="7"/>
  <c r="BF103" i="26" s="1"/>
  <c r="BF118" i="26" s="1"/>
  <c r="J88" i="7"/>
  <c r="BF105" i="26" s="1"/>
  <c r="BF120" i="26" s="1"/>
  <c r="J90" i="7"/>
  <c r="BF107" i="26" s="1"/>
  <c r="BF122" i="26" s="1"/>
  <c r="J92" i="7"/>
  <c r="BF109" i="26" s="1"/>
  <c r="BF124" i="26" s="1"/>
  <c r="J94" i="7"/>
  <c r="BF111" i="26" s="1"/>
  <c r="BF126" i="26" s="1"/>
  <c r="AL20" i="38"/>
  <c r="BP13" i="26"/>
  <c r="BP15" i="26"/>
  <c r="BM19" i="26"/>
  <c r="BP19" i="26"/>
  <c r="BM14" i="26"/>
  <c r="BP18" i="26"/>
  <c r="BM20" i="26"/>
  <c r="BM13" i="26"/>
  <c r="BP20" i="26"/>
  <c r="BP21" i="26"/>
  <c r="BP16" i="26"/>
  <c r="BM12" i="26"/>
  <c r="BP17" i="26"/>
  <c r="BM15" i="26"/>
  <c r="BP14" i="26"/>
  <c r="BM21" i="26"/>
  <c r="BP12" i="26"/>
  <c r="BM18" i="26"/>
  <c r="BM17" i="26"/>
  <c r="BM16" i="26"/>
  <c r="BN14" i="26"/>
  <c r="BL21" i="26"/>
  <c r="BN13" i="26"/>
  <c r="BN12" i="26"/>
  <c r="BL17" i="26"/>
  <c r="BL15" i="26"/>
  <c r="BL19" i="26"/>
  <c r="BN15" i="26"/>
  <c r="BN16" i="26"/>
  <c r="BL14" i="26"/>
  <c r="BN20" i="26"/>
  <c r="BN17" i="26"/>
  <c r="BL20" i="26"/>
  <c r="BN21" i="26"/>
  <c r="BL12" i="26"/>
  <c r="AL6" i="43"/>
  <c r="BL16" i="26"/>
  <c r="BN18" i="26"/>
  <c r="BL13" i="26"/>
  <c r="BL18" i="26"/>
  <c r="BN19" i="26"/>
  <c r="I18" i="45" l="1"/>
  <c r="H18" i="45"/>
  <c r="AN20" i="43"/>
  <c r="BC106" i="26"/>
  <c r="AL15" i="43" s="1"/>
  <c r="BD106" i="26"/>
  <c r="AM17" i="43" s="1"/>
  <c r="BE106" i="26"/>
  <c r="BE121" i="26" s="1"/>
  <c r="AN25" i="43" s="1"/>
  <c r="BC105" i="26"/>
  <c r="BC120" i="26" s="1"/>
  <c r="BD105" i="26"/>
  <c r="BD120" i="26" s="1"/>
  <c r="BE105" i="26"/>
  <c r="BE120" i="26" s="1"/>
  <c r="AN23" i="43" s="1"/>
  <c r="BC110" i="26"/>
  <c r="BC125" i="26" s="1"/>
  <c r="BE110" i="26"/>
  <c r="BE125" i="26" s="1"/>
  <c r="BD110" i="26"/>
  <c r="BD125" i="26" s="1"/>
  <c r="BD109" i="26"/>
  <c r="BD124" i="26" s="1"/>
  <c r="BC109" i="26"/>
  <c r="BC124" i="26" s="1"/>
  <c r="BE109" i="26"/>
  <c r="BE124" i="26" s="1"/>
  <c r="BC111" i="26"/>
  <c r="BC126" i="26" s="1"/>
  <c r="BE111" i="26"/>
  <c r="BE126" i="26" s="1"/>
  <c r="BD111" i="26"/>
  <c r="BD126" i="26" s="1"/>
  <c r="BE104" i="26"/>
  <c r="BE119" i="26" s="1"/>
  <c r="AN22" i="43" s="1"/>
  <c r="BC104" i="26"/>
  <c r="BD104" i="26"/>
  <c r="BC103" i="26"/>
  <c r="BC118" i="26" s="1"/>
  <c r="BE103" i="26"/>
  <c r="BE118" i="26" s="1"/>
  <c r="AN21" i="43" s="1"/>
  <c r="BD103" i="26"/>
  <c r="BD118" i="26" s="1"/>
  <c r="BE108" i="26"/>
  <c r="BE123" i="26" s="1"/>
  <c r="BC108" i="26"/>
  <c r="BC123" i="26" s="1"/>
  <c r="BD108" i="26"/>
  <c r="BD123" i="26" s="1"/>
  <c r="BC107" i="26"/>
  <c r="BC122" i="26" s="1"/>
  <c r="BE107" i="26"/>
  <c r="BE122" i="26" s="1"/>
  <c r="BD107" i="26"/>
  <c r="BD122" i="26" s="1"/>
  <c r="BC78" i="26"/>
  <c r="BC93" i="26" s="1"/>
  <c r="BD78" i="26"/>
  <c r="BD93" i="26" s="1"/>
  <c r="BE78" i="26"/>
  <c r="BE93" i="26" s="1"/>
  <c r="BD81" i="26"/>
  <c r="BD96" i="26" s="1"/>
  <c r="BE81" i="26"/>
  <c r="BE96" i="26" s="1"/>
  <c r="BC81" i="26"/>
  <c r="BC96" i="26" s="1"/>
  <c r="BC75" i="26"/>
  <c r="BC90" i="26" s="1"/>
  <c r="BD75" i="26"/>
  <c r="BD90" i="26" s="1"/>
  <c r="BE75" i="26"/>
  <c r="BE90" i="26" s="1"/>
  <c r="BC80" i="26"/>
  <c r="BC95" i="26" s="1"/>
  <c r="BE80" i="26"/>
  <c r="BE95" i="26" s="1"/>
  <c r="BD80" i="26"/>
  <c r="BD95" i="26" s="1"/>
  <c r="BE73" i="26"/>
  <c r="BE88" i="26" s="1"/>
  <c r="AN21" i="44" s="1"/>
  <c r="BD73" i="26"/>
  <c r="BD88" i="26" s="1"/>
  <c r="BC73" i="26"/>
  <c r="BC88" i="26" s="1"/>
  <c r="BE76" i="26"/>
  <c r="BE91" i="26" s="1"/>
  <c r="BC76" i="26"/>
  <c r="BC91" i="26" s="1"/>
  <c r="BD76" i="26"/>
  <c r="BD91" i="26" s="1"/>
  <c r="BC79" i="26"/>
  <c r="BC94" i="26" s="1"/>
  <c r="BD79" i="26"/>
  <c r="BD94" i="26" s="1"/>
  <c r="BE79" i="26"/>
  <c r="BE94" i="26" s="1"/>
  <c r="BC74" i="26"/>
  <c r="BD74" i="26"/>
  <c r="BE74" i="26"/>
  <c r="BE89" i="26" s="1"/>
  <c r="BC77" i="26"/>
  <c r="BC92" i="26" s="1"/>
  <c r="BE77" i="26"/>
  <c r="BE92" i="26" s="1"/>
  <c r="BD77" i="26"/>
  <c r="BD92" i="26" s="1"/>
  <c r="BE72" i="26"/>
  <c r="BE87" i="26" s="1"/>
  <c r="AN20" i="44" s="1"/>
  <c r="BD72" i="26"/>
  <c r="BD87" i="26" s="1"/>
  <c r="BC72" i="26"/>
  <c r="BC87" i="26" s="1"/>
  <c r="AN6" i="43"/>
  <c r="AX6" i="43"/>
  <c r="AX6" i="42"/>
  <c r="D7" i="38"/>
  <c r="AX6" i="38"/>
  <c r="AY6" i="38"/>
  <c r="AY6" i="43"/>
  <c r="AY6" i="42"/>
  <c r="D8" i="38"/>
  <c r="AW6" i="42"/>
  <c r="D6" i="38"/>
  <c r="AW6" i="43"/>
  <c r="AW6" i="38"/>
  <c r="BA6" i="42"/>
  <c r="D10" i="38"/>
  <c r="BA6" i="43"/>
  <c r="BA6" i="38"/>
  <c r="BA8" i="43"/>
  <c r="AW8" i="43"/>
  <c r="AL16" i="43"/>
  <c r="AL17" i="43"/>
  <c r="AY12" i="43"/>
  <c r="BA12" i="43"/>
  <c r="AW12" i="43"/>
  <c r="AX12" i="43"/>
  <c r="AX8" i="43"/>
  <c r="AL10" i="43"/>
  <c r="AY8" i="43"/>
  <c r="AW10" i="43"/>
  <c r="AW9" i="43"/>
  <c r="AW11" i="43"/>
  <c r="AW7" i="43"/>
  <c r="AX15" i="43"/>
  <c r="AX13" i="43"/>
  <c r="AX17" i="43"/>
  <c r="AX14" i="43"/>
  <c r="AX16" i="43"/>
  <c r="AY16" i="43"/>
  <c r="AY14" i="43"/>
  <c r="AY17" i="43"/>
  <c r="AY13" i="43"/>
  <c r="AY15" i="43"/>
  <c r="BA10" i="43"/>
  <c r="BA9" i="43"/>
  <c r="AY10" i="43"/>
  <c r="AY9" i="43"/>
  <c r="BA11" i="43"/>
  <c r="BA7" i="43"/>
  <c r="AY11" i="43"/>
  <c r="AY7" i="43"/>
  <c r="AX10" i="43"/>
  <c r="AX9" i="43"/>
  <c r="AX11" i="43"/>
  <c r="AX7" i="43"/>
  <c r="AW15" i="43"/>
  <c r="AW14" i="43"/>
  <c r="AW13" i="43"/>
  <c r="AW16" i="43"/>
  <c r="AW17" i="43"/>
  <c r="BA15" i="43"/>
  <c r="BA13" i="43"/>
  <c r="BA14" i="43"/>
  <c r="BA17" i="43"/>
  <c r="BA16" i="43"/>
  <c r="AY13" i="42"/>
  <c r="AY17" i="42"/>
  <c r="AY16" i="42"/>
  <c r="AY14" i="42"/>
  <c r="AY15" i="42"/>
  <c r="N8" i="38"/>
  <c r="K8" i="38"/>
  <c r="M8" i="38"/>
  <c r="O8" i="38"/>
  <c r="L8" i="38"/>
  <c r="AY9" i="42"/>
  <c r="AY10" i="42"/>
  <c r="H8" i="38"/>
  <c r="G8" i="38"/>
  <c r="BA7" i="42"/>
  <c r="BA11" i="42"/>
  <c r="E10" i="38"/>
  <c r="I10" i="38"/>
  <c r="AY7" i="42"/>
  <c r="AY11" i="42"/>
  <c r="E8" i="38"/>
  <c r="I8" i="38"/>
  <c r="AX7" i="42"/>
  <c r="AX11" i="42"/>
  <c r="I7" i="38"/>
  <c r="E7" i="38"/>
  <c r="AW13" i="42"/>
  <c r="AW17" i="42"/>
  <c r="AW16" i="42"/>
  <c r="AW14" i="42"/>
  <c r="AW15" i="42"/>
  <c r="L6" i="38"/>
  <c r="M6" i="38"/>
  <c r="O6" i="38"/>
  <c r="N6" i="38"/>
  <c r="K6" i="38"/>
  <c r="BA13" i="42"/>
  <c r="BA16" i="42"/>
  <c r="BA17" i="42"/>
  <c r="BA15" i="42"/>
  <c r="BA14" i="42"/>
  <c r="O10" i="38"/>
  <c r="K10" i="38"/>
  <c r="L10" i="38"/>
  <c r="N10" i="38"/>
  <c r="M10" i="38"/>
  <c r="AY12" i="42"/>
  <c r="J8" i="38"/>
  <c r="J11" i="42"/>
  <c r="AW12" i="42"/>
  <c r="J6" i="38"/>
  <c r="AX12" i="42"/>
  <c r="J7" i="38"/>
  <c r="AX9" i="42"/>
  <c r="AX10" i="42"/>
  <c r="H7" i="38"/>
  <c r="G7" i="38"/>
  <c r="BA8" i="42"/>
  <c r="F10" i="38"/>
  <c r="AX8" i="42"/>
  <c r="F7" i="38"/>
  <c r="AW8" i="42"/>
  <c r="F6" i="38"/>
  <c r="AW7" i="42"/>
  <c r="AW11" i="42"/>
  <c r="I6" i="38"/>
  <c r="E6" i="38"/>
  <c r="BA9" i="42"/>
  <c r="BA10" i="42"/>
  <c r="G10" i="38"/>
  <c r="H10" i="38"/>
  <c r="AY8" i="42"/>
  <c r="F8" i="38"/>
  <c r="BA12" i="42"/>
  <c r="J10" i="38"/>
  <c r="AW10" i="42"/>
  <c r="AW9" i="42"/>
  <c r="G6" i="38"/>
  <c r="H6" i="38"/>
  <c r="AX16" i="42"/>
  <c r="AX17" i="42"/>
  <c r="AX14" i="42"/>
  <c r="AX15" i="42"/>
  <c r="AX13" i="42"/>
  <c r="O7" i="38"/>
  <c r="M7" i="38"/>
  <c r="N7" i="38"/>
  <c r="K7" i="38"/>
  <c r="L7" i="38"/>
  <c r="BA9" i="38"/>
  <c r="AM24" i="38"/>
  <c r="AL23" i="38"/>
  <c r="AY8" i="38"/>
  <c r="AL22" i="38"/>
  <c r="BA10" i="38"/>
  <c r="AW8" i="38"/>
  <c r="AX10" i="38"/>
  <c r="AY7" i="38"/>
  <c r="BA7" i="38"/>
  <c r="BA8" i="38"/>
  <c r="AX7" i="38"/>
  <c r="AM22" i="38"/>
  <c r="AX8" i="38"/>
  <c r="AL24" i="38"/>
  <c r="AY9" i="38"/>
  <c r="AX9" i="38"/>
  <c r="AL21" i="38"/>
  <c r="AY10" i="38"/>
  <c r="AW10" i="38"/>
  <c r="AM21" i="38"/>
  <c r="AW7" i="38"/>
  <c r="AW9" i="38"/>
  <c r="AM23" i="38"/>
  <c r="AL27" i="38"/>
  <c r="AL28" i="38"/>
  <c r="AL29" i="38"/>
  <c r="AL26" i="38"/>
  <c r="AL31" i="38"/>
  <c r="AL25" i="38"/>
  <c r="AL30" i="38"/>
  <c r="AW16" i="38"/>
  <c r="AW14" i="38"/>
  <c r="AW17" i="38"/>
  <c r="AW12" i="38"/>
  <c r="AW15" i="38"/>
  <c r="AW11" i="38"/>
  <c r="AW13" i="38"/>
  <c r="BA13" i="38"/>
  <c r="BA17" i="38"/>
  <c r="BA16" i="38"/>
  <c r="BA14" i="38"/>
  <c r="BA12" i="38"/>
  <c r="BA11" i="38"/>
  <c r="BA15" i="38"/>
  <c r="AM27" i="38"/>
  <c r="AM31" i="38"/>
  <c r="AM29" i="38"/>
  <c r="AM26" i="38"/>
  <c r="AM28" i="38"/>
  <c r="AM25" i="38"/>
  <c r="AM30" i="38"/>
  <c r="AY13" i="38"/>
  <c r="AY16" i="38"/>
  <c r="AY17" i="38"/>
  <c r="AY11" i="38"/>
  <c r="AY14" i="38"/>
  <c r="AY12" i="38"/>
  <c r="AY15" i="38"/>
  <c r="AX16" i="38"/>
  <c r="AX13" i="38"/>
  <c r="AX14" i="38"/>
  <c r="AX17" i="38"/>
  <c r="AX12" i="38"/>
  <c r="AX11" i="38"/>
  <c r="AX15" i="38"/>
  <c r="BI34" i="26"/>
  <c r="BI27" i="26"/>
  <c r="BI36" i="26"/>
  <c r="BI29" i="26"/>
  <c r="BI30" i="26"/>
  <c r="BI33" i="26"/>
  <c r="BI102" i="26"/>
  <c r="BI31" i="26"/>
  <c r="BI28" i="26"/>
  <c r="BI32" i="26"/>
  <c r="BI35" i="26"/>
  <c r="AW78" i="26"/>
  <c r="BO78" i="26" s="1"/>
  <c r="H93" i="26"/>
  <c r="AW93" i="26" s="1"/>
  <c r="BO93" i="26" s="1"/>
  <c r="AW80" i="26"/>
  <c r="BO80" i="26" s="1"/>
  <c r="H95" i="26"/>
  <c r="AW95" i="26" s="1"/>
  <c r="BO95" i="26" s="1"/>
  <c r="AW79" i="26"/>
  <c r="BO79" i="26" s="1"/>
  <c r="H94" i="26"/>
  <c r="AW94" i="26" s="1"/>
  <c r="BO94" i="26" s="1"/>
  <c r="AW81" i="26"/>
  <c r="BO81" i="26" s="1"/>
  <c r="H96" i="26"/>
  <c r="AW96" i="26" s="1"/>
  <c r="BO96" i="26" s="1"/>
  <c r="AW73" i="26"/>
  <c r="BO73" i="26" s="1"/>
  <c r="H88" i="26"/>
  <c r="AW88" i="26" s="1"/>
  <c r="BO88" i="26" s="1"/>
  <c r="AW72" i="26"/>
  <c r="BO72" i="26" s="1"/>
  <c r="H87" i="26"/>
  <c r="AW87" i="26" s="1"/>
  <c r="BO87" i="26" s="1"/>
  <c r="AW75" i="26"/>
  <c r="BO75" i="26" s="1"/>
  <c r="H90" i="26"/>
  <c r="AW90" i="26" s="1"/>
  <c r="BO90" i="26" s="1"/>
  <c r="AW77" i="26"/>
  <c r="BO77" i="26" s="1"/>
  <c r="H92" i="26"/>
  <c r="AW92" i="26" s="1"/>
  <c r="BO92" i="26" s="1"/>
  <c r="AW76" i="26"/>
  <c r="BO76" i="26" s="1"/>
  <c r="H91" i="26"/>
  <c r="AW91" i="26" s="1"/>
  <c r="BO91" i="26" s="1"/>
  <c r="AW74" i="26"/>
  <c r="BO74" i="26" s="1"/>
  <c r="H89" i="26"/>
  <c r="AW89" i="26" s="1"/>
  <c r="BO89" i="26" s="1"/>
  <c r="AW69" i="26"/>
  <c r="BO69" i="26" s="1"/>
  <c r="H84" i="26"/>
  <c r="AW84" i="26" s="1"/>
  <c r="BO84" i="26" s="1"/>
  <c r="AL20" i="43"/>
  <c r="AM20" i="43"/>
  <c r="AW109" i="26"/>
  <c r="BO109" i="26" s="1"/>
  <c r="H124" i="26"/>
  <c r="AW124" i="26" s="1"/>
  <c r="BO124" i="26" s="1"/>
  <c r="AW103" i="26"/>
  <c r="BO103" i="26" s="1"/>
  <c r="H118" i="26"/>
  <c r="AW118" i="26" s="1"/>
  <c r="BO118" i="26" s="1"/>
  <c r="AW111" i="26"/>
  <c r="BO111" i="26" s="1"/>
  <c r="H126" i="26"/>
  <c r="AW126" i="26" s="1"/>
  <c r="BO126" i="26" s="1"/>
  <c r="AW107" i="26"/>
  <c r="BO107" i="26" s="1"/>
  <c r="H122" i="26"/>
  <c r="AW122" i="26" s="1"/>
  <c r="BO122" i="26" s="1"/>
  <c r="AW105" i="26"/>
  <c r="BO105" i="26" s="1"/>
  <c r="H120" i="26"/>
  <c r="AW120" i="26" s="1"/>
  <c r="BO120" i="26" s="1"/>
  <c r="AW100" i="26"/>
  <c r="BO100" i="26" s="1"/>
  <c r="H115" i="26"/>
  <c r="AW115" i="26" s="1"/>
  <c r="BO115" i="26" s="1"/>
  <c r="AW99" i="26"/>
  <c r="BO99" i="26" s="1"/>
  <c r="H114" i="26"/>
  <c r="AW114" i="26" s="1"/>
  <c r="BO114" i="26" s="1"/>
  <c r="AW110" i="26"/>
  <c r="BO110" i="26" s="1"/>
  <c r="H125" i="26"/>
  <c r="AW125" i="26" s="1"/>
  <c r="BO125" i="26" s="1"/>
  <c r="AW106" i="26"/>
  <c r="BO106" i="26" s="1"/>
  <c r="H121" i="26"/>
  <c r="AW121" i="26" s="1"/>
  <c r="BO121" i="26" s="1"/>
  <c r="AW104" i="26"/>
  <c r="BO104" i="26" s="1"/>
  <c r="H119" i="26"/>
  <c r="AW119" i="26" s="1"/>
  <c r="BO119" i="26" s="1"/>
  <c r="AW108" i="26"/>
  <c r="BO108" i="26" s="1"/>
  <c r="H123" i="26"/>
  <c r="AW123" i="26" s="1"/>
  <c r="BO123" i="26" s="1"/>
  <c r="J80" i="26"/>
  <c r="Q80" i="26"/>
  <c r="N80" i="26"/>
  <c r="Z80" i="26"/>
  <c r="Z95" i="26" s="1"/>
  <c r="P80" i="26"/>
  <c r="I80" i="26"/>
  <c r="AA80" i="26"/>
  <c r="AA95" i="26" s="1"/>
  <c r="AU95" i="26" s="1"/>
  <c r="BM95" i="26" s="1"/>
  <c r="G80" i="26"/>
  <c r="T80" i="26"/>
  <c r="T95" i="26" s="1"/>
  <c r="O80" i="26"/>
  <c r="Y80" i="26"/>
  <c r="C80" i="26"/>
  <c r="C95" i="26" s="1"/>
  <c r="R80" i="26"/>
  <c r="X80" i="26"/>
  <c r="S80" i="26"/>
  <c r="K80" i="26"/>
  <c r="K95" i="26" s="1"/>
  <c r="E100" i="26"/>
  <c r="E115" i="26" s="1"/>
  <c r="M100" i="26"/>
  <c r="M115" i="26" s="1"/>
  <c r="V100" i="26"/>
  <c r="V115" i="26" s="1"/>
  <c r="P73" i="26"/>
  <c r="R73" i="26"/>
  <c r="C73" i="26"/>
  <c r="C88" i="26" s="1"/>
  <c r="O73" i="26"/>
  <c r="Q73" i="26"/>
  <c r="Z73" i="26"/>
  <c r="Z88" i="26" s="1"/>
  <c r="S73" i="26"/>
  <c r="I73" i="26"/>
  <c r="X73" i="26"/>
  <c r="J73" i="26"/>
  <c r="AA73" i="26"/>
  <c r="AA88" i="26" s="1"/>
  <c r="AU88" i="26" s="1"/>
  <c r="BM88" i="26" s="1"/>
  <c r="N73" i="26"/>
  <c r="Y73" i="26"/>
  <c r="G73" i="26"/>
  <c r="K73" i="26"/>
  <c r="K88" i="26" s="1"/>
  <c r="T73" i="26"/>
  <c r="T88" i="26" s="1"/>
  <c r="I76" i="26"/>
  <c r="C76" i="26"/>
  <c r="C91" i="26" s="1"/>
  <c r="Y76" i="26"/>
  <c r="AA76" i="26"/>
  <c r="AA91" i="26" s="1"/>
  <c r="AU91" i="26" s="1"/>
  <c r="BM91" i="26" s="1"/>
  <c r="Q76" i="26"/>
  <c r="O76" i="26"/>
  <c r="G76" i="26"/>
  <c r="Z76" i="26"/>
  <c r="Z91" i="26" s="1"/>
  <c r="S76" i="26"/>
  <c r="K76" i="26"/>
  <c r="K91" i="26" s="1"/>
  <c r="T76" i="26"/>
  <c r="T91" i="26" s="1"/>
  <c r="P76" i="26"/>
  <c r="N76" i="26"/>
  <c r="R76" i="26"/>
  <c r="J76" i="26"/>
  <c r="X76" i="26"/>
  <c r="P77" i="26"/>
  <c r="K77" i="26"/>
  <c r="K92" i="26" s="1"/>
  <c r="G77" i="26"/>
  <c r="G92" i="26" s="1"/>
  <c r="J77" i="26"/>
  <c r="AA77" i="26"/>
  <c r="AA92" i="26" s="1"/>
  <c r="AU92" i="26" s="1"/>
  <c r="Z77" i="26"/>
  <c r="Z92" i="26" s="1"/>
  <c r="S77" i="26"/>
  <c r="I77" i="26"/>
  <c r="Q77" i="26"/>
  <c r="O77" i="26"/>
  <c r="T77" i="26"/>
  <c r="T92" i="26" s="1"/>
  <c r="N77" i="26"/>
  <c r="R77" i="26"/>
  <c r="X77" i="26"/>
  <c r="C77" i="26"/>
  <c r="C92" i="26" s="1"/>
  <c r="Y77" i="26"/>
  <c r="E78" i="26"/>
  <c r="E93" i="26" s="1"/>
  <c r="M78" i="26"/>
  <c r="M93" i="26" s="1"/>
  <c r="V78" i="26"/>
  <c r="V93" i="26" s="1"/>
  <c r="Z72" i="26"/>
  <c r="Z87" i="26" s="1"/>
  <c r="S72" i="26"/>
  <c r="Q72" i="26"/>
  <c r="Y72" i="26"/>
  <c r="I72" i="26"/>
  <c r="K72" i="26"/>
  <c r="K87" i="26" s="1"/>
  <c r="AA72" i="26"/>
  <c r="AA87" i="26" s="1"/>
  <c r="AU87" i="26" s="1"/>
  <c r="G72" i="26"/>
  <c r="T72" i="26"/>
  <c r="T87" i="26" s="1"/>
  <c r="P72" i="26"/>
  <c r="N72" i="26"/>
  <c r="X72" i="26"/>
  <c r="O72" i="26"/>
  <c r="R72" i="26"/>
  <c r="J72" i="26"/>
  <c r="C72" i="26"/>
  <c r="C87" i="26" s="1"/>
  <c r="V80" i="26"/>
  <c r="V95" i="26" s="1"/>
  <c r="E80" i="26"/>
  <c r="E95" i="26" s="1"/>
  <c r="M80" i="26"/>
  <c r="M95" i="26" s="1"/>
  <c r="AA79" i="26"/>
  <c r="AA94" i="26" s="1"/>
  <c r="AU94" i="26" s="1"/>
  <c r="BM94" i="26" s="1"/>
  <c r="T79" i="26"/>
  <c r="T94" i="26" s="1"/>
  <c r="Z79" i="26"/>
  <c r="Z94" i="26" s="1"/>
  <c r="S79" i="26"/>
  <c r="R79" i="26"/>
  <c r="P79" i="26"/>
  <c r="Q79" i="26"/>
  <c r="I79" i="26"/>
  <c r="X79" i="26"/>
  <c r="K79" i="26"/>
  <c r="K94" i="26" s="1"/>
  <c r="O79" i="26"/>
  <c r="G79" i="26"/>
  <c r="C79" i="26"/>
  <c r="C94" i="26" s="1"/>
  <c r="Y79" i="26"/>
  <c r="J79" i="26"/>
  <c r="N79" i="26"/>
  <c r="K69" i="26"/>
  <c r="K84" i="26" s="1"/>
  <c r="J69" i="26"/>
  <c r="Q69" i="26"/>
  <c r="R69" i="26"/>
  <c r="X69" i="26"/>
  <c r="AA69" i="26"/>
  <c r="AA84" i="26" s="1"/>
  <c r="AU84" i="26" s="1"/>
  <c r="BM84" i="26" s="1"/>
  <c r="Z69" i="26"/>
  <c r="Z84" i="26" s="1"/>
  <c r="C69" i="26"/>
  <c r="C84" i="26" s="1"/>
  <c r="I69" i="26"/>
  <c r="G69" i="26"/>
  <c r="S69" i="26"/>
  <c r="Y69" i="26"/>
  <c r="N69" i="26"/>
  <c r="P69" i="26"/>
  <c r="O69" i="26"/>
  <c r="T69" i="26"/>
  <c r="T84" i="26" s="1"/>
  <c r="V79" i="26"/>
  <c r="V94" i="26" s="1"/>
  <c r="M79" i="26"/>
  <c r="M94" i="26" s="1"/>
  <c r="E79" i="26"/>
  <c r="E94" i="26" s="1"/>
  <c r="S71" i="26"/>
  <c r="Z71" i="26"/>
  <c r="Z86" i="26" s="1"/>
  <c r="P70" i="26"/>
  <c r="N71" i="26"/>
  <c r="Z70" i="26"/>
  <c r="Z85" i="26" s="1"/>
  <c r="P71" i="26"/>
  <c r="Q70" i="26"/>
  <c r="N70" i="26"/>
  <c r="Q71" i="26"/>
  <c r="K71" i="26"/>
  <c r="K86" i="26" s="1"/>
  <c r="G71" i="26"/>
  <c r="G86" i="26" s="1"/>
  <c r="T70" i="26"/>
  <c r="T85" i="26" s="1"/>
  <c r="G70" i="26"/>
  <c r="G85" i="26" s="1"/>
  <c r="K70" i="26"/>
  <c r="K85" i="26" s="1"/>
  <c r="T71" i="26"/>
  <c r="T86" i="26" s="1"/>
  <c r="C71" i="26"/>
  <c r="C86" i="26" s="1"/>
  <c r="C70" i="26"/>
  <c r="C85" i="26" s="1"/>
  <c r="I71" i="26"/>
  <c r="I70" i="26"/>
  <c r="R70" i="26"/>
  <c r="R71" i="26"/>
  <c r="AA70" i="26"/>
  <c r="Y71" i="26"/>
  <c r="Y70" i="26"/>
  <c r="AA71" i="26"/>
  <c r="J71" i="26"/>
  <c r="X70" i="26"/>
  <c r="O70" i="26"/>
  <c r="J70" i="26"/>
  <c r="O71" i="26"/>
  <c r="X71" i="26"/>
  <c r="S70" i="26"/>
  <c r="V75" i="26"/>
  <c r="V90" i="26" s="1"/>
  <c r="E75" i="26"/>
  <c r="E90" i="26" s="1"/>
  <c r="M75" i="26"/>
  <c r="M90" i="26" s="1"/>
  <c r="F72" i="26"/>
  <c r="F87" i="26" s="1"/>
  <c r="W72" i="26"/>
  <c r="W87" i="26" s="1"/>
  <c r="E74" i="26"/>
  <c r="E89" i="26" s="1"/>
  <c r="M74" i="26"/>
  <c r="M89" i="26" s="1"/>
  <c r="V74" i="26"/>
  <c r="V89" i="26" s="1"/>
  <c r="W77" i="26"/>
  <c r="W92" i="26" s="1"/>
  <c r="F77" i="26"/>
  <c r="F92" i="26" s="1"/>
  <c r="E81" i="26"/>
  <c r="E96" i="26" s="1"/>
  <c r="M81" i="26"/>
  <c r="M96" i="26" s="1"/>
  <c r="V81" i="26"/>
  <c r="V96" i="26" s="1"/>
  <c r="H71" i="26"/>
  <c r="H70" i="26"/>
  <c r="F78" i="26"/>
  <c r="F93" i="26" s="1"/>
  <c r="W78" i="26"/>
  <c r="W93" i="26" s="1"/>
  <c r="M76" i="26"/>
  <c r="M91" i="26" s="1"/>
  <c r="V76" i="26"/>
  <c r="V91" i="26" s="1"/>
  <c r="E76" i="26"/>
  <c r="E91" i="26" s="1"/>
  <c r="F100" i="26"/>
  <c r="F115" i="26" s="1"/>
  <c r="W100" i="26"/>
  <c r="W115" i="26" s="1"/>
  <c r="V77" i="26"/>
  <c r="V92" i="26" s="1"/>
  <c r="E77" i="26"/>
  <c r="E92" i="26" s="1"/>
  <c r="M77" i="26"/>
  <c r="M92" i="26" s="1"/>
  <c r="F76" i="26"/>
  <c r="F91" i="26" s="1"/>
  <c r="W76" i="26"/>
  <c r="W91" i="26" s="1"/>
  <c r="M72" i="26"/>
  <c r="M87" i="26" s="1"/>
  <c r="V72" i="26"/>
  <c r="V87" i="26" s="1"/>
  <c r="E72" i="26"/>
  <c r="E87" i="26" s="1"/>
  <c r="F81" i="26"/>
  <c r="F96" i="26" s="1"/>
  <c r="W81" i="26"/>
  <c r="W96" i="26" s="1"/>
  <c r="V73" i="26"/>
  <c r="V88" i="26" s="1"/>
  <c r="E73" i="26"/>
  <c r="E88" i="26" s="1"/>
  <c r="M73" i="26"/>
  <c r="M88" i="26" s="1"/>
  <c r="W80" i="26"/>
  <c r="W95" i="26" s="1"/>
  <c r="F80" i="26"/>
  <c r="F95" i="26" s="1"/>
  <c r="V69" i="26"/>
  <c r="V84" i="26" s="1"/>
  <c r="E69" i="26"/>
  <c r="E84" i="26" s="1"/>
  <c r="M69" i="26"/>
  <c r="M84" i="26" s="1"/>
  <c r="F79" i="26"/>
  <c r="F94" i="26" s="1"/>
  <c r="W79" i="26"/>
  <c r="W94" i="26" s="1"/>
  <c r="E71" i="26"/>
  <c r="E86" i="26" s="1"/>
  <c r="E70" i="26"/>
  <c r="E85" i="26" s="1"/>
  <c r="M71" i="26"/>
  <c r="M86" i="26" s="1"/>
  <c r="M70" i="26"/>
  <c r="M85" i="26" s="1"/>
  <c r="V71" i="26"/>
  <c r="V86" i="26" s="1"/>
  <c r="V70" i="26"/>
  <c r="V85" i="26" s="1"/>
  <c r="F75" i="26"/>
  <c r="F90" i="26" s="1"/>
  <c r="W75" i="26"/>
  <c r="W90" i="26" s="1"/>
  <c r="Q74" i="26"/>
  <c r="S74" i="26"/>
  <c r="I74" i="26"/>
  <c r="K74" i="26"/>
  <c r="K89" i="26" s="1"/>
  <c r="C74" i="26"/>
  <c r="C89" i="26" s="1"/>
  <c r="O74" i="26"/>
  <c r="R74" i="26"/>
  <c r="P74" i="26"/>
  <c r="N74" i="26"/>
  <c r="Y74" i="26"/>
  <c r="Z74" i="26"/>
  <c r="Z89" i="26" s="1"/>
  <c r="T74" i="26"/>
  <c r="T89" i="26" s="1"/>
  <c r="G74" i="26"/>
  <c r="AA74" i="26"/>
  <c r="AA89" i="26" s="1"/>
  <c r="AU89" i="26" s="1"/>
  <c r="BM89" i="26" s="1"/>
  <c r="J74" i="26"/>
  <c r="X74" i="26"/>
  <c r="F73" i="26"/>
  <c r="F88" i="26" s="1"/>
  <c r="W73" i="26"/>
  <c r="W88" i="26" s="1"/>
  <c r="L100" i="26"/>
  <c r="L115" i="26" s="1"/>
  <c r="D100" i="26"/>
  <c r="D115" i="26" s="1"/>
  <c r="U100" i="26"/>
  <c r="U115" i="26" s="1"/>
  <c r="Z75" i="26"/>
  <c r="Z90" i="26" s="1"/>
  <c r="AA75" i="26"/>
  <c r="AA90" i="26" s="1"/>
  <c r="AU90" i="26" s="1"/>
  <c r="BM90" i="26" s="1"/>
  <c r="J75" i="26"/>
  <c r="G75" i="26"/>
  <c r="X75" i="26"/>
  <c r="K75" i="26"/>
  <c r="K90" i="26" s="1"/>
  <c r="P75" i="26"/>
  <c r="Y75" i="26"/>
  <c r="C75" i="26"/>
  <c r="C90" i="26" s="1"/>
  <c r="S75" i="26"/>
  <c r="I75" i="26"/>
  <c r="N75" i="26"/>
  <c r="T75" i="26"/>
  <c r="T90" i="26" s="1"/>
  <c r="O75" i="26"/>
  <c r="R75" i="26"/>
  <c r="Q75" i="26"/>
  <c r="W74" i="26"/>
  <c r="W89" i="26" s="1"/>
  <c r="F74" i="26"/>
  <c r="F89" i="26" s="1"/>
  <c r="Z78" i="26"/>
  <c r="Z93" i="26" s="1"/>
  <c r="O78" i="26"/>
  <c r="AA78" i="26"/>
  <c r="AA93" i="26" s="1"/>
  <c r="AU93" i="26" s="1"/>
  <c r="BM93" i="26" s="1"/>
  <c r="X78" i="26"/>
  <c r="R78" i="26"/>
  <c r="K78" i="26"/>
  <c r="K93" i="26" s="1"/>
  <c r="P78" i="26"/>
  <c r="C78" i="26"/>
  <c r="C93" i="26" s="1"/>
  <c r="Q78" i="26"/>
  <c r="Y78" i="26"/>
  <c r="N78" i="26"/>
  <c r="S78" i="26"/>
  <c r="J78" i="26"/>
  <c r="G78" i="26"/>
  <c r="T78" i="26"/>
  <c r="T93" i="26" s="1"/>
  <c r="I78" i="26"/>
  <c r="F71" i="26"/>
  <c r="F86" i="26" s="1"/>
  <c r="F70" i="26"/>
  <c r="F85" i="26" s="1"/>
  <c r="W70" i="26"/>
  <c r="W85" i="26" s="1"/>
  <c r="W71" i="26"/>
  <c r="W86" i="26" s="1"/>
  <c r="P100" i="26"/>
  <c r="N100" i="26"/>
  <c r="Q100" i="26"/>
  <c r="Z100" i="26"/>
  <c r="Z115" i="26" s="1"/>
  <c r="K100" i="26"/>
  <c r="K115" i="26" s="1"/>
  <c r="T100" i="26"/>
  <c r="T115" i="26" s="1"/>
  <c r="G100" i="26"/>
  <c r="C100" i="26"/>
  <c r="C115" i="26" s="1"/>
  <c r="R100" i="26"/>
  <c r="I100" i="26"/>
  <c r="Y100" i="26"/>
  <c r="O100" i="26"/>
  <c r="AA100" i="26"/>
  <c r="AA115" i="26" s="1"/>
  <c r="S100" i="26"/>
  <c r="J100" i="26"/>
  <c r="X100" i="26"/>
  <c r="Z81" i="26"/>
  <c r="Z96" i="26" s="1"/>
  <c r="S81" i="26"/>
  <c r="K81" i="26"/>
  <c r="K96" i="26" s="1"/>
  <c r="O81" i="26"/>
  <c r="J81" i="26"/>
  <c r="C81" i="26"/>
  <c r="C96" i="26" s="1"/>
  <c r="X81" i="26"/>
  <c r="I81" i="26"/>
  <c r="AA81" i="26"/>
  <c r="AA96" i="26" s="1"/>
  <c r="AU96" i="26" s="1"/>
  <c r="BM96" i="26" s="1"/>
  <c r="G81" i="26"/>
  <c r="T81" i="26"/>
  <c r="T96" i="26" s="1"/>
  <c r="N81" i="26"/>
  <c r="R81" i="26"/>
  <c r="Y81" i="26"/>
  <c r="Q81" i="26"/>
  <c r="P81" i="26"/>
  <c r="F69" i="26"/>
  <c r="F84" i="26" s="1"/>
  <c r="W69" i="26"/>
  <c r="W84" i="26" s="1"/>
  <c r="U103" i="26"/>
  <c r="U118" i="26" s="1"/>
  <c r="L103" i="26"/>
  <c r="L118" i="26" s="1"/>
  <c r="D103" i="26"/>
  <c r="D118" i="26" s="1"/>
  <c r="W108" i="26"/>
  <c r="W123" i="26" s="1"/>
  <c r="F108" i="26"/>
  <c r="F123" i="26" s="1"/>
  <c r="F110" i="26"/>
  <c r="F125" i="26" s="1"/>
  <c r="W110" i="26"/>
  <c r="W125" i="26" s="1"/>
  <c r="M103" i="26"/>
  <c r="M118" i="26" s="1"/>
  <c r="V103" i="26"/>
  <c r="V118" i="26" s="1"/>
  <c r="E103" i="26"/>
  <c r="E118" i="26" s="1"/>
  <c r="N110" i="26"/>
  <c r="O110" i="26"/>
  <c r="J110" i="26"/>
  <c r="G110" i="26"/>
  <c r="K110" i="26"/>
  <c r="K125" i="26" s="1"/>
  <c r="R110" i="26"/>
  <c r="I110" i="26"/>
  <c r="T110" i="26"/>
  <c r="T125" i="26" s="1"/>
  <c r="Y110" i="26"/>
  <c r="Q110" i="26"/>
  <c r="S110" i="26"/>
  <c r="P110" i="26"/>
  <c r="C110" i="26"/>
  <c r="C125" i="26" s="1"/>
  <c r="AA110" i="26"/>
  <c r="AA125" i="26" s="1"/>
  <c r="X110" i="26"/>
  <c r="Z110" i="26"/>
  <c r="Z125" i="26" s="1"/>
  <c r="F101" i="26"/>
  <c r="F116" i="26" s="1"/>
  <c r="W101" i="26"/>
  <c r="W116" i="26" s="1"/>
  <c r="F102" i="26"/>
  <c r="F117" i="26" s="1"/>
  <c r="W102" i="26"/>
  <c r="W117" i="26" s="1"/>
  <c r="W106" i="26"/>
  <c r="W121" i="26" s="1"/>
  <c r="F106" i="26"/>
  <c r="F121" i="26" s="1"/>
  <c r="Z108" i="26"/>
  <c r="Z123" i="26" s="1"/>
  <c r="Y108" i="26"/>
  <c r="C108" i="26"/>
  <c r="C123" i="26" s="1"/>
  <c r="AA108" i="26"/>
  <c r="AA123" i="26" s="1"/>
  <c r="I108" i="26"/>
  <c r="T108" i="26"/>
  <c r="T123" i="26" s="1"/>
  <c r="O108" i="26"/>
  <c r="N108" i="26"/>
  <c r="S108" i="26"/>
  <c r="G108" i="26"/>
  <c r="P108" i="26"/>
  <c r="J108" i="26"/>
  <c r="Q108" i="26"/>
  <c r="X108" i="26"/>
  <c r="K108" i="26"/>
  <c r="K123" i="26" s="1"/>
  <c r="R108" i="26"/>
  <c r="N101" i="26"/>
  <c r="O101" i="26"/>
  <c r="G101" i="26"/>
  <c r="G116" i="26" s="1"/>
  <c r="P101" i="26"/>
  <c r="X101" i="26"/>
  <c r="I101" i="26"/>
  <c r="Q101" i="26"/>
  <c r="Y101" i="26"/>
  <c r="J101" i="26"/>
  <c r="R101" i="26"/>
  <c r="Z101" i="26"/>
  <c r="Z116" i="26" s="1"/>
  <c r="K101" i="26"/>
  <c r="K116" i="26" s="1"/>
  <c r="S101" i="26"/>
  <c r="AA101" i="26"/>
  <c r="AA116" i="26" s="1"/>
  <c r="T101" i="26"/>
  <c r="T116" i="26" s="1"/>
  <c r="C101" i="26"/>
  <c r="C116" i="26" s="1"/>
  <c r="R102" i="26"/>
  <c r="Q102" i="26"/>
  <c r="Y102" i="26"/>
  <c r="T102" i="26"/>
  <c r="T117" i="26" s="1"/>
  <c r="X102" i="26"/>
  <c r="N102" i="26"/>
  <c r="G102" i="26"/>
  <c r="G117" i="26" s="1"/>
  <c r="AA102" i="26"/>
  <c r="AA117" i="26" s="1"/>
  <c r="O102" i="26"/>
  <c r="S102" i="26"/>
  <c r="I102" i="26"/>
  <c r="P102" i="26"/>
  <c r="K102" i="26"/>
  <c r="K117" i="26" s="1"/>
  <c r="Z102" i="26"/>
  <c r="Z117" i="26" s="1"/>
  <c r="J102" i="26"/>
  <c r="C102" i="26"/>
  <c r="C117" i="26" s="1"/>
  <c r="U110" i="26"/>
  <c r="U125" i="26" s="1"/>
  <c r="L110" i="26"/>
  <c r="L125" i="26" s="1"/>
  <c r="D110" i="26"/>
  <c r="D125" i="26" s="1"/>
  <c r="F111" i="26"/>
  <c r="F126" i="26" s="1"/>
  <c r="W111" i="26"/>
  <c r="W126" i="26" s="1"/>
  <c r="F104" i="26"/>
  <c r="F119" i="26" s="1"/>
  <c r="W104" i="26"/>
  <c r="W119" i="26" s="1"/>
  <c r="K107" i="26"/>
  <c r="K122" i="26" s="1"/>
  <c r="S107" i="26"/>
  <c r="I107" i="26"/>
  <c r="G107" i="26"/>
  <c r="T107" i="26"/>
  <c r="T122" i="26" s="1"/>
  <c r="Y107" i="26"/>
  <c r="Z107" i="26"/>
  <c r="Z122" i="26" s="1"/>
  <c r="N107" i="26"/>
  <c r="C107" i="26"/>
  <c r="C122" i="26" s="1"/>
  <c r="R107" i="26"/>
  <c r="Q107" i="26"/>
  <c r="X107" i="26"/>
  <c r="P107" i="26"/>
  <c r="J107" i="26"/>
  <c r="O107" i="26"/>
  <c r="AA107" i="26"/>
  <c r="AA122" i="26" s="1"/>
  <c r="P109" i="26"/>
  <c r="J109" i="26"/>
  <c r="R109" i="26"/>
  <c r="X109" i="26"/>
  <c r="Z109" i="26"/>
  <c r="Z124" i="26" s="1"/>
  <c r="O109" i="26"/>
  <c r="C109" i="26"/>
  <c r="C124" i="26" s="1"/>
  <c r="K109" i="26"/>
  <c r="K124" i="26" s="1"/>
  <c r="G109" i="26"/>
  <c r="I109" i="26"/>
  <c r="AA109" i="26"/>
  <c r="AA124" i="26" s="1"/>
  <c r="N109" i="26"/>
  <c r="Y109" i="26"/>
  <c r="Q109" i="26"/>
  <c r="S109" i="26"/>
  <c r="T109" i="26"/>
  <c r="T124" i="26" s="1"/>
  <c r="D108" i="26"/>
  <c r="D123" i="26" s="1"/>
  <c r="U108" i="26"/>
  <c r="U123" i="26" s="1"/>
  <c r="L108" i="26"/>
  <c r="L123" i="26" s="1"/>
  <c r="F109" i="26"/>
  <c r="F124" i="26" s="1"/>
  <c r="W109" i="26"/>
  <c r="W124" i="26" s="1"/>
  <c r="V110" i="26"/>
  <c r="V125" i="26" s="1"/>
  <c r="E110" i="26"/>
  <c r="E125" i="26" s="1"/>
  <c r="M110" i="26"/>
  <c r="M125" i="26" s="1"/>
  <c r="Y106" i="26"/>
  <c r="C106" i="26"/>
  <c r="C121" i="26" s="1"/>
  <c r="Q106" i="26"/>
  <c r="I106" i="26"/>
  <c r="Z106" i="26"/>
  <c r="Z121" i="26" s="1"/>
  <c r="K106" i="26"/>
  <c r="K121" i="26" s="1"/>
  <c r="J106" i="26"/>
  <c r="AA106" i="26"/>
  <c r="AA121" i="26" s="1"/>
  <c r="O106" i="26"/>
  <c r="X106" i="26"/>
  <c r="G106" i="26"/>
  <c r="N106" i="26"/>
  <c r="R106" i="26"/>
  <c r="P106" i="26"/>
  <c r="S106" i="26"/>
  <c r="T106" i="26"/>
  <c r="T121" i="26" s="1"/>
  <c r="U111" i="26"/>
  <c r="U126" i="26" s="1"/>
  <c r="L111" i="26"/>
  <c r="L126" i="26" s="1"/>
  <c r="D111" i="26"/>
  <c r="D126" i="26" s="1"/>
  <c r="D106" i="26"/>
  <c r="D121" i="26" s="1"/>
  <c r="U106" i="26"/>
  <c r="U121" i="26" s="1"/>
  <c r="L106" i="26"/>
  <c r="L121" i="26" s="1"/>
  <c r="W107" i="26"/>
  <c r="W122" i="26" s="1"/>
  <c r="F107" i="26"/>
  <c r="F122" i="26" s="1"/>
  <c r="M111" i="26"/>
  <c r="M126" i="26" s="1"/>
  <c r="E111" i="26"/>
  <c r="E126" i="26" s="1"/>
  <c r="V111" i="26"/>
  <c r="V126" i="26" s="1"/>
  <c r="E108" i="26"/>
  <c r="E123" i="26" s="1"/>
  <c r="V108" i="26"/>
  <c r="V123" i="26" s="1"/>
  <c r="M108" i="26"/>
  <c r="M123" i="26" s="1"/>
  <c r="S105" i="26"/>
  <c r="N105" i="26"/>
  <c r="Z105" i="26"/>
  <c r="Z120" i="26" s="1"/>
  <c r="Y105" i="26"/>
  <c r="K105" i="26"/>
  <c r="K120" i="26" s="1"/>
  <c r="O105" i="26"/>
  <c r="O120" i="26" s="1"/>
  <c r="AI120" i="26" s="1"/>
  <c r="C105" i="26"/>
  <c r="C120" i="26" s="1"/>
  <c r="G105" i="26"/>
  <c r="P105" i="26"/>
  <c r="I105" i="26"/>
  <c r="X105" i="26"/>
  <c r="AA105" i="26"/>
  <c r="AA120" i="26" s="1"/>
  <c r="J105" i="26"/>
  <c r="R105" i="26"/>
  <c r="T105" i="26"/>
  <c r="T120" i="26" s="1"/>
  <c r="Q105" i="26"/>
  <c r="D109" i="26"/>
  <c r="D124" i="26" s="1"/>
  <c r="L109" i="26"/>
  <c r="L124" i="26" s="1"/>
  <c r="U109" i="26"/>
  <c r="U124" i="26" s="1"/>
  <c r="D104" i="26"/>
  <c r="D119" i="26" s="1"/>
  <c r="U104" i="26"/>
  <c r="U119" i="26" s="1"/>
  <c r="L104" i="26"/>
  <c r="L119" i="26" s="1"/>
  <c r="W105" i="26"/>
  <c r="W120" i="26" s="1"/>
  <c r="F105" i="26"/>
  <c r="F120" i="26" s="1"/>
  <c r="E109" i="26"/>
  <c r="E124" i="26" s="1"/>
  <c r="M109" i="26"/>
  <c r="M124" i="26" s="1"/>
  <c r="V109" i="26"/>
  <c r="V124" i="26" s="1"/>
  <c r="V106" i="26"/>
  <c r="V121" i="26" s="1"/>
  <c r="M106" i="26"/>
  <c r="M121" i="26" s="1"/>
  <c r="E106" i="26"/>
  <c r="E121" i="26" s="1"/>
  <c r="Q104" i="26"/>
  <c r="C104" i="26"/>
  <c r="C119" i="26" s="1"/>
  <c r="K104" i="26"/>
  <c r="K119" i="26" s="1"/>
  <c r="P104" i="26"/>
  <c r="AA104" i="26"/>
  <c r="AA119" i="26" s="1"/>
  <c r="Y104" i="26"/>
  <c r="Z104" i="26"/>
  <c r="Z119" i="26" s="1"/>
  <c r="R104" i="26"/>
  <c r="G104" i="26"/>
  <c r="S104" i="26"/>
  <c r="I104" i="26"/>
  <c r="X104" i="26"/>
  <c r="T104" i="26"/>
  <c r="T119" i="26" s="1"/>
  <c r="N104" i="26"/>
  <c r="J104" i="26"/>
  <c r="O104" i="26"/>
  <c r="D107" i="26"/>
  <c r="D122" i="26" s="1"/>
  <c r="L107" i="26"/>
  <c r="L122" i="26" s="1"/>
  <c r="U107" i="26"/>
  <c r="U122" i="26" s="1"/>
  <c r="U101" i="26"/>
  <c r="U116" i="26" s="1"/>
  <c r="L101" i="26"/>
  <c r="L116" i="26" s="1"/>
  <c r="D101" i="26"/>
  <c r="D116" i="26" s="1"/>
  <c r="D102" i="26"/>
  <c r="D117" i="26" s="1"/>
  <c r="L102" i="26"/>
  <c r="L117" i="26" s="1"/>
  <c r="U102" i="26"/>
  <c r="U117" i="26" s="1"/>
  <c r="F103" i="26"/>
  <c r="F118" i="26" s="1"/>
  <c r="W103" i="26"/>
  <c r="W118" i="26" s="1"/>
  <c r="M107" i="26"/>
  <c r="M122" i="26" s="1"/>
  <c r="E107" i="26"/>
  <c r="E122" i="26" s="1"/>
  <c r="V107" i="26"/>
  <c r="V122" i="26" s="1"/>
  <c r="M104" i="26"/>
  <c r="M119" i="26" s="1"/>
  <c r="E104" i="26"/>
  <c r="E119" i="26" s="1"/>
  <c r="V104" i="26"/>
  <c r="V119" i="26" s="1"/>
  <c r="N111" i="26"/>
  <c r="R111" i="26"/>
  <c r="S111" i="26"/>
  <c r="X111" i="26"/>
  <c r="AA111" i="26"/>
  <c r="AA126" i="26" s="1"/>
  <c r="G111" i="26"/>
  <c r="P111" i="26"/>
  <c r="J111" i="26"/>
  <c r="Z111" i="26"/>
  <c r="Z126" i="26" s="1"/>
  <c r="C111" i="26"/>
  <c r="C126" i="26" s="1"/>
  <c r="I111" i="26"/>
  <c r="T111" i="26"/>
  <c r="T126" i="26" s="1"/>
  <c r="O111" i="26"/>
  <c r="Y111" i="26"/>
  <c r="Q111" i="26"/>
  <c r="K111" i="26"/>
  <c r="K126" i="26" s="1"/>
  <c r="D105" i="26"/>
  <c r="D120" i="26" s="1"/>
  <c r="L105" i="26"/>
  <c r="L120" i="26" s="1"/>
  <c r="U105" i="26"/>
  <c r="U120" i="26" s="1"/>
  <c r="E105" i="26"/>
  <c r="E120" i="26" s="1"/>
  <c r="V105" i="26"/>
  <c r="V120" i="26" s="1"/>
  <c r="M105" i="26"/>
  <c r="M120" i="26" s="1"/>
  <c r="V101" i="26"/>
  <c r="V116" i="26" s="1"/>
  <c r="M101" i="26"/>
  <c r="M116" i="26" s="1"/>
  <c r="E101" i="26"/>
  <c r="E116" i="26" s="1"/>
  <c r="M102" i="26"/>
  <c r="M117" i="26" s="1"/>
  <c r="V102" i="26"/>
  <c r="V117" i="26" s="1"/>
  <c r="E102" i="26"/>
  <c r="E117" i="26" s="1"/>
  <c r="Y103" i="26"/>
  <c r="X103" i="26"/>
  <c r="P103" i="26"/>
  <c r="J103" i="26"/>
  <c r="Z103" i="26"/>
  <c r="Z118" i="26" s="1"/>
  <c r="AA103" i="26"/>
  <c r="AA118" i="26" s="1"/>
  <c r="K103" i="26"/>
  <c r="K118" i="26" s="1"/>
  <c r="Q103" i="26"/>
  <c r="S103" i="26"/>
  <c r="I103" i="26"/>
  <c r="T103" i="26"/>
  <c r="T118" i="26" s="1"/>
  <c r="C103" i="26"/>
  <c r="C118" i="26" s="1"/>
  <c r="R103" i="26"/>
  <c r="N103" i="26"/>
  <c r="O103" i="26"/>
  <c r="G103" i="26"/>
  <c r="H101" i="26"/>
  <c r="H102" i="26"/>
  <c r="S99" i="26"/>
  <c r="P99" i="26"/>
  <c r="G99" i="26"/>
  <c r="J99" i="26"/>
  <c r="I99" i="26"/>
  <c r="T99" i="26"/>
  <c r="T114" i="26" s="1"/>
  <c r="Z99" i="26"/>
  <c r="Z114" i="26" s="1"/>
  <c r="K99" i="26"/>
  <c r="K114" i="26" s="1"/>
  <c r="AA99" i="26"/>
  <c r="AA114" i="26" s="1"/>
  <c r="N99" i="26"/>
  <c r="R99" i="26"/>
  <c r="O99" i="26"/>
  <c r="X99" i="26"/>
  <c r="Q99" i="26"/>
  <c r="C99" i="26"/>
  <c r="C114" i="26" s="1"/>
  <c r="Y99" i="26"/>
  <c r="V99" i="26"/>
  <c r="V114" i="26" s="1"/>
  <c r="E99" i="26"/>
  <c r="E114" i="26" s="1"/>
  <c r="M99" i="26"/>
  <c r="M114" i="26" s="1"/>
  <c r="F99" i="26"/>
  <c r="F114" i="26" s="1"/>
  <c r="W99" i="26"/>
  <c r="W114" i="26" s="1"/>
  <c r="D99" i="26"/>
  <c r="D114" i="26" s="1"/>
  <c r="U99" i="26"/>
  <c r="U114" i="26" s="1"/>
  <c r="L99" i="26"/>
  <c r="L114" i="26" s="1"/>
  <c r="BQ21" i="26"/>
  <c r="Z136" i="31" s="1"/>
  <c r="Z137" i="31" s="1"/>
  <c r="BQ16" i="26"/>
  <c r="Z66" i="31" s="1"/>
  <c r="Z67" i="31" s="1"/>
  <c r="BQ20" i="26"/>
  <c r="Z122" i="31" s="1"/>
  <c r="Z123" i="31" s="1"/>
  <c r="BQ15" i="26"/>
  <c r="Z52" i="31" s="1"/>
  <c r="Z53" i="31" s="1"/>
  <c r="BQ13" i="26"/>
  <c r="Z24" i="31" s="1"/>
  <c r="Z25" i="31" s="1"/>
  <c r="BQ12" i="26"/>
  <c r="Z10" i="31" s="1"/>
  <c r="Z11" i="31" s="1"/>
  <c r="BQ19" i="26"/>
  <c r="Z108" i="31" s="1"/>
  <c r="Z109" i="31" s="1"/>
  <c r="BQ18" i="26"/>
  <c r="Z94" i="31" s="1"/>
  <c r="Z95" i="31" s="1"/>
  <c r="AA85" i="26" l="1"/>
  <c r="AU85" i="26" s="1"/>
  <c r="BM85" i="26" s="1"/>
  <c r="AU70" i="26"/>
  <c r="BM70" i="26" s="1"/>
  <c r="AN23" i="44"/>
  <c r="AA86" i="26"/>
  <c r="AU71" i="26"/>
  <c r="BM71" i="26" s="1"/>
  <c r="AU75" i="26"/>
  <c r="BM75" i="26" s="1"/>
  <c r="AU81" i="26"/>
  <c r="BM81" i="26" s="1"/>
  <c r="AU77" i="26"/>
  <c r="BM77" i="26" s="1"/>
  <c r="AU80" i="26"/>
  <c r="BM80" i="26" s="1"/>
  <c r="AU78" i="26"/>
  <c r="BM78" i="26" s="1"/>
  <c r="AU69" i="26"/>
  <c r="BM69" i="26" s="1"/>
  <c r="D7" i="44" s="1"/>
  <c r="AU76" i="26"/>
  <c r="BM76" i="26" s="1"/>
  <c r="AU79" i="26"/>
  <c r="BM79" i="26" s="1"/>
  <c r="AU73" i="26"/>
  <c r="BM73" i="26" s="1"/>
  <c r="AU74" i="26"/>
  <c r="BM74" i="26" s="1"/>
  <c r="AU72" i="26"/>
  <c r="BM72" i="26" s="1"/>
  <c r="AN22" i="44"/>
  <c r="AL15" i="44"/>
  <c r="AL16" i="44"/>
  <c r="AN27" i="44"/>
  <c r="BI105" i="26"/>
  <c r="AM16" i="43"/>
  <c r="AM14" i="43"/>
  <c r="BI106" i="26"/>
  <c r="AL11" i="44"/>
  <c r="AN24" i="43"/>
  <c r="AL13" i="43"/>
  <c r="AN24" i="44"/>
  <c r="AM15" i="43"/>
  <c r="AM13" i="43"/>
  <c r="AL11" i="43"/>
  <c r="AL14" i="43"/>
  <c r="AN9" i="43"/>
  <c r="AN12" i="43"/>
  <c r="AM11" i="43"/>
  <c r="BI73" i="26"/>
  <c r="AM9" i="43"/>
  <c r="BI109" i="26"/>
  <c r="AM10" i="43"/>
  <c r="BI110" i="26"/>
  <c r="AN27" i="43"/>
  <c r="AN29" i="43"/>
  <c r="AL9" i="43"/>
  <c r="BI108" i="26"/>
  <c r="AN28" i="43"/>
  <c r="AN15" i="43"/>
  <c r="AN31" i="43"/>
  <c r="BI78" i="26"/>
  <c r="BI75" i="26"/>
  <c r="AN26" i="43"/>
  <c r="AL7" i="44"/>
  <c r="BI72" i="26"/>
  <c r="AN30" i="44"/>
  <c r="AL14" i="44"/>
  <c r="AL7" i="43"/>
  <c r="AN10" i="43"/>
  <c r="AN13" i="44"/>
  <c r="AN30" i="43"/>
  <c r="AN17" i="44"/>
  <c r="AM7" i="43"/>
  <c r="AN25" i="44"/>
  <c r="AN29" i="44"/>
  <c r="AN13" i="43"/>
  <c r="AN31" i="44"/>
  <c r="AN17" i="43"/>
  <c r="AN28" i="44"/>
  <c r="BI81" i="26"/>
  <c r="AN11" i="43"/>
  <c r="AN16" i="43"/>
  <c r="AN26" i="44"/>
  <c r="AN14" i="43"/>
  <c r="AM7" i="44"/>
  <c r="AN7" i="44"/>
  <c r="BI80" i="26"/>
  <c r="AL6" i="44"/>
  <c r="AM9" i="44"/>
  <c r="AN6" i="44"/>
  <c r="AM6" i="44"/>
  <c r="BI111" i="26"/>
  <c r="AN7" i="43"/>
  <c r="BD119" i="26"/>
  <c r="AM22" i="43" s="1"/>
  <c r="AM8" i="43"/>
  <c r="BI103" i="26"/>
  <c r="BC119" i="26"/>
  <c r="AL22" i="43" s="1"/>
  <c r="AL8" i="43"/>
  <c r="BD121" i="26"/>
  <c r="AM25" i="43" s="1"/>
  <c r="AM12" i="43"/>
  <c r="BC121" i="26"/>
  <c r="AL31" i="43" s="1"/>
  <c r="AL12" i="43"/>
  <c r="AM10" i="44"/>
  <c r="AN10" i="44"/>
  <c r="AM11" i="44"/>
  <c r="AN9" i="44"/>
  <c r="AL10" i="44"/>
  <c r="AL9" i="44"/>
  <c r="BI79" i="26"/>
  <c r="AM14" i="44"/>
  <c r="AM13" i="44"/>
  <c r="AM12" i="44"/>
  <c r="AN15" i="44"/>
  <c r="AM17" i="44"/>
  <c r="AN14" i="44"/>
  <c r="AM15" i="44"/>
  <c r="BI76" i="26"/>
  <c r="AM16" i="44"/>
  <c r="AN12" i="44"/>
  <c r="AL12" i="44"/>
  <c r="BD89" i="26"/>
  <c r="AM22" i="44" s="1"/>
  <c r="AM8" i="44"/>
  <c r="AN16" i="44"/>
  <c r="AL13" i="44"/>
  <c r="BC89" i="26"/>
  <c r="AL22" i="44" s="1"/>
  <c r="AL8" i="44"/>
  <c r="AN11" i="44"/>
  <c r="AL17" i="44"/>
  <c r="AM25" i="44"/>
  <c r="AM21" i="44"/>
  <c r="AM20" i="44"/>
  <c r="AL25" i="44"/>
  <c r="AL21" i="44"/>
  <c r="AL20" i="44"/>
  <c r="D11" i="38"/>
  <c r="AM26" i="44"/>
  <c r="AM28" i="44"/>
  <c r="AM27" i="44"/>
  <c r="AM31" i="44"/>
  <c r="AM30" i="44"/>
  <c r="AM29" i="44"/>
  <c r="AM23" i="44"/>
  <c r="AM24" i="44"/>
  <c r="AL27" i="44"/>
  <c r="AL31" i="44"/>
  <c r="AL29" i="44"/>
  <c r="AL30" i="44"/>
  <c r="AL28" i="44"/>
  <c r="AL26" i="44"/>
  <c r="AL23" i="44"/>
  <c r="AL24" i="44"/>
  <c r="AN8" i="44"/>
  <c r="AZ16" i="44"/>
  <c r="AZ17" i="44"/>
  <c r="N9" i="44"/>
  <c r="G9" i="44"/>
  <c r="AZ10" i="44"/>
  <c r="AZ6" i="44"/>
  <c r="D9" i="44"/>
  <c r="AX7" i="44"/>
  <c r="E7" i="44"/>
  <c r="AL21" i="43"/>
  <c r="AM23" i="43"/>
  <c r="AM21" i="43"/>
  <c r="AL23" i="43"/>
  <c r="AN8" i="43"/>
  <c r="N11" i="42"/>
  <c r="E11" i="42"/>
  <c r="I11" i="42"/>
  <c r="I13" i="42" s="1"/>
  <c r="H11" i="42"/>
  <c r="H13" i="42" s="1"/>
  <c r="O11" i="42"/>
  <c r="G11" i="42"/>
  <c r="G13" i="42" s="1"/>
  <c r="M11" i="42"/>
  <c r="F11" i="42"/>
  <c r="F13" i="42" s="1"/>
  <c r="L11" i="42"/>
  <c r="K11" i="42"/>
  <c r="L11" i="38"/>
  <c r="H11" i="38"/>
  <c r="H13" i="38" s="1"/>
  <c r="G11" i="38"/>
  <c r="O11" i="38"/>
  <c r="I11" i="38"/>
  <c r="I13" i="38" s="1"/>
  <c r="N11" i="38"/>
  <c r="M11" i="38"/>
  <c r="J11" i="38"/>
  <c r="E11" i="38"/>
  <c r="K11" i="38"/>
  <c r="F11" i="38"/>
  <c r="BI90" i="26"/>
  <c r="BI96" i="26"/>
  <c r="BI87" i="26"/>
  <c r="BI126" i="26"/>
  <c r="BI120" i="26"/>
  <c r="AD77" i="26"/>
  <c r="BI104" i="26"/>
  <c r="BI77" i="26"/>
  <c r="BI107" i="26"/>
  <c r="BI95" i="26"/>
  <c r="BI123" i="26"/>
  <c r="BI117" i="26"/>
  <c r="BI125" i="26"/>
  <c r="BI74" i="26"/>
  <c r="BI91" i="26"/>
  <c r="BI93" i="26"/>
  <c r="BI94" i="26"/>
  <c r="BI92" i="26"/>
  <c r="BI124" i="26"/>
  <c r="BI122" i="26"/>
  <c r="BI88" i="26"/>
  <c r="BI118" i="26"/>
  <c r="AX76" i="26"/>
  <c r="BP76" i="26" s="1"/>
  <c r="AX73" i="26"/>
  <c r="BP73" i="26" s="1"/>
  <c r="AN94" i="26"/>
  <c r="AN90" i="26"/>
  <c r="AG89" i="26"/>
  <c r="AX123" i="26"/>
  <c r="BP123" i="26" s="1"/>
  <c r="AX89" i="26"/>
  <c r="BP89" i="26" s="1"/>
  <c r="AV92" i="26"/>
  <c r="BN92" i="26" s="1"/>
  <c r="AX87" i="26"/>
  <c r="BP87" i="26" s="1"/>
  <c r="AG119" i="26"/>
  <c r="AG96" i="26"/>
  <c r="AX90" i="26"/>
  <c r="BP90" i="26" s="1"/>
  <c r="AX91" i="26"/>
  <c r="BP91" i="26" s="1"/>
  <c r="AV89" i="26"/>
  <c r="BN89" i="26" s="1"/>
  <c r="AD92" i="26"/>
  <c r="AX118" i="26"/>
  <c r="BP118" i="26" s="1"/>
  <c r="AN115" i="26"/>
  <c r="AG93" i="26"/>
  <c r="AG86" i="26"/>
  <c r="AG121" i="26"/>
  <c r="AN96" i="26"/>
  <c r="AG90" i="26"/>
  <c r="AX95" i="26"/>
  <c r="BP95" i="26" s="1"/>
  <c r="AX116" i="26"/>
  <c r="BP116" i="26" s="1"/>
  <c r="AX96" i="26"/>
  <c r="BP96" i="26" s="1"/>
  <c r="AG91" i="26"/>
  <c r="AX86" i="26"/>
  <c r="BP86" i="26" s="1"/>
  <c r="AN93" i="26"/>
  <c r="AX94" i="26"/>
  <c r="BP94" i="26" s="1"/>
  <c r="AG95" i="26"/>
  <c r="AL71" i="26"/>
  <c r="R86" i="26"/>
  <c r="AL86" i="26" s="1"/>
  <c r="AM71" i="26"/>
  <c r="S86" i="26"/>
  <c r="AM86" i="26" s="1"/>
  <c r="AH79" i="26"/>
  <c r="N94" i="26"/>
  <c r="AH94" i="26" s="1"/>
  <c r="AF72" i="26"/>
  <c r="J87" i="26"/>
  <c r="AF87" i="26" s="1"/>
  <c r="AO77" i="26"/>
  <c r="X92" i="26"/>
  <c r="AO92" i="26" s="1"/>
  <c r="AR88" i="26"/>
  <c r="AQ88" i="26"/>
  <c r="AJ80" i="26"/>
  <c r="P95" i="26"/>
  <c r="AJ95" i="26" s="1"/>
  <c r="BM92" i="26"/>
  <c r="AM81" i="26"/>
  <c r="S96" i="26"/>
  <c r="AM96" i="26" s="1"/>
  <c r="AX85" i="26"/>
  <c r="BP85" i="26" s="1"/>
  <c r="AL70" i="26"/>
  <c r="R85" i="26"/>
  <c r="AL85" i="26" s="1"/>
  <c r="AV94" i="26"/>
  <c r="BN94" i="26" s="1"/>
  <c r="AF79" i="26"/>
  <c r="J94" i="26"/>
  <c r="AF94" i="26" s="1"/>
  <c r="AL72" i="26"/>
  <c r="R87" i="26"/>
  <c r="AL87" i="26" s="1"/>
  <c r="AL77" i="26"/>
  <c r="R92" i="26"/>
  <c r="AL92" i="26" s="1"/>
  <c r="AM76" i="26"/>
  <c r="S91" i="26"/>
  <c r="AM91" i="26" s="1"/>
  <c r="AK73" i="26"/>
  <c r="Q88" i="26"/>
  <c r="AK88" i="26" s="1"/>
  <c r="AR95" i="26"/>
  <c r="AQ95" i="26"/>
  <c r="AR96" i="26"/>
  <c r="AQ96" i="26"/>
  <c r="AK75" i="26"/>
  <c r="Q90" i="26"/>
  <c r="AK90" i="26" s="1"/>
  <c r="AX88" i="26"/>
  <c r="BP88" i="26" s="1"/>
  <c r="AE70" i="26"/>
  <c r="I85" i="26"/>
  <c r="AE85" i="26" s="1"/>
  <c r="AP79" i="26"/>
  <c r="Y94" i="26"/>
  <c r="AP94" i="26" s="1"/>
  <c r="AI72" i="26"/>
  <c r="O87" i="26"/>
  <c r="AI87" i="26" s="1"/>
  <c r="AH77" i="26"/>
  <c r="N92" i="26"/>
  <c r="AH92" i="26" s="1"/>
  <c r="AQ91" i="26"/>
  <c r="AR91" i="26"/>
  <c r="AI73" i="26"/>
  <c r="O88" i="26"/>
  <c r="AI88" i="26" s="1"/>
  <c r="AH80" i="26"/>
  <c r="N95" i="26"/>
  <c r="AH95" i="26" s="1"/>
  <c r="AE78" i="26"/>
  <c r="I93" i="26"/>
  <c r="AE93" i="26" s="1"/>
  <c r="AL75" i="26"/>
  <c r="R90" i="26"/>
  <c r="AL90" i="26" s="1"/>
  <c r="AO74" i="26"/>
  <c r="X89" i="26"/>
  <c r="AO89" i="26" s="1"/>
  <c r="AE71" i="26"/>
  <c r="I86" i="26"/>
  <c r="AE86" i="26" s="1"/>
  <c r="AC94" i="26"/>
  <c r="AO72" i="26"/>
  <c r="X87" i="26"/>
  <c r="AO87" i="26" s="1"/>
  <c r="AN92" i="26"/>
  <c r="AD76" i="26"/>
  <c r="G91" i="26"/>
  <c r="AD91" i="26" s="1"/>
  <c r="AC88" i="26"/>
  <c r="AK80" i="26"/>
  <c r="Q95" i="26"/>
  <c r="AK95" i="26" s="1"/>
  <c r="AI75" i="26"/>
  <c r="O90" i="26"/>
  <c r="AI90" i="26" s="1"/>
  <c r="AF74" i="26"/>
  <c r="J89" i="26"/>
  <c r="AF89" i="26" s="1"/>
  <c r="AC85" i="26"/>
  <c r="AN84" i="26"/>
  <c r="AD79" i="26"/>
  <c r="G94" i="26"/>
  <c r="AD94" i="26" s="1"/>
  <c r="AH72" i="26"/>
  <c r="N87" i="26"/>
  <c r="AH87" i="26" s="1"/>
  <c r="AI77" i="26"/>
  <c r="O92" i="26"/>
  <c r="AI92" i="26" s="1"/>
  <c r="AI76" i="26"/>
  <c r="O91" i="26"/>
  <c r="AI91" i="26" s="1"/>
  <c r="AL73" i="26"/>
  <c r="R88" i="26"/>
  <c r="AL88" i="26" s="1"/>
  <c r="AF80" i="26"/>
  <c r="J95" i="26"/>
  <c r="AF95" i="26" s="1"/>
  <c r="AD78" i="26"/>
  <c r="G93" i="26"/>
  <c r="AD93" i="26" s="1"/>
  <c r="AV85" i="26"/>
  <c r="BN85" i="26" s="1"/>
  <c r="AC86" i="26"/>
  <c r="AI69" i="26"/>
  <c r="O84" i="26"/>
  <c r="AI84" i="26" s="1"/>
  <c r="AI79" i="26"/>
  <c r="O94" i="26"/>
  <c r="AI94" i="26" s="1"/>
  <c r="AJ72" i="26"/>
  <c r="P87" i="26"/>
  <c r="AJ87" i="26" s="1"/>
  <c r="AK77" i="26"/>
  <c r="Q92" i="26"/>
  <c r="AK92" i="26" s="1"/>
  <c r="AK76" i="26"/>
  <c r="Q91" i="26"/>
  <c r="AK91" i="26" s="1"/>
  <c r="AJ73" i="26"/>
  <c r="P88" i="26"/>
  <c r="AJ88" i="26" s="1"/>
  <c r="AX84" i="26"/>
  <c r="BP84" i="26" s="1"/>
  <c r="AF78" i="26"/>
  <c r="J93" i="26"/>
  <c r="AF93" i="26" s="1"/>
  <c r="AH75" i="26"/>
  <c r="N90" i="26"/>
  <c r="AH90" i="26" s="1"/>
  <c r="AD74" i="26"/>
  <c r="G89" i="26"/>
  <c r="AD89" i="26" s="1"/>
  <c r="AV86" i="26"/>
  <c r="BN86" i="26" s="1"/>
  <c r="AN86" i="26"/>
  <c r="AJ69" i="26"/>
  <c r="P84" i="26"/>
  <c r="AJ84" i="26" s="1"/>
  <c r="AG94" i="26"/>
  <c r="AN87" i="26"/>
  <c r="AE77" i="26"/>
  <c r="I92" i="26"/>
  <c r="AE92" i="26" s="1"/>
  <c r="AJ81" i="26"/>
  <c r="P96" i="26"/>
  <c r="AJ96" i="26" s="1"/>
  <c r="AM78" i="26"/>
  <c r="S93" i="26"/>
  <c r="AM93" i="26" s="1"/>
  <c r="AE75" i="26"/>
  <c r="I90" i="26"/>
  <c r="AE90" i="26" s="1"/>
  <c r="AN89" i="26"/>
  <c r="AV90" i="26"/>
  <c r="BN90" i="26" s="1"/>
  <c r="AG85" i="26"/>
  <c r="AH69" i="26"/>
  <c r="N84" i="26"/>
  <c r="AH84" i="26" s="1"/>
  <c r="AO79" i="26"/>
  <c r="X94" i="26"/>
  <c r="AO94" i="26" s="1"/>
  <c r="AD72" i="26"/>
  <c r="G87" i="26"/>
  <c r="AD87" i="26" s="1"/>
  <c r="AM77" i="26"/>
  <c r="S92" i="26"/>
  <c r="AM92" i="26" s="1"/>
  <c r="AP76" i="26"/>
  <c r="Y91" i="26"/>
  <c r="AP91" i="26" s="1"/>
  <c r="AK81" i="26"/>
  <c r="Q96" i="26"/>
  <c r="AK96" i="26" s="1"/>
  <c r="AH78" i="26"/>
  <c r="N93" i="26"/>
  <c r="AH93" i="26" s="1"/>
  <c r="AM75" i="26"/>
  <c r="S90" i="26"/>
  <c r="AM90" i="26" s="1"/>
  <c r="AR89" i="26"/>
  <c r="AQ89" i="26"/>
  <c r="AP69" i="26"/>
  <c r="Y84" i="26"/>
  <c r="AP84" i="26" s="1"/>
  <c r="AE79" i="26"/>
  <c r="I94" i="26"/>
  <c r="AE94" i="26" s="1"/>
  <c r="AR92" i="26"/>
  <c r="AQ92" i="26"/>
  <c r="AC91" i="26"/>
  <c r="AP81" i="26"/>
  <c r="Y96" i="26"/>
  <c r="AP96" i="26" s="1"/>
  <c r="AP78" i="26"/>
  <c r="Y93" i="26"/>
  <c r="AP93" i="26" s="1"/>
  <c r="AC90" i="26"/>
  <c r="AP74" i="26"/>
  <c r="Y89" i="26"/>
  <c r="AP89" i="26" s="1"/>
  <c r="AV91" i="26"/>
  <c r="BN91" i="26" s="1"/>
  <c r="AM70" i="26"/>
  <c r="S85" i="26"/>
  <c r="AM85" i="26" s="1"/>
  <c r="AN85" i="26"/>
  <c r="AM69" i="26"/>
  <c r="S84" i="26"/>
  <c r="AM84" i="26" s="1"/>
  <c r="AK79" i="26"/>
  <c r="Q94" i="26"/>
  <c r="AK94" i="26" s="1"/>
  <c r="AG87" i="26"/>
  <c r="AE76" i="26"/>
  <c r="I91" i="26"/>
  <c r="AE91" i="26" s="1"/>
  <c r="AL81" i="26"/>
  <c r="R96" i="26"/>
  <c r="AL96" i="26" s="1"/>
  <c r="AK78" i="26"/>
  <c r="Q93" i="26"/>
  <c r="AK93" i="26" s="1"/>
  <c r="AP75" i="26"/>
  <c r="Y90" i="26"/>
  <c r="AP90" i="26" s="1"/>
  <c r="AH74" i="26"/>
  <c r="N89" i="26"/>
  <c r="AH89" i="26" s="1"/>
  <c r="AV84" i="26"/>
  <c r="BN84" i="26" s="1"/>
  <c r="AO71" i="26"/>
  <c r="X86" i="26"/>
  <c r="AO86" i="26" s="1"/>
  <c r="AD69" i="26"/>
  <c r="G84" i="26"/>
  <c r="AD84" i="26" s="1"/>
  <c r="AJ79" i="26"/>
  <c r="P94" i="26"/>
  <c r="AJ94" i="26" s="1"/>
  <c r="AE72" i="26"/>
  <c r="I87" i="26"/>
  <c r="AE87" i="26" s="1"/>
  <c r="AF77" i="26"/>
  <c r="J92" i="26"/>
  <c r="AF92" i="26" s="1"/>
  <c r="AN88" i="26"/>
  <c r="AM80" i="26"/>
  <c r="S95" i="26"/>
  <c r="AM95" i="26" s="1"/>
  <c r="AH81" i="26"/>
  <c r="N96" i="26"/>
  <c r="AH96" i="26" s="1"/>
  <c r="AC93" i="26"/>
  <c r="AJ75" i="26"/>
  <c r="P90" i="26"/>
  <c r="AJ90" i="26" s="1"/>
  <c r="AJ74" i="26"/>
  <c r="P89" i="26"/>
  <c r="AJ89" i="26" s="1"/>
  <c r="AI71" i="26"/>
  <c r="O86" i="26"/>
  <c r="AI86" i="26" s="1"/>
  <c r="AE69" i="26"/>
  <c r="I84" i="26"/>
  <c r="AE84" i="26" s="1"/>
  <c r="AL79" i="26"/>
  <c r="R94" i="26"/>
  <c r="AL94" i="26" s="1"/>
  <c r="AP72" i="26"/>
  <c r="Y87" i="26"/>
  <c r="AP87" i="26" s="1"/>
  <c r="AG88" i="26"/>
  <c r="AO80" i="26"/>
  <c r="X95" i="26"/>
  <c r="AO95" i="26" s="1"/>
  <c r="AV126" i="26"/>
  <c r="BN126" i="26" s="1"/>
  <c r="AJ78" i="26"/>
  <c r="P93" i="26"/>
  <c r="AJ93" i="26" s="1"/>
  <c r="AL74" i="26"/>
  <c r="R89" i="26"/>
  <c r="AL89" i="26" s="1"/>
  <c r="AF70" i="26"/>
  <c r="J85" i="26"/>
  <c r="AF85" i="26" s="1"/>
  <c r="AK71" i="26"/>
  <c r="Q86" i="26"/>
  <c r="AK86" i="26" s="1"/>
  <c r="AC84" i="26"/>
  <c r="AM79" i="26"/>
  <c r="S94" i="26"/>
  <c r="AM94" i="26" s="1"/>
  <c r="AK72" i="26"/>
  <c r="Q87" i="26"/>
  <c r="AK87" i="26" s="1"/>
  <c r="AG92" i="26"/>
  <c r="AD73" i="26"/>
  <c r="G88" i="26"/>
  <c r="AD88" i="26" s="1"/>
  <c r="AL80" i="26"/>
  <c r="R95" i="26"/>
  <c r="AL95" i="26" s="1"/>
  <c r="AD81" i="26"/>
  <c r="G96" i="26"/>
  <c r="AD96" i="26" s="1"/>
  <c r="AO75" i="26"/>
  <c r="X90" i="26"/>
  <c r="AO90" i="26" s="1"/>
  <c r="AI74" i="26"/>
  <c r="O89" i="26"/>
  <c r="AI89" i="26" s="1"/>
  <c r="AX93" i="26"/>
  <c r="BP93" i="26" s="1"/>
  <c r="AI70" i="26"/>
  <c r="O85" i="26"/>
  <c r="AI85" i="26" s="1"/>
  <c r="AH70" i="26"/>
  <c r="N85" i="26"/>
  <c r="AH85" i="26" s="1"/>
  <c r="AR84" i="26"/>
  <c r="AQ84" i="26"/>
  <c r="AR94" i="26"/>
  <c r="AQ94" i="26"/>
  <c r="AM72" i="26"/>
  <c r="S87" i="26"/>
  <c r="AM87" i="26" s="1"/>
  <c r="AJ77" i="26"/>
  <c r="P92" i="26"/>
  <c r="AJ92" i="26" s="1"/>
  <c r="AP73" i="26"/>
  <c r="Y88" i="26"/>
  <c r="AP88" i="26" s="1"/>
  <c r="AC95" i="26"/>
  <c r="AL78" i="26"/>
  <c r="R93" i="26"/>
  <c r="AL93" i="26" s="1"/>
  <c r="AD75" i="26"/>
  <c r="G90" i="26"/>
  <c r="AD90" i="26" s="1"/>
  <c r="AC89" i="26"/>
  <c r="AW70" i="26"/>
  <c r="BO70" i="26" s="1"/>
  <c r="AZ7" i="44" s="1"/>
  <c r="H85" i="26"/>
  <c r="AW85" i="26" s="1"/>
  <c r="BO85" i="26" s="1"/>
  <c r="AO70" i="26"/>
  <c r="AN19" i="20" s="1"/>
  <c r="X85" i="26"/>
  <c r="AO85" i="26" s="1"/>
  <c r="AK70" i="26"/>
  <c r="Q85" i="26"/>
  <c r="AK85" i="26" s="1"/>
  <c r="AR87" i="26"/>
  <c r="AQ87" i="26"/>
  <c r="AO76" i="26"/>
  <c r="X91" i="26"/>
  <c r="AO91" i="26" s="1"/>
  <c r="AH73" i="26"/>
  <c r="N88" i="26"/>
  <c r="AH88" i="26" s="1"/>
  <c r="AP80" i="26"/>
  <c r="Y95" i="26"/>
  <c r="AP95" i="26" s="1"/>
  <c r="AE81" i="26"/>
  <c r="I96" i="26"/>
  <c r="AE96" i="26" s="1"/>
  <c r="AO78" i="26"/>
  <c r="X93" i="26"/>
  <c r="AO93" i="26" s="1"/>
  <c r="AF75" i="26"/>
  <c r="J90" i="26"/>
  <c r="AF90" i="26" s="1"/>
  <c r="AV88" i="26"/>
  <c r="BN88" i="26" s="1"/>
  <c r="AW71" i="26"/>
  <c r="BO71" i="26" s="1"/>
  <c r="I9" i="44" s="1"/>
  <c r="H86" i="26"/>
  <c r="AW86" i="26" s="1"/>
  <c r="BO86" i="26" s="1"/>
  <c r="AF71" i="26"/>
  <c r="J86" i="26"/>
  <c r="AF86" i="26" s="1"/>
  <c r="AJ71" i="26"/>
  <c r="P86" i="26"/>
  <c r="AJ86" i="26" s="1"/>
  <c r="AO69" i="26"/>
  <c r="X84" i="26"/>
  <c r="AO84" i="26" s="1"/>
  <c r="AF76" i="26"/>
  <c r="J91" i="26"/>
  <c r="AF91" i="26" s="1"/>
  <c r="AI80" i="26"/>
  <c r="O95" i="26"/>
  <c r="AI95" i="26" s="1"/>
  <c r="AO81" i="26"/>
  <c r="X96" i="26"/>
  <c r="AO96" i="26" s="1"/>
  <c r="AE74" i="26"/>
  <c r="I89" i="26"/>
  <c r="AE89" i="26" s="1"/>
  <c r="AL69" i="26"/>
  <c r="R84" i="26"/>
  <c r="AL84" i="26" s="1"/>
  <c r="AL76" i="26"/>
  <c r="R91" i="26"/>
  <c r="AL91" i="26" s="1"/>
  <c r="AF73" i="26"/>
  <c r="J88" i="26"/>
  <c r="AF88" i="26" s="1"/>
  <c r="AN95" i="26"/>
  <c r="AC96" i="26"/>
  <c r="AI78" i="26"/>
  <c r="O93" i="26"/>
  <c r="AI93" i="26" s="1"/>
  <c r="AR90" i="26"/>
  <c r="AQ90" i="26"/>
  <c r="AM74" i="26"/>
  <c r="S89" i="26"/>
  <c r="AM89" i="26" s="1"/>
  <c r="AP70" i="26"/>
  <c r="Y85" i="26"/>
  <c r="AP85" i="26" s="1"/>
  <c r="AH71" i="26"/>
  <c r="N86" i="26"/>
  <c r="AH86" i="26" s="1"/>
  <c r="AK69" i="26"/>
  <c r="Q84" i="26"/>
  <c r="AK84" i="26" s="1"/>
  <c r="AV95" i="26"/>
  <c r="BN95" i="26" s="1"/>
  <c r="AV93" i="26"/>
  <c r="AH76" i="26"/>
  <c r="N91" i="26"/>
  <c r="AH91" i="26" s="1"/>
  <c r="AO73" i="26"/>
  <c r="X88" i="26"/>
  <c r="AO88" i="26" s="1"/>
  <c r="AD80" i="26"/>
  <c r="G95" i="26"/>
  <c r="AD95" i="26" s="1"/>
  <c r="AF81" i="26"/>
  <c r="J96" i="26"/>
  <c r="AF96" i="26" s="1"/>
  <c r="AR93" i="26"/>
  <c r="AQ93" i="26"/>
  <c r="AK74" i="26"/>
  <c r="Q89" i="26"/>
  <c r="AK89" i="26" s="1"/>
  <c r="AV96" i="26"/>
  <c r="BN96" i="26" s="1"/>
  <c r="AP71" i="26"/>
  <c r="Y86" i="26"/>
  <c r="AP86" i="26" s="1"/>
  <c r="AJ70" i="26"/>
  <c r="P85" i="26"/>
  <c r="AJ85" i="26" s="1"/>
  <c r="AF69" i="26"/>
  <c r="J84" i="26"/>
  <c r="AF84" i="26" s="1"/>
  <c r="AP77" i="26"/>
  <c r="Y92" i="26"/>
  <c r="AP92" i="26" s="1"/>
  <c r="AJ76" i="26"/>
  <c r="P91" i="26"/>
  <c r="AJ91" i="26" s="1"/>
  <c r="AE73" i="26"/>
  <c r="I88" i="26"/>
  <c r="AE88" i="26" s="1"/>
  <c r="BM87" i="26"/>
  <c r="AI81" i="26"/>
  <c r="O96" i="26"/>
  <c r="AI96" i="26" s="1"/>
  <c r="AV87" i="26"/>
  <c r="BN87" i="26" s="1"/>
  <c r="AX92" i="26"/>
  <c r="BP92" i="26" s="1"/>
  <c r="AG84" i="26"/>
  <c r="AC87" i="26"/>
  <c r="AC92" i="26"/>
  <c r="AN91" i="26"/>
  <c r="AM73" i="26"/>
  <c r="S88" i="26"/>
  <c r="AM88" i="26" s="1"/>
  <c r="AE80" i="26"/>
  <c r="I95" i="26"/>
  <c r="AE95" i="26" s="1"/>
  <c r="AI105" i="26"/>
  <c r="AX122" i="26"/>
  <c r="BP122" i="26" s="1"/>
  <c r="AU121" i="26"/>
  <c r="BM121" i="26" s="1"/>
  <c r="AV118" i="26"/>
  <c r="BN118" i="26" s="1"/>
  <c r="AV116" i="26"/>
  <c r="BN116" i="26" s="1"/>
  <c r="AX120" i="26"/>
  <c r="BP120" i="26" s="1"/>
  <c r="AN118" i="26"/>
  <c r="AV122" i="26"/>
  <c r="BN122" i="26" s="1"/>
  <c r="AN114" i="26"/>
  <c r="AD105" i="26"/>
  <c r="G120" i="26"/>
  <c r="AD120" i="26" s="1"/>
  <c r="AK108" i="26"/>
  <c r="Q123" i="26"/>
  <c r="AK123" i="26" s="1"/>
  <c r="AC120" i="26"/>
  <c r="AC116" i="26"/>
  <c r="AI103" i="26"/>
  <c r="O118" i="26"/>
  <c r="AI118" i="26" s="1"/>
  <c r="AM111" i="26"/>
  <c r="S126" i="26"/>
  <c r="AM126" i="26" s="1"/>
  <c r="AI104" i="26"/>
  <c r="O119" i="26"/>
  <c r="AI119" i="26" s="1"/>
  <c r="AN121" i="26"/>
  <c r="AX124" i="26"/>
  <c r="BP124" i="26" s="1"/>
  <c r="AU125" i="26"/>
  <c r="BM125" i="26" s="1"/>
  <c r="AN116" i="26"/>
  <c r="AJ108" i="26"/>
  <c r="P123" i="26"/>
  <c r="AJ123" i="26" s="1"/>
  <c r="AC125" i="26"/>
  <c r="AU118" i="26"/>
  <c r="BM118" i="26" s="1"/>
  <c r="AO111" i="26"/>
  <c r="X126" i="26"/>
  <c r="AO126" i="26" s="1"/>
  <c r="AX126" i="26"/>
  <c r="BP126" i="26" s="1"/>
  <c r="AP99" i="26"/>
  <c r="Y114" i="26"/>
  <c r="AP114" i="26" s="1"/>
  <c r="AH103" i="26"/>
  <c r="N118" i="26"/>
  <c r="AH118" i="26" s="1"/>
  <c r="AL111" i="26"/>
  <c r="R126" i="26"/>
  <c r="AL126" i="26" s="1"/>
  <c r="AF104" i="26"/>
  <c r="J119" i="26"/>
  <c r="AF119" i="26" s="1"/>
  <c r="AV124" i="26"/>
  <c r="BN124" i="26" s="1"/>
  <c r="AG120" i="26"/>
  <c r="AM106" i="26"/>
  <c r="S121" i="26"/>
  <c r="AM121" i="26" s="1"/>
  <c r="AI107" i="26"/>
  <c r="O122" i="26"/>
  <c r="AI122" i="26" s="1"/>
  <c r="AD108" i="26"/>
  <c r="G123" i="26"/>
  <c r="AD123" i="26" s="1"/>
  <c r="AJ110" i="26"/>
  <c r="P125" i="26"/>
  <c r="AJ125" i="26" s="1"/>
  <c r="AO100" i="26"/>
  <c r="X115" i="26"/>
  <c r="AO115" i="26" s="1"/>
  <c r="AW101" i="26"/>
  <c r="BO101" i="26" s="1"/>
  <c r="H116" i="26"/>
  <c r="AW116" i="26" s="1"/>
  <c r="BO116" i="26" s="1"/>
  <c r="AL102" i="26"/>
  <c r="R117" i="26"/>
  <c r="AL117" i="26" s="1"/>
  <c r="AV114" i="26"/>
  <c r="BN114" i="26" s="1"/>
  <c r="AC114" i="26"/>
  <c r="AL103" i="26"/>
  <c r="R118" i="26"/>
  <c r="AL118" i="26" s="1"/>
  <c r="AH111" i="26"/>
  <c r="N126" i="26"/>
  <c r="AH126" i="26" s="1"/>
  <c r="AH104" i="26"/>
  <c r="N119" i="26"/>
  <c r="AH119" i="26" s="1"/>
  <c r="AP105" i="26"/>
  <c r="Y120" i="26"/>
  <c r="AP120" i="26" s="1"/>
  <c r="AJ106" i="26"/>
  <c r="P121" i="26"/>
  <c r="AJ121" i="26" s="1"/>
  <c r="AF107" i="26"/>
  <c r="J122" i="26"/>
  <c r="AF122" i="26" s="1"/>
  <c r="AM101" i="26"/>
  <c r="S116" i="26"/>
  <c r="AM116" i="26" s="1"/>
  <c r="AM108" i="26"/>
  <c r="S123" i="26"/>
  <c r="AM123" i="26" s="1"/>
  <c r="AM110" i="26"/>
  <c r="S125" i="26"/>
  <c r="AM125" i="26" s="1"/>
  <c r="AF100" i="26"/>
  <c r="BC10" i="20" s="1"/>
  <c r="J115" i="26"/>
  <c r="AF115" i="26" s="1"/>
  <c r="AK99" i="26"/>
  <c r="Q114" i="26"/>
  <c r="AK114" i="26" s="1"/>
  <c r="AC118" i="26"/>
  <c r="AV120" i="26"/>
  <c r="BN120" i="26" s="1"/>
  <c r="AN119" i="26"/>
  <c r="AQ120" i="26"/>
  <c r="AR120" i="26"/>
  <c r="AL106" i="26"/>
  <c r="R121" i="26"/>
  <c r="AL121" i="26" s="1"/>
  <c r="AU123" i="26"/>
  <c r="BM123" i="26" s="1"/>
  <c r="AJ107" i="26"/>
  <c r="P122" i="26"/>
  <c r="AJ122" i="26" s="1"/>
  <c r="AC117" i="26"/>
  <c r="AG116" i="26"/>
  <c r="AH108" i="26"/>
  <c r="N123" i="26"/>
  <c r="AH123" i="26" s="1"/>
  <c r="AK110" i="26"/>
  <c r="Q125" i="26"/>
  <c r="AK125" i="26" s="1"/>
  <c r="AM100" i="26"/>
  <c r="S115" i="26"/>
  <c r="AM115" i="26" s="1"/>
  <c r="AF109" i="26"/>
  <c r="J124" i="26"/>
  <c r="AF124" i="26" s="1"/>
  <c r="AO99" i="26"/>
  <c r="X114" i="26"/>
  <c r="AO114" i="26" s="1"/>
  <c r="AV119" i="26"/>
  <c r="BN119" i="26" s="1"/>
  <c r="AO104" i="26"/>
  <c r="X119" i="26"/>
  <c r="AO119" i="26" s="1"/>
  <c r="AH105" i="26"/>
  <c r="N120" i="26"/>
  <c r="AH120" i="26" s="1"/>
  <c r="AH106" i="26"/>
  <c r="N121" i="26"/>
  <c r="AH121" i="26" s="1"/>
  <c r="AN124" i="26"/>
  <c r="AO107" i="26"/>
  <c r="X122" i="26"/>
  <c r="AO122" i="26" s="1"/>
  <c r="AF102" i="26"/>
  <c r="J117" i="26"/>
  <c r="AF117" i="26" s="1"/>
  <c r="AR116" i="26"/>
  <c r="AQ116" i="26"/>
  <c r="AI108" i="26"/>
  <c r="O123" i="26"/>
  <c r="AI123" i="26" s="1"/>
  <c r="AP110" i="26"/>
  <c r="Y125" i="26"/>
  <c r="AP125" i="26" s="1"/>
  <c r="AI99" i="26"/>
  <c r="O114" i="26"/>
  <c r="AI114" i="26" s="1"/>
  <c r="AE103" i="26"/>
  <c r="I118" i="26"/>
  <c r="AE118" i="26" s="1"/>
  <c r="AE104" i="26"/>
  <c r="I119" i="26"/>
  <c r="AE119" i="26" s="1"/>
  <c r="AM105" i="26"/>
  <c r="S120" i="26"/>
  <c r="AM120" i="26" s="1"/>
  <c r="AD106" i="26"/>
  <c r="G121" i="26"/>
  <c r="AD121" i="26" s="1"/>
  <c r="AM109" i="26"/>
  <c r="S124" i="26"/>
  <c r="AM124" i="26" s="1"/>
  <c r="AK107" i="26"/>
  <c r="Q122" i="26"/>
  <c r="AK122" i="26" s="1"/>
  <c r="AR117" i="26"/>
  <c r="AQ117" i="26"/>
  <c r="AL101" i="26"/>
  <c r="R116" i="26"/>
  <c r="AL116" i="26" s="1"/>
  <c r="AN123" i="26"/>
  <c r="AN125" i="26"/>
  <c r="AI100" i="26"/>
  <c r="O115" i="26"/>
  <c r="AI115" i="26" s="1"/>
  <c r="AO110" i="26"/>
  <c r="X125" i="26"/>
  <c r="AO125" i="26" s="1"/>
  <c r="AJ109" i="26"/>
  <c r="P124" i="26"/>
  <c r="AJ124" i="26" s="1"/>
  <c r="AL99" i="26"/>
  <c r="R114" i="26"/>
  <c r="AL114" i="26" s="1"/>
  <c r="AM103" i="26"/>
  <c r="S118" i="26"/>
  <c r="AM118" i="26" s="1"/>
  <c r="AU120" i="26"/>
  <c r="BM120" i="26" s="1"/>
  <c r="AM104" i="26"/>
  <c r="S119" i="26"/>
  <c r="AM119" i="26" s="1"/>
  <c r="AU119" i="26"/>
  <c r="BM119" i="26" s="1"/>
  <c r="AO106" i="26"/>
  <c r="X121" i="26"/>
  <c r="AO121" i="26" s="1"/>
  <c r="AK109" i="26"/>
  <c r="Q124" i="26"/>
  <c r="AK124" i="26" s="1"/>
  <c r="AL107" i="26"/>
  <c r="R122" i="26"/>
  <c r="AL122" i="26" s="1"/>
  <c r="AG117" i="26"/>
  <c r="AF101" i="26"/>
  <c r="J116" i="26"/>
  <c r="AF116" i="26" s="1"/>
  <c r="AE108" i="26"/>
  <c r="I123" i="26"/>
  <c r="AE123" i="26" s="1"/>
  <c r="AE110" i="26"/>
  <c r="I125" i="26"/>
  <c r="AE125" i="26" s="1"/>
  <c r="AP100" i="26"/>
  <c r="Y115" i="26"/>
  <c r="AP115" i="26" s="1"/>
  <c r="AX115" i="26"/>
  <c r="BP115" i="26" s="1"/>
  <c r="AV115" i="26"/>
  <c r="BN115" i="26" s="1"/>
  <c r="AH99" i="26"/>
  <c r="N114" i="26"/>
  <c r="AH114" i="26" s="1"/>
  <c r="AK103" i="26"/>
  <c r="Q118" i="26"/>
  <c r="AK118" i="26" s="1"/>
  <c r="AG126" i="26"/>
  <c r="AD104" i="26"/>
  <c r="G119" i="26"/>
  <c r="AD119" i="26" s="1"/>
  <c r="AI106" i="26"/>
  <c r="O121" i="26"/>
  <c r="AI121" i="26" s="1"/>
  <c r="AP109" i="26"/>
  <c r="Y124" i="26"/>
  <c r="AP124" i="26" s="1"/>
  <c r="AC122" i="26"/>
  <c r="AJ102" i="26"/>
  <c r="P117" i="26"/>
  <c r="AJ117" i="26" s="1"/>
  <c r="AP101" i="26"/>
  <c r="Y116" i="26"/>
  <c r="AP116" i="26" s="1"/>
  <c r="AL110" i="26"/>
  <c r="R125" i="26"/>
  <c r="AL125" i="26" s="1"/>
  <c r="AE100" i="26"/>
  <c r="I115" i="26"/>
  <c r="AE115" i="26" s="1"/>
  <c r="AD103" i="26"/>
  <c r="G118" i="26"/>
  <c r="AD118" i="26" s="1"/>
  <c r="AG118" i="26"/>
  <c r="AK111" i="26"/>
  <c r="Q126" i="26"/>
  <c r="AK126" i="26" s="1"/>
  <c r="AL104" i="26"/>
  <c r="R119" i="26"/>
  <c r="AL119" i="26" s="1"/>
  <c r="AV123" i="26"/>
  <c r="BN123" i="26" s="1"/>
  <c r="AH109" i="26"/>
  <c r="N124" i="26"/>
  <c r="AH124" i="26" s="1"/>
  <c r="AH107" i="26"/>
  <c r="N122" i="26"/>
  <c r="AH122" i="26" s="1"/>
  <c r="AE102" i="26"/>
  <c r="I117" i="26"/>
  <c r="AE117" i="26" s="1"/>
  <c r="AK101" i="26"/>
  <c r="Q116" i="26"/>
  <c r="AK116" i="26" s="1"/>
  <c r="AC123" i="26"/>
  <c r="AG125" i="26"/>
  <c r="AL100" i="26"/>
  <c r="R115" i="26"/>
  <c r="AL115" i="26" s="1"/>
  <c r="AG114" i="26"/>
  <c r="AP111" i="26"/>
  <c r="Y126" i="26"/>
  <c r="AP126" i="26" s="1"/>
  <c r="AQ119" i="26"/>
  <c r="AR119" i="26"/>
  <c r="AU124" i="26"/>
  <c r="BM124" i="26" s="1"/>
  <c r="AF106" i="26"/>
  <c r="J121" i="26"/>
  <c r="AF121" i="26" s="1"/>
  <c r="AR122" i="26"/>
  <c r="AQ122" i="26"/>
  <c r="AM102" i="26"/>
  <c r="S117" i="26"/>
  <c r="AM117" i="26" s="1"/>
  <c r="AE101" i="26"/>
  <c r="I116" i="26"/>
  <c r="AE116" i="26" s="1"/>
  <c r="AP108" i="26"/>
  <c r="Y123" i="26"/>
  <c r="AP123" i="26" s="1"/>
  <c r="AD110" i="26"/>
  <c r="G125" i="26"/>
  <c r="AD125" i="26" s="1"/>
  <c r="AC115" i="26"/>
  <c r="AR114" i="26"/>
  <c r="AQ114" i="26"/>
  <c r="AR118" i="26"/>
  <c r="AQ118" i="26"/>
  <c r="AI111" i="26"/>
  <c r="O126" i="26"/>
  <c r="AI126" i="26" s="1"/>
  <c r="AP104" i="26"/>
  <c r="Y119" i="26"/>
  <c r="AP119" i="26" s="1"/>
  <c r="AK105" i="26"/>
  <c r="Q120" i="26"/>
  <c r="AK120" i="26" s="1"/>
  <c r="AE109" i="26"/>
  <c r="I124" i="26"/>
  <c r="AE124" i="26" s="1"/>
  <c r="AP107" i="26"/>
  <c r="Y122" i="26"/>
  <c r="AP122" i="26" s="1"/>
  <c r="AI102" i="26"/>
  <c r="O117" i="26"/>
  <c r="AI117" i="26" s="1"/>
  <c r="AO101" i="26"/>
  <c r="X116" i="26"/>
  <c r="AO116" i="26" s="1"/>
  <c r="AQ123" i="26"/>
  <c r="AR123" i="26"/>
  <c r="AF110" i="26"/>
  <c r="J125" i="26"/>
  <c r="AF125" i="26" s="1"/>
  <c r="AD100" i="26"/>
  <c r="G115" i="26"/>
  <c r="AD115" i="26" s="1"/>
  <c r="AF103" i="26"/>
  <c r="J118" i="26"/>
  <c r="AF118" i="26" s="1"/>
  <c r="AN126" i="26"/>
  <c r="AN120" i="26"/>
  <c r="AR121" i="26"/>
  <c r="AQ121" i="26"/>
  <c r="AD109" i="26"/>
  <c r="G124" i="26"/>
  <c r="AD124" i="26" s="1"/>
  <c r="AN122" i="26"/>
  <c r="AJ101" i="26"/>
  <c r="P116" i="26"/>
  <c r="AJ116" i="26" s="1"/>
  <c r="AX121" i="26"/>
  <c r="BP121" i="26" s="1"/>
  <c r="AI110" i="26"/>
  <c r="O125" i="26"/>
  <c r="AI125" i="26" s="1"/>
  <c r="AE99" i="26"/>
  <c r="I114" i="26"/>
  <c r="AE114" i="26" s="1"/>
  <c r="AJ103" i="26"/>
  <c r="P118" i="26"/>
  <c r="AJ118" i="26" s="1"/>
  <c r="AE111" i="26"/>
  <c r="I126" i="26"/>
  <c r="AE126" i="26" s="1"/>
  <c r="AJ104" i="26"/>
  <c r="P119" i="26"/>
  <c r="AJ119" i="26" s="1"/>
  <c r="AL105" i="26"/>
  <c r="R120" i="26"/>
  <c r="AL120" i="26" s="1"/>
  <c r="AE106" i="26"/>
  <c r="I121" i="26"/>
  <c r="AE121" i="26" s="1"/>
  <c r="AG124" i="26"/>
  <c r="AD107" i="26"/>
  <c r="G122" i="26"/>
  <c r="AD122" i="26" s="1"/>
  <c r="AH110" i="26"/>
  <c r="N125" i="26"/>
  <c r="AH125" i="26" s="1"/>
  <c r="AG115" i="26"/>
  <c r="AF99" i="26"/>
  <c r="J114" i="26"/>
  <c r="AF114" i="26" s="1"/>
  <c r="AO103" i="26"/>
  <c r="X118" i="26"/>
  <c r="AO118" i="26" s="1"/>
  <c r="AU117" i="26"/>
  <c r="AF105" i="26"/>
  <c r="J120" i="26"/>
  <c r="AF120" i="26" s="1"/>
  <c r="AK106" i="26"/>
  <c r="Q121" i="26"/>
  <c r="AK121" i="26" s="1"/>
  <c r="AC124" i="26"/>
  <c r="AE107" i="26"/>
  <c r="I122" i="26"/>
  <c r="AE122" i="26" s="1"/>
  <c r="AH102" i="26"/>
  <c r="N117" i="26"/>
  <c r="AH117" i="26" s="1"/>
  <c r="AI101" i="26"/>
  <c r="O116" i="26"/>
  <c r="AI116" i="26" s="1"/>
  <c r="AQ115" i="26"/>
  <c r="AR115" i="26"/>
  <c r="AC126" i="26"/>
  <c r="AD99" i="26"/>
  <c r="G114" i="26"/>
  <c r="AD114" i="26" s="1"/>
  <c r="AP103" i="26"/>
  <c r="Y118" i="26"/>
  <c r="AP118" i="26" s="1"/>
  <c r="AR126" i="26"/>
  <c r="AQ126" i="26"/>
  <c r="AU116" i="26"/>
  <c r="BM116" i="26" s="1"/>
  <c r="AC119" i="26"/>
  <c r="AC121" i="26"/>
  <c r="AI109" i="26"/>
  <c r="O124" i="26"/>
  <c r="AI124" i="26" s="1"/>
  <c r="AM107" i="26"/>
  <c r="S122" i="26"/>
  <c r="AM122" i="26" s="1"/>
  <c r="AO102" i="26"/>
  <c r="X117" i="26"/>
  <c r="AO117" i="26" s="1"/>
  <c r="AH101" i="26"/>
  <c r="N116" i="26"/>
  <c r="AH116" i="26" s="1"/>
  <c r="AX117" i="26"/>
  <c r="BP117" i="26" s="1"/>
  <c r="AK100" i="26"/>
  <c r="Q115" i="26"/>
  <c r="AK115" i="26" s="1"/>
  <c r="AU114" i="26"/>
  <c r="BM114" i="26" s="1"/>
  <c r="AJ99" i="26"/>
  <c r="P114" i="26"/>
  <c r="AJ114" i="26" s="1"/>
  <c r="AV117" i="26"/>
  <c r="BN117" i="26" s="1"/>
  <c r="AF111" i="26"/>
  <c r="J126" i="26"/>
  <c r="AF126" i="26" s="1"/>
  <c r="AK104" i="26"/>
  <c r="Q119" i="26"/>
  <c r="AK119" i="26" s="1"/>
  <c r="AO105" i="26"/>
  <c r="X120" i="26"/>
  <c r="AO120" i="26" s="1"/>
  <c r="AP106" i="26"/>
  <c r="Y121" i="26"/>
  <c r="AP121" i="26" s="1"/>
  <c r="AR124" i="26"/>
  <c r="AQ124" i="26"/>
  <c r="AG122" i="26"/>
  <c r="AN117" i="26"/>
  <c r="AL108" i="26"/>
  <c r="R123" i="26"/>
  <c r="AL123" i="26" s="1"/>
  <c r="AH100" i="26"/>
  <c r="N115" i="26"/>
  <c r="AH115" i="26" s="1"/>
  <c r="AU122" i="26"/>
  <c r="BM122" i="26" s="1"/>
  <c r="AF108" i="26"/>
  <c r="J123" i="26"/>
  <c r="AF123" i="26" s="1"/>
  <c r="AP102" i="26"/>
  <c r="Y117" i="26"/>
  <c r="AP117" i="26" s="1"/>
  <c r="AG123" i="26"/>
  <c r="AJ100" i="26"/>
  <c r="P115" i="26"/>
  <c r="AJ115" i="26" s="1"/>
  <c r="AM99" i="26"/>
  <c r="S114" i="26"/>
  <c r="AM114" i="26" s="1"/>
  <c r="AJ111" i="26"/>
  <c r="P126" i="26"/>
  <c r="AJ126" i="26" s="1"/>
  <c r="AV121" i="26"/>
  <c r="BN121" i="26" s="1"/>
  <c r="AE105" i="26"/>
  <c r="I120" i="26"/>
  <c r="AE120" i="26" s="1"/>
  <c r="AO109" i="26"/>
  <c r="X124" i="26"/>
  <c r="AO124" i="26" s="1"/>
  <c r="AX114" i="26"/>
  <c r="BP114" i="26" s="1"/>
  <c r="AW102" i="26"/>
  <c r="BO102" i="26" s="1"/>
  <c r="H117" i="26"/>
  <c r="AW117" i="26" s="1"/>
  <c r="BO117" i="26" s="1"/>
  <c r="AD111" i="26"/>
  <c r="G126" i="26"/>
  <c r="AD126" i="26" s="1"/>
  <c r="AJ105" i="26"/>
  <c r="P120" i="26"/>
  <c r="AJ120" i="26" s="1"/>
  <c r="AU126" i="26"/>
  <c r="AV125" i="26"/>
  <c r="BN125" i="26" s="1"/>
  <c r="AL109" i="26"/>
  <c r="R124" i="26"/>
  <c r="AL124" i="26" s="1"/>
  <c r="AX119" i="26"/>
  <c r="BP119" i="26" s="1"/>
  <c r="AK102" i="26"/>
  <c r="Q117" i="26"/>
  <c r="AK117" i="26" s="1"/>
  <c r="AO108" i="26"/>
  <c r="X123" i="26"/>
  <c r="AO123" i="26" s="1"/>
  <c r="AQ125" i="26"/>
  <c r="AR125" i="26"/>
  <c r="AX125" i="26"/>
  <c r="BP125" i="26" s="1"/>
  <c r="AU115" i="26"/>
  <c r="BM115" i="26" s="1"/>
  <c r="AX71" i="26"/>
  <c r="BP71" i="26" s="1"/>
  <c r="AQ71" i="26"/>
  <c r="AV74" i="26"/>
  <c r="BN74" i="26" s="1"/>
  <c r="AV79" i="26"/>
  <c r="BN79" i="26" s="1"/>
  <c r="AC72" i="26"/>
  <c r="AG80" i="26"/>
  <c r="AG72" i="26"/>
  <c r="AX72" i="26"/>
  <c r="BP72" i="26" s="1"/>
  <c r="AX70" i="26"/>
  <c r="BP70" i="26" s="1"/>
  <c r="AQ70" i="26"/>
  <c r="AQ80" i="26"/>
  <c r="AR73" i="26"/>
  <c r="AX74" i="26"/>
  <c r="BP74" i="26" s="1"/>
  <c r="AN73" i="26"/>
  <c r="AC70" i="26"/>
  <c r="AC77" i="26"/>
  <c r="AX75" i="26"/>
  <c r="BP75" i="26" s="1"/>
  <c r="AX77" i="26"/>
  <c r="BP77" i="26" s="1"/>
  <c r="AN74" i="26"/>
  <c r="AG70" i="26"/>
  <c r="AR78" i="26"/>
  <c r="AR80" i="26"/>
  <c r="AC81" i="26"/>
  <c r="AX81" i="26"/>
  <c r="BP81" i="26" s="1"/>
  <c r="AR81" i="26"/>
  <c r="AC74" i="26"/>
  <c r="AN79" i="26"/>
  <c r="AR69" i="26"/>
  <c r="AC80" i="26"/>
  <c r="AV72" i="26"/>
  <c r="BN72" i="26" s="1"/>
  <c r="AG81" i="26"/>
  <c r="AQ75" i="26"/>
  <c r="AV81" i="26"/>
  <c r="BN81" i="26" s="1"/>
  <c r="AR75" i="26"/>
  <c r="AG78" i="26"/>
  <c r="AV80" i="26"/>
  <c r="BN80" i="26" s="1"/>
  <c r="AN81" i="26"/>
  <c r="AX80" i="26"/>
  <c r="BP80" i="26" s="1"/>
  <c r="AC69" i="26"/>
  <c r="AG106" i="26"/>
  <c r="AG77" i="26"/>
  <c r="AQ69" i="26"/>
  <c r="AG74" i="26"/>
  <c r="AQ78" i="26"/>
  <c r="AR71" i="26"/>
  <c r="AG105" i="26"/>
  <c r="AV70" i="26"/>
  <c r="BN70" i="26" s="1"/>
  <c r="AR70" i="26"/>
  <c r="AV73" i="26"/>
  <c r="BN73" i="26" s="1"/>
  <c r="AV78" i="26"/>
  <c r="BN78" i="26" s="1"/>
  <c r="AQ79" i="26"/>
  <c r="AC71" i="26"/>
  <c r="AN78" i="26"/>
  <c r="AN80" i="26"/>
  <c r="AR79" i="26"/>
  <c r="AQ73" i="26"/>
  <c r="AX78" i="26"/>
  <c r="BP78" i="26" s="1"/>
  <c r="AT80" i="26"/>
  <c r="BL80" i="26" s="1"/>
  <c r="AC73" i="26"/>
  <c r="AT76" i="26"/>
  <c r="BL76" i="26" s="1"/>
  <c r="AG103" i="26"/>
  <c r="AC78" i="26"/>
  <c r="AN69" i="26"/>
  <c r="AG76" i="26"/>
  <c r="AG71" i="26"/>
  <c r="AG73" i="26"/>
  <c r="AQ81" i="26"/>
  <c r="AT74" i="26"/>
  <c r="AG108" i="26"/>
  <c r="AG107" i="26"/>
  <c r="AN76" i="26"/>
  <c r="AD71" i="26"/>
  <c r="AT73" i="26"/>
  <c r="BL73" i="26" s="1"/>
  <c r="AR74" i="26"/>
  <c r="AC79" i="26"/>
  <c r="AN75" i="26"/>
  <c r="AT70" i="26"/>
  <c r="AQ72" i="26"/>
  <c r="AT75" i="26"/>
  <c r="BL75" i="26" s="1"/>
  <c r="AG69" i="26"/>
  <c r="AN70" i="26"/>
  <c r="AC76" i="26"/>
  <c r="AV69" i="26"/>
  <c r="BN69" i="26" s="1"/>
  <c r="AV76" i="26"/>
  <c r="BN76" i="26" s="1"/>
  <c r="AQ74" i="26"/>
  <c r="AD70" i="26"/>
  <c r="AT81" i="26"/>
  <c r="BL81" i="26" s="1"/>
  <c r="AG104" i="26"/>
  <c r="AX69" i="26"/>
  <c r="BP69" i="26" s="1"/>
  <c r="AV71" i="26"/>
  <c r="BN71" i="26" s="1"/>
  <c r="AN77" i="26"/>
  <c r="AG75" i="26"/>
  <c r="AN71" i="26"/>
  <c r="AT79" i="26"/>
  <c r="BL79" i="26" s="1"/>
  <c r="AN72" i="26"/>
  <c r="AR76" i="26"/>
  <c r="AT69" i="26"/>
  <c r="BL69" i="26" s="1"/>
  <c r="AV75" i="26"/>
  <c r="BN75" i="26" s="1"/>
  <c r="AQ76" i="26"/>
  <c r="AX79" i="26"/>
  <c r="BP79" i="26" s="1"/>
  <c r="AX100" i="26"/>
  <c r="BP100" i="26" s="1"/>
  <c r="AT77" i="26"/>
  <c r="BL77" i="26" s="1"/>
  <c r="AC75" i="26"/>
  <c r="AV77" i="26"/>
  <c r="BN77" i="26" s="1"/>
  <c r="AG79" i="26"/>
  <c r="AT71" i="26"/>
  <c r="BL71" i="26" s="1"/>
  <c r="AR77" i="26"/>
  <c r="AR72" i="26"/>
  <c r="AT78" i="26"/>
  <c r="BL78" i="26" s="1"/>
  <c r="AQ77" i="26"/>
  <c r="AX99" i="26"/>
  <c r="BP99" i="26" s="1"/>
  <c r="AT72" i="26"/>
  <c r="BL72" i="26" s="1"/>
  <c r="AX109" i="26"/>
  <c r="BP109" i="26" s="1"/>
  <c r="AN109" i="26"/>
  <c r="AG109" i="26"/>
  <c r="AV109" i="26"/>
  <c r="BN109" i="26" s="1"/>
  <c r="AU109" i="26"/>
  <c r="BM109" i="26" s="1"/>
  <c r="AC109" i="26"/>
  <c r="AT109" i="26"/>
  <c r="AQ109" i="26"/>
  <c r="AR109" i="26"/>
  <c r="AU111" i="26"/>
  <c r="BM111" i="26" s="1"/>
  <c r="AG110" i="26"/>
  <c r="AU110" i="26"/>
  <c r="BM110" i="26" s="1"/>
  <c r="AC111" i="26"/>
  <c r="AT111" i="26"/>
  <c r="AX110" i="26"/>
  <c r="BP110" i="26" s="1"/>
  <c r="AN110" i="26"/>
  <c r="AR110" i="26"/>
  <c r="AQ110" i="26"/>
  <c r="AN111" i="26"/>
  <c r="AR111" i="26"/>
  <c r="AQ111" i="26"/>
  <c r="AG111" i="26"/>
  <c r="AV111" i="26"/>
  <c r="BN111" i="26" s="1"/>
  <c r="AC110" i="26"/>
  <c r="AT110" i="26"/>
  <c r="AX111" i="26"/>
  <c r="BP111" i="26" s="1"/>
  <c r="AV110" i="26"/>
  <c r="BN110" i="26" s="1"/>
  <c r="AD102" i="26"/>
  <c r="AG102" i="26"/>
  <c r="AN101" i="26"/>
  <c r="AU101" i="26"/>
  <c r="BM101" i="26" s="1"/>
  <c r="AG101" i="26"/>
  <c r="AV101" i="26"/>
  <c r="BN101" i="26" s="1"/>
  <c r="AX101" i="26"/>
  <c r="BP101" i="26" s="1"/>
  <c r="AT101" i="26"/>
  <c r="AC101" i="26"/>
  <c r="AQ101" i="26"/>
  <c r="AR101" i="26"/>
  <c r="AU100" i="26"/>
  <c r="BM100" i="26" s="1"/>
  <c r="AD101" i="26"/>
  <c r="AU99" i="26"/>
  <c r="BM99" i="26" s="1"/>
  <c r="AN99" i="26"/>
  <c r="AV99" i="26"/>
  <c r="BN99" i="26" s="1"/>
  <c r="AG99" i="26"/>
  <c r="AG100" i="26"/>
  <c r="BC11" i="20" s="1"/>
  <c r="AN100" i="26"/>
  <c r="BC18" i="20" s="1"/>
  <c r="AV100" i="26"/>
  <c r="BN100" i="26" s="1"/>
  <c r="AR100" i="26"/>
  <c r="AR99" i="26"/>
  <c r="AR108" i="26"/>
  <c r="AQ106" i="26"/>
  <c r="AR105" i="26"/>
  <c r="AR102" i="26"/>
  <c r="AQ107" i="26"/>
  <c r="AR107" i="26"/>
  <c r="AR106" i="26"/>
  <c r="AQ102" i="26"/>
  <c r="AR103" i="26"/>
  <c r="AR104" i="26"/>
  <c r="AQ108" i="26"/>
  <c r="AQ99" i="26"/>
  <c r="AQ105" i="26"/>
  <c r="AQ100" i="26"/>
  <c r="AQ103" i="26"/>
  <c r="AQ104" i="26"/>
  <c r="AU103" i="26"/>
  <c r="BM103" i="26" s="1"/>
  <c r="AC99" i="26"/>
  <c r="AU104" i="26"/>
  <c r="BM104" i="26" s="1"/>
  <c r="AX106" i="26"/>
  <c r="BP106" i="26" s="1"/>
  <c r="AU108" i="26"/>
  <c r="BM108" i="26" s="1"/>
  <c r="AC100" i="26"/>
  <c r="BC7" i="20" s="1"/>
  <c r="AV108" i="26"/>
  <c r="BN108" i="26" s="1"/>
  <c r="AX107" i="26"/>
  <c r="BP107" i="26" s="1"/>
  <c r="AV102" i="26"/>
  <c r="BN102" i="26" s="1"/>
  <c r="AX108" i="26"/>
  <c r="BP108" i="26" s="1"/>
  <c r="AX102" i="26"/>
  <c r="BP102" i="26" s="1"/>
  <c r="AX103" i="26"/>
  <c r="BP103" i="26" s="1"/>
  <c r="AV105" i="26"/>
  <c r="BN105" i="26" s="1"/>
  <c r="AV104" i="26"/>
  <c r="BN104" i="26" s="1"/>
  <c r="AU106" i="26"/>
  <c r="BM106" i="26" s="1"/>
  <c r="AT99" i="26"/>
  <c r="BL99" i="26" s="1"/>
  <c r="AT102" i="26"/>
  <c r="AC102" i="26"/>
  <c r="AC104" i="26"/>
  <c r="AT104" i="26"/>
  <c r="BL104" i="26" s="1"/>
  <c r="AN108" i="26"/>
  <c r="AX105" i="26"/>
  <c r="BP105" i="26" s="1"/>
  <c r="AN107" i="26"/>
  <c r="AT103" i="26"/>
  <c r="AC103" i="26"/>
  <c r="AT100" i="26"/>
  <c r="BL100" i="26" s="1"/>
  <c r="AN105" i="26"/>
  <c r="AN104" i="26"/>
  <c r="AV106" i="26"/>
  <c r="BN106" i="26" s="1"/>
  <c r="AC105" i="26"/>
  <c r="AT105" i="26"/>
  <c r="AV103" i="26"/>
  <c r="BN103" i="26" s="1"/>
  <c r="AT108" i="26"/>
  <c r="AC108" i="26"/>
  <c r="AX104" i="26"/>
  <c r="BP104" i="26" s="1"/>
  <c r="AU107" i="26"/>
  <c r="BM107" i="26" s="1"/>
  <c r="AT107" i="26"/>
  <c r="AC107" i="26"/>
  <c r="AU102" i="26"/>
  <c r="BM102" i="26" s="1"/>
  <c r="AN103" i="26"/>
  <c r="AU105" i="26"/>
  <c r="BM105" i="26" s="1"/>
  <c r="AC106" i="26"/>
  <c r="AT106" i="26"/>
  <c r="AN106" i="26"/>
  <c r="AV107" i="26"/>
  <c r="BN107" i="26" s="1"/>
  <c r="AN102" i="26"/>
  <c r="BQ10" i="26"/>
  <c r="BQ17" i="26"/>
  <c r="Z80" i="31" s="1"/>
  <c r="Z81" i="31" s="1"/>
  <c r="BQ14" i="26"/>
  <c r="BQ9" i="26"/>
  <c r="AZ9" i="44" l="1"/>
  <c r="H9" i="44"/>
  <c r="AZ13" i="44"/>
  <c r="O9" i="44"/>
  <c r="AZ15" i="44"/>
  <c r="AZ14" i="44"/>
  <c r="F9" i="44"/>
  <c r="K9" i="44"/>
  <c r="M9" i="44"/>
  <c r="AZ12" i="44"/>
  <c r="J9" i="44"/>
  <c r="AZ8" i="44"/>
  <c r="AZ11" i="44"/>
  <c r="L9" i="44"/>
  <c r="AA23" i="43"/>
  <c r="AR85" i="26"/>
  <c r="AQ85" i="26"/>
  <c r="AU86" i="26"/>
  <c r="BM86" i="26" s="1"/>
  <c r="AQ86" i="26"/>
  <c r="AI27" i="44" s="1"/>
  <c r="AR86" i="26"/>
  <c r="AJ26" i="44" s="1"/>
  <c r="AE8" i="43"/>
  <c r="Y8" i="43"/>
  <c r="F7" i="43"/>
  <c r="AF8" i="43"/>
  <c r="AX17" i="44"/>
  <c r="AX14" i="44"/>
  <c r="O7" i="44"/>
  <c r="N7" i="44"/>
  <c r="G9" i="43"/>
  <c r="N9" i="43"/>
  <c r="AX15" i="44"/>
  <c r="AX16" i="44"/>
  <c r="M7" i="44"/>
  <c r="AX12" i="44"/>
  <c r="J7" i="44"/>
  <c r="I7" i="44"/>
  <c r="AX9" i="44"/>
  <c r="AX11" i="44"/>
  <c r="H7" i="44"/>
  <c r="AX6" i="44"/>
  <c r="G7" i="44"/>
  <c r="AX10" i="44"/>
  <c r="K7" i="44"/>
  <c r="L7" i="44"/>
  <c r="AX13" i="44"/>
  <c r="AI8" i="44"/>
  <c r="U22" i="43"/>
  <c r="AC8" i="44"/>
  <c r="AC22" i="44"/>
  <c r="AE8" i="44"/>
  <c r="AE22" i="44"/>
  <c r="L9" i="43"/>
  <c r="Z22" i="44"/>
  <c r="AA8" i="44"/>
  <c r="AD8" i="44"/>
  <c r="U8" i="44"/>
  <c r="W22" i="43"/>
  <c r="W8" i="43"/>
  <c r="AG22" i="43"/>
  <c r="V8" i="44"/>
  <c r="AB8" i="44"/>
  <c r="AC22" i="43"/>
  <c r="AC8" i="43"/>
  <c r="V22" i="44"/>
  <c r="E9" i="44"/>
  <c r="AI22" i="44"/>
  <c r="AF22" i="44"/>
  <c r="AE22" i="43"/>
  <c r="AD22" i="43"/>
  <c r="AB8" i="43"/>
  <c r="AI22" i="43"/>
  <c r="AG8" i="43"/>
  <c r="Z22" i="43"/>
  <c r="AF22" i="43"/>
  <c r="Z8" i="43"/>
  <c r="Y22" i="43"/>
  <c r="AA22" i="43"/>
  <c r="U8" i="43"/>
  <c r="X22" i="43"/>
  <c r="AA8" i="43"/>
  <c r="AI8" i="43"/>
  <c r="X8" i="43"/>
  <c r="AH22" i="43"/>
  <c r="AH8" i="43"/>
  <c r="AD8" i="43"/>
  <c r="V8" i="43"/>
  <c r="AB22" i="43"/>
  <c r="AJ22" i="43"/>
  <c r="AJ8" i="43"/>
  <c r="Z8" i="44"/>
  <c r="AG8" i="44"/>
  <c r="AF8" i="44"/>
  <c r="AB22" i="44"/>
  <c r="AH22" i="44"/>
  <c r="AH8" i="44"/>
  <c r="AG22" i="44"/>
  <c r="Y8" i="44"/>
  <c r="U22" i="44"/>
  <c r="AJ8" i="44"/>
  <c r="AA22" i="44"/>
  <c r="AD22" i="44"/>
  <c r="Y22" i="44"/>
  <c r="W22" i="44"/>
  <c r="X22" i="44"/>
  <c r="W8" i="44"/>
  <c r="X8" i="44"/>
  <c r="F9" i="43"/>
  <c r="F10" i="43"/>
  <c r="F8" i="43"/>
  <c r="J9" i="43"/>
  <c r="K9" i="43"/>
  <c r="M9" i="43"/>
  <c r="O9" i="43"/>
  <c r="H9" i="43"/>
  <c r="AE6" i="43"/>
  <c r="AM24" i="43"/>
  <c r="X6" i="44"/>
  <c r="Y26" i="44"/>
  <c r="X20" i="44"/>
  <c r="Y20" i="44"/>
  <c r="AL30" i="43"/>
  <c r="AG20" i="44"/>
  <c r="AM30" i="43"/>
  <c r="AL25" i="43"/>
  <c r="AL29" i="43"/>
  <c r="BI121" i="26"/>
  <c r="AL27" i="43"/>
  <c r="BI119" i="26"/>
  <c r="AM31" i="43"/>
  <c r="AJ6" i="43"/>
  <c r="U6" i="43"/>
  <c r="AG6" i="43"/>
  <c r="G13" i="38"/>
  <c r="AJ6" i="44"/>
  <c r="AJ20" i="43"/>
  <c r="Z23" i="20"/>
  <c r="Z26" i="20" s="1"/>
  <c r="Z38" i="31"/>
  <c r="Z39" i="31" s="1"/>
  <c r="F13" i="38"/>
  <c r="AG6" i="44"/>
  <c r="E13" i="38"/>
  <c r="AL28" i="43"/>
  <c r="AB6" i="43"/>
  <c r="AG20" i="43"/>
  <c r="AA6" i="43"/>
  <c r="Y6" i="43"/>
  <c r="AF6" i="43"/>
  <c r="D10" i="43"/>
  <c r="AE20" i="43"/>
  <c r="AM28" i="43"/>
  <c r="AL26" i="43"/>
  <c r="AM29" i="43"/>
  <c r="Z20" i="43"/>
  <c r="AH6" i="43"/>
  <c r="AM27" i="43"/>
  <c r="Y20" i="43"/>
  <c r="Z6" i="43"/>
  <c r="AM26" i="43"/>
  <c r="AL24" i="43"/>
  <c r="W20" i="43"/>
  <c r="W6" i="43"/>
  <c r="AB20" i="43"/>
  <c r="Z20" i="44"/>
  <c r="Z6" i="44"/>
  <c r="BI89" i="26"/>
  <c r="AF6" i="44"/>
  <c r="W20" i="44"/>
  <c r="Y6" i="44"/>
  <c r="AJ20" i="44"/>
  <c r="AB20" i="44"/>
  <c r="AF20" i="44"/>
  <c r="AB6" i="44"/>
  <c r="AC20" i="44"/>
  <c r="AA20" i="44"/>
  <c r="AA6" i="44"/>
  <c r="AH12" i="44"/>
  <c r="D7" i="43"/>
  <c r="AH20" i="43"/>
  <c r="AI20" i="43"/>
  <c r="AH20" i="44"/>
  <c r="AF20" i="43"/>
  <c r="AH6" i="44"/>
  <c r="X20" i="43"/>
  <c r="AD20" i="43"/>
  <c r="AE20" i="44"/>
  <c r="X6" i="43"/>
  <c r="AD6" i="43"/>
  <c r="AE6" i="44"/>
  <c r="AI6" i="44"/>
  <c r="V20" i="44"/>
  <c r="V6" i="43"/>
  <c r="AI20" i="44"/>
  <c r="W6" i="44"/>
  <c r="V6" i="44"/>
  <c r="U6" i="44"/>
  <c r="U20" i="44"/>
  <c r="AA20" i="43"/>
  <c r="AC20" i="43"/>
  <c r="AD20" i="44"/>
  <c r="D8" i="43"/>
  <c r="AC6" i="43"/>
  <c r="AD6" i="44"/>
  <c r="U20" i="43"/>
  <c r="D9" i="43"/>
  <c r="AI6" i="43"/>
  <c r="AC6" i="44"/>
  <c r="AA12" i="44"/>
  <c r="V12" i="43"/>
  <c r="AB12" i="43"/>
  <c r="V12" i="44"/>
  <c r="K23" i="20"/>
  <c r="K26" i="20" s="1"/>
  <c r="AB26" i="20" s="1"/>
  <c r="AH26" i="43"/>
  <c r="Y26" i="43"/>
  <c r="AF26" i="43"/>
  <c r="AB26" i="43"/>
  <c r="AE26" i="43"/>
  <c r="AE12" i="43"/>
  <c r="U12" i="43"/>
  <c r="AG26" i="43"/>
  <c r="AH12" i="43"/>
  <c r="AG12" i="43"/>
  <c r="Y12" i="43"/>
  <c r="W26" i="43"/>
  <c r="W12" i="43"/>
  <c r="J7" i="43"/>
  <c r="U26" i="43"/>
  <c r="Z26" i="44"/>
  <c r="Y12" i="44"/>
  <c r="Z12" i="44"/>
  <c r="U26" i="44"/>
  <c r="AD12" i="44"/>
  <c r="AB26" i="44"/>
  <c r="AD26" i="44"/>
  <c r="W26" i="44"/>
  <c r="AF12" i="44"/>
  <c r="E13" i="42"/>
  <c r="AB12" i="44"/>
  <c r="W12" i="44"/>
  <c r="AG26" i="44"/>
  <c r="X26" i="44"/>
  <c r="U12" i="44"/>
  <c r="AG12" i="44"/>
  <c r="X12" i="44"/>
  <c r="AI12" i="43"/>
  <c r="AI12" i="44"/>
  <c r="AD12" i="43"/>
  <c r="AE26" i="44"/>
  <c r="AA26" i="43"/>
  <c r="AE12" i="44"/>
  <c r="AJ12" i="44"/>
  <c r="Z26" i="43"/>
  <c r="AF12" i="43"/>
  <c r="AD26" i="43"/>
  <c r="X26" i="43"/>
  <c r="AA12" i="43"/>
  <c r="X12" i="43"/>
  <c r="AC26" i="43"/>
  <c r="Z12" i="43"/>
  <c r="AC26" i="44"/>
  <c r="AJ12" i="43"/>
  <c r="AI26" i="43"/>
  <c r="AC12" i="43"/>
  <c r="J8" i="43"/>
  <c r="J10" i="43"/>
  <c r="AJ26" i="43"/>
  <c r="AH26" i="44"/>
  <c r="AF26" i="44"/>
  <c r="AA26" i="44"/>
  <c r="AC12" i="44"/>
  <c r="AA24" i="43"/>
  <c r="F14" i="42"/>
  <c r="X30" i="44"/>
  <c r="X31" i="44"/>
  <c r="X27" i="44"/>
  <c r="X29" i="44"/>
  <c r="X28" i="44"/>
  <c r="W25" i="44"/>
  <c r="W21" i="44"/>
  <c r="Z9" i="44"/>
  <c r="Z10" i="44"/>
  <c r="X7" i="44"/>
  <c r="X11" i="44"/>
  <c r="X21" i="44"/>
  <c r="X25" i="44"/>
  <c r="U7" i="44"/>
  <c r="U11" i="44"/>
  <c r="X17" i="44"/>
  <c r="X16" i="44"/>
  <c r="X13" i="44"/>
  <c r="X14" i="44"/>
  <c r="X15" i="44"/>
  <c r="AG27" i="44"/>
  <c r="AG29" i="44"/>
  <c r="AG28" i="44"/>
  <c r="AG30" i="44"/>
  <c r="AG31" i="44"/>
  <c r="AE25" i="44"/>
  <c r="AE21" i="44"/>
  <c r="AH7" i="44"/>
  <c r="AH11" i="44"/>
  <c r="W7" i="44"/>
  <c r="W11" i="44"/>
  <c r="Z23" i="44"/>
  <c r="Z24" i="44"/>
  <c r="AH25" i="44"/>
  <c r="AH21" i="44"/>
  <c r="AY14" i="44"/>
  <c r="AY15" i="44"/>
  <c r="O8" i="44"/>
  <c r="N8" i="44"/>
  <c r="M8" i="44"/>
  <c r="AY16" i="44"/>
  <c r="L8" i="44"/>
  <c r="K8" i="44"/>
  <c r="AY13" i="44"/>
  <c r="AY17" i="44"/>
  <c r="Y13" i="44"/>
  <c r="Y14" i="44"/>
  <c r="Y15" i="44"/>
  <c r="Y16" i="44"/>
  <c r="Y17" i="44"/>
  <c r="AG13" i="44"/>
  <c r="AG15" i="44"/>
  <c r="AG16" i="44"/>
  <c r="AG17" i="44"/>
  <c r="AG14" i="44"/>
  <c r="AE7" i="44"/>
  <c r="AE11" i="44"/>
  <c r="V16" i="44"/>
  <c r="V17" i="44"/>
  <c r="V14" i="44"/>
  <c r="V15" i="44"/>
  <c r="V13" i="44"/>
  <c r="AD25" i="44"/>
  <c r="AD21" i="44"/>
  <c r="U9" i="44"/>
  <c r="U10" i="44"/>
  <c r="AY6" i="44"/>
  <c r="D8" i="44"/>
  <c r="AY8" i="44"/>
  <c r="F8" i="44"/>
  <c r="AI21" i="44"/>
  <c r="AC25" i="44"/>
  <c r="AC21" i="44"/>
  <c r="W24" i="44"/>
  <c r="W23" i="44"/>
  <c r="AA25" i="44"/>
  <c r="AA21" i="44"/>
  <c r="AD7" i="44"/>
  <c r="AD11" i="44"/>
  <c r="Y7" i="44"/>
  <c r="Y11" i="44"/>
  <c r="U15" i="44"/>
  <c r="U17" i="44"/>
  <c r="U16" i="44"/>
  <c r="U13" i="44"/>
  <c r="U14" i="44"/>
  <c r="AJ21" i="44"/>
  <c r="AC11" i="44"/>
  <c r="AC7" i="44"/>
  <c r="AE24" i="44"/>
  <c r="AE23" i="44"/>
  <c r="W9" i="44"/>
  <c r="W10" i="44"/>
  <c r="AA27" i="44"/>
  <c r="AA28" i="44"/>
  <c r="AA31" i="44"/>
  <c r="AA29" i="44"/>
  <c r="AA30" i="44"/>
  <c r="AG25" i="44"/>
  <c r="AG21" i="44"/>
  <c r="AA11" i="44"/>
  <c r="AA7" i="44"/>
  <c r="AE10" i="44"/>
  <c r="AE9" i="44"/>
  <c r="AA13" i="44"/>
  <c r="AA14" i="44"/>
  <c r="AA15" i="44"/>
  <c r="AA16" i="44"/>
  <c r="AA17" i="44"/>
  <c r="AG7" i="44"/>
  <c r="AG11" i="44"/>
  <c r="AW15" i="44"/>
  <c r="AW16" i="44"/>
  <c r="O6" i="44"/>
  <c r="N6" i="44"/>
  <c r="AW14" i="44"/>
  <c r="AW13" i="44"/>
  <c r="AW17" i="44"/>
  <c r="M6" i="44"/>
  <c r="L6" i="44"/>
  <c r="K6" i="44"/>
  <c r="F7" i="44"/>
  <c r="AX8" i="44"/>
  <c r="AC27" i="44"/>
  <c r="AC28" i="44"/>
  <c r="AC29" i="44"/>
  <c r="AC30" i="44"/>
  <c r="AC31" i="44"/>
  <c r="AI14" i="44"/>
  <c r="AI15" i="44"/>
  <c r="AI16" i="44"/>
  <c r="AI17" i="44"/>
  <c r="AI13" i="44"/>
  <c r="G6" i="44"/>
  <c r="H6" i="44"/>
  <c r="AW9" i="44"/>
  <c r="AW10" i="44"/>
  <c r="AB27" i="44"/>
  <c r="AB28" i="44"/>
  <c r="AB29" i="44"/>
  <c r="AB31" i="44"/>
  <c r="AB30" i="44"/>
  <c r="AC13" i="44"/>
  <c r="AC14" i="44"/>
  <c r="AC15" i="44"/>
  <c r="AC16" i="44"/>
  <c r="AC17" i="44"/>
  <c r="AI11" i="44"/>
  <c r="AI7" i="44"/>
  <c r="AB13" i="44"/>
  <c r="AB14" i="44"/>
  <c r="AB15" i="44"/>
  <c r="AB16" i="44"/>
  <c r="AB17" i="44"/>
  <c r="Z31" i="44"/>
  <c r="Z27" i="44"/>
  <c r="Z28" i="44"/>
  <c r="Z29" i="44"/>
  <c r="Z30" i="44"/>
  <c r="AD27" i="44"/>
  <c r="AD28" i="44"/>
  <c r="AD29" i="44"/>
  <c r="AD30" i="44"/>
  <c r="AD31" i="44"/>
  <c r="Z21" i="44"/>
  <c r="Z25" i="44"/>
  <c r="Y21" i="44"/>
  <c r="Y25" i="44"/>
  <c r="AW6" i="44"/>
  <c r="D6" i="44"/>
  <c r="H10" i="44"/>
  <c r="G10" i="44"/>
  <c r="BA10" i="44"/>
  <c r="BA9" i="44"/>
  <c r="Z13" i="44"/>
  <c r="Z14" i="44"/>
  <c r="Z15" i="44"/>
  <c r="Z16" i="44"/>
  <c r="Z17" i="44"/>
  <c r="AD13" i="44"/>
  <c r="AD14" i="44"/>
  <c r="AD15" i="44"/>
  <c r="AD16" i="44"/>
  <c r="AD17" i="44"/>
  <c r="Z11" i="44"/>
  <c r="Z7" i="44"/>
  <c r="AB23" i="44"/>
  <c r="AB24" i="44"/>
  <c r="U23" i="44"/>
  <c r="U24" i="44"/>
  <c r="AH28" i="44"/>
  <c r="AH27" i="44"/>
  <c r="AH29" i="44"/>
  <c r="AH30" i="44"/>
  <c r="AH31" i="44"/>
  <c r="AB21" i="44"/>
  <c r="AB25" i="44"/>
  <c r="AC23" i="44"/>
  <c r="AC24" i="44"/>
  <c r="AY10" i="44"/>
  <c r="H8" i="44"/>
  <c r="AY9" i="44"/>
  <c r="G8" i="44"/>
  <c r="AJ13" i="44"/>
  <c r="AJ15" i="44"/>
  <c r="AJ14" i="44"/>
  <c r="AJ17" i="44"/>
  <c r="AJ16" i="44"/>
  <c r="AF10" i="44"/>
  <c r="AF9" i="44"/>
  <c r="AF11" i="44"/>
  <c r="AF7" i="44"/>
  <c r="X24" i="44"/>
  <c r="X23" i="44"/>
  <c r="AB10" i="44"/>
  <c r="AB9" i="44"/>
  <c r="AH24" i="44"/>
  <c r="AH23" i="44"/>
  <c r="AH16" i="44"/>
  <c r="AH17" i="44"/>
  <c r="AH15" i="44"/>
  <c r="AH14" i="44"/>
  <c r="AH13" i="44"/>
  <c r="AF25" i="44"/>
  <c r="AF21" i="44"/>
  <c r="AB11" i="44"/>
  <c r="AB7" i="44"/>
  <c r="AD23" i="44"/>
  <c r="AD24" i="44"/>
  <c r="AC9" i="44"/>
  <c r="AC10" i="44"/>
  <c r="Y31" i="44"/>
  <c r="Y27" i="44"/>
  <c r="Y28" i="44"/>
  <c r="Y30" i="44"/>
  <c r="Y29" i="44"/>
  <c r="AH10" i="44"/>
  <c r="AH9" i="44"/>
  <c r="AD9" i="44"/>
  <c r="AD10" i="44"/>
  <c r="AE13" i="44"/>
  <c r="AE14" i="44"/>
  <c r="AE15" i="44"/>
  <c r="AE16" i="44"/>
  <c r="AE17" i="44"/>
  <c r="AJ10" i="44"/>
  <c r="AJ9" i="44"/>
  <c r="BA8" i="44"/>
  <c r="F10" i="44"/>
  <c r="V9" i="44"/>
  <c r="V10" i="44"/>
  <c r="AF24" i="44"/>
  <c r="AF23" i="44"/>
  <c r="AI9" i="44"/>
  <c r="AI10" i="44"/>
  <c r="AF28" i="44"/>
  <c r="AF29" i="44"/>
  <c r="AF27" i="44"/>
  <c r="AF30" i="44"/>
  <c r="AF31" i="44"/>
  <c r="AG23" i="44"/>
  <c r="AG24" i="44"/>
  <c r="X9" i="44"/>
  <c r="X10" i="44"/>
  <c r="I6" i="44"/>
  <c r="AW11" i="44"/>
  <c r="AF14" i="44"/>
  <c r="AF15" i="44"/>
  <c r="AF16" i="44"/>
  <c r="AF17" i="44"/>
  <c r="AF13" i="44"/>
  <c r="AG9" i="44"/>
  <c r="AG10" i="44"/>
  <c r="U29" i="44"/>
  <c r="U30" i="44"/>
  <c r="U31" i="44"/>
  <c r="U28" i="44"/>
  <c r="U27" i="44"/>
  <c r="V7" i="44"/>
  <c r="V11" i="44"/>
  <c r="Y23" i="44"/>
  <c r="Y24" i="44"/>
  <c r="J10" i="44"/>
  <c r="BA12" i="44"/>
  <c r="AW12" i="44"/>
  <c r="J6" i="44"/>
  <c r="Y9" i="44"/>
  <c r="Y10" i="44"/>
  <c r="AY11" i="44"/>
  <c r="AY7" i="44"/>
  <c r="E8" i="44"/>
  <c r="I8" i="44"/>
  <c r="U21" i="44"/>
  <c r="U25" i="44"/>
  <c r="AA24" i="44"/>
  <c r="AA23" i="44"/>
  <c r="BA14" i="44"/>
  <c r="N10" i="44"/>
  <c r="M10" i="44"/>
  <c r="BA15" i="44"/>
  <c r="K10" i="44"/>
  <c r="BA16" i="44"/>
  <c r="BA13" i="44"/>
  <c r="BA17" i="44"/>
  <c r="O10" i="44"/>
  <c r="L10" i="44"/>
  <c r="AA9" i="44"/>
  <c r="AA10" i="44"/>
  <c r="BA6" i="44"/>
  <c r="D10" i="44"/>
  <c r="AY12" i="44"/>
  <c r="J8" i="44"/>
  <c r="W30" i="44"/>
  <c r="W31" i="44"/>
  <c r="W27" i="44"/>
  <c r="W29" i="44"/>
  <c r="W28" i="44"/>
  <c r="AJ11" i="44"/>
  <c r="AJ7" i="44"/>
  <c r="BA7" i="44"/>
  <c r="BA11" i="44"/>
  <c r="I10" i="44"/>
  <c r="E10" i="44"/>
  <c r="W17" i="44"/>
  <c r="W16" i="44"/>
  <c r="W13" i="44"/>
  <c r="W15" i="44"/>
  <c r="W14" i="44"/>
  <c r="AE28" i="44"/>
  <c r="AE29" i="44"/>
  <c r="AE30" i="44"/>
  <c r="AE27" i="44"/>
  <c r="AE31" i="44"/>
  <c r="AJ13" i="43"/>
  <c r="AJ14" i="43"/>
  <c r="AJ15" i="43"/>
  <c r="AJ16" i="43"/>
  <c r="AJ17" i="43"/>
  <c r="AJ11" i="43"/>
  <c r="AJ7" i="43"/>
  <c r="Y9" i="43"/>
  <c r="Y10" i="43"/>
  <c r="AG9" i="43"/>
  <c r="AG10" i="43"/>
  <c r="U27" i="43"/>
  <c r="U28" i="43"/>
  <c r="U29" i="43"/>
  <c r="U30" i="43"/>
  <c r="U31" i="43"/>
  <c r="AC13" i="43"/>
  <c r="AC15" i="43"/>
  <c r="AC17" i="43"/>
  <c r="AC14" i="43"/>
  <c r="AC16" i="43"/>
  <c r="X21" i="43"/>
  <c r="X25" i="43"/>
  <c r="U23" i="43"/>
  <c r="U24" i="43"/>
  <c r="I10" i="43"/>
  <c r="E10" i="43"/>
  <c r="X23" i="43"/>
  <c r="X24" i="43"/>
  <c r="X7" i="43"/>
  <c r="X11" i="43"/>
  <c r="Y29" i="43"/>
  <c r="Y30" i="43"/>
  <c r="Y31" i="43"/>
  <c r="Y28" i="43"/>
  <c r="Y27" i="43"/>
  <c r="AG23" i="43"/>
  <c r="AG24" i="43"/>
  <c r="AG13" i="43"/>
  <c r="AG15" i="43"/>
  <c r="AG14" i="43"/>
  <c r="AG16" i="43"/>
  <c r="AG17" i="43"/>
  <c r="AI17" i="43"/>
  <c r="AI13" i="43"/>
  <c r="AI14" i="43"/>
  <c r="AI15" i="43"/>
  <c r="AI16" i="43"/>
  <c r="X10" i="43"/>
  <c r="X9" i="43"/>
  <c r="E7" i="43"/>
  <c r="I7" i="43"/>
  <c r="H10" i="43"/>
  <c r="G10" i="43"/>
  <c r="U21" i="43"/>
  <c r="U25" i="43"/>
  <c r="G14" i="42"/>
  <c r="AD25" i="43"/>
  <c r="AD21" i="43"/>
  <c r="N10" i="43"/>
  <c r="M10" i="43"/>
  <c r="L10" i="43"/>
  <c r="K10" i="43"/>
  <c r="O10" i="43"/>
  <c r="Y7" i="43"/>
  <c r="Y11" i="43"/>
  <c r="AH25" i="43"/>
  <c r="AH21" i="43"/>
  <c r="V10" i="43"/>
  <c r="V9" i="43"/>
  <c r="AD9" i="43"/>
  <c r="AD10" i="43"/>
  <c r="AJ10" i="43"/>
  <c r="AJ9" i="43"/>
  <c r="V7" i="43"/>
  <c r="V11" i="43"/>
  <c r="AB24" i="43"/>
  <c r="AB23" i="43"/>
  <c r="AH11" i="43"/>
  <c r="AH7" i="43"/>
  <c r="V14" i="43"/>
  <c r="V17" i="43"/>
  <c r="V13" i="43"/>
  <c r="V15" i="43"/>
  <c r="V16" i="43"/>
  <c r="Z27" i="43"/>
  <c r="Z28" i="43"/>
  <c r="Z30" i="43"/>
  <c r="Z31" i="43"/>
  <c r="Z29" i="43"/>
  <c r="H14" i="42"/>
  <c r="AG27" i="43"/>
  <c r="AG28" i="43"/>
  <c r="AG31" i="43"/>
  <c r="AG30" i="43"/>
  <c r="AG29" i="43"/>
  <c r="Y17" i="43"/>
  <c r="Y13" i="43"/>
  <c r="Y15" i="43"/>
  <c r="Y14" i="43"/>
  <c r="Y16" i="43"/>
  <c r="AB9" i="43"/>
  <c r="AB10" i="43"/>
  <c r="AE23" i="43"/>
  <c r="AE24" i="43"/>
  <c r="Z15" i="43"/>
  <c r="Z13" i="43"/>
  <c r="Z17" i="43"/>
  <c r="Z14" i="43"/>
  <c r="Z16" i="43"/>
  <c r="AB28" i="43"/>
  <c r="AB29" i="43"/>
  <c r="AB31" i="43"/>
  <c r="AB30" i="43"/>
  <c r="AB27" i="43"/>
  <c r="I14" i="42"/>
  <c r="AH31" i="43"/>
  <c r="AH27" i="43"/>
  <c r="AH28" i="43"/>
  <c r="AH30" i="43"/>
  <c r="AH29" i="43"/>
  <c r="AI25" i="43"/>
  <c r="AI21" i="43"/>
  <c r="AE9" i="43"/>
  <c r="AE10" i="43"/>
  <c r="Z23" i="43"/>
  <c r="Z24" i="43"/>
  <c r="AD29" i="43"/>
  <c r="AD30" i="43"/>
  <c r="AD31" i="43"/>
  <c r="AD28" i="43"/>
  <c r="AD27" i="43"/>
  <c r="AB17" i="43"/>
  <c r="AB16" i="43"/>
  <c r="AB15" i="43"/>
  <c r="AB14" i="43"/>
  <c r="AB13" i="43"/>
  <c r="AD7" i="43"/>
  <c r="AD11" i="43"/>
  <c r="AA21" i="43"/>
  <c r="AA25" i="43"/>
  <c r="Z9" i="43"/>
  <c r="Z10" i="43"/>
  <c r="AD13" i="43"/>
  <c r="AD14" i="43"/>
  <c r="AD17" i="43"/>
  <c r="AD16" i="43"/>
  <c r="AD15" i="43"/>
  <c r="AH24" i="43"/>
  <c r="AH23" i="43"/>
  <c r="AH16" i="43"/>
  <c r="AH13" i="43"/>
  <c r="AH14" i="43"/>
  <c r="AH15" i="43"/>
  <c r="AH17" i="43"/>
  <c r="U11" i="43"/>
  <c r="U7" i="43"/>
  <c r="AA7" i="43"/>
  <c r="AA11" i="43"/>
  <c r="W21" i="43"/>
  <c r="W25" i="43"/>
  <c r="AB21" i="43"/>
  <c r="AB25" i="43"/>
  <c r="AJ23" i="43"/>
  <c r="AJ24" i="43"/>
  <c r="AH9" i="43"/>
  <c r="AH10" i="43"/>
  <c r="I8" i="43"/>
  <c r="E8" i="43"/>
  <c r="AJ25" i="43"/>
  <c r="AJ21" i="43"/>
  <c r="U10" i="43"/>
  <c r="U9" i="43"/>
  <c r="AE28" i="43"/>
  <c r="AE27" i="43"/>
  <c r="AE30" i="43"/>
  <c r="AE31" i="43"/>
  <c r="AE29" i="43"/>
  <c r="AC7" i="43"/>
  <c r="AC11" i="43"/>
  <c r="U13" i="43"/>
  <c r="U16" i="43"/>
  <c r="U17" i="43"/>
  <c r="U15" i="43"/>
  <c r="U14" i="43"/>
  <c r="M8" i="43"/>
  <c r="L8" i="43"/>
  <c r="O8" i="43"/>
  <c r="K8" i="43"/>
  <c r="N8" i="43"/>
  <c r="AE13" i="43"/>
  <c r="AE14" i="43"/>
  <c r="AE15" i="43"/>
  <c r="AE17" i="43"/>
  <c r="AE16" i="43"/>
  <c r="AE7" i="43"/>
  <c r="AE11" i="43"/>
  <c r="Y23" i="43"/>
  <c r="Y24" i="43"/>
  <c r="AF30" i="43"/>
  <c r="AF31" i="43"/>
  <c r="AF27" i="43"/>
  <c r="AF28" i="43"/>
  <c r="AF29" i="43"/>
  <c r="AC21" i="43"/>
  <c r="AC25" i="43"/>
  <c r="H7" i="43"/>
  <c r="G7" i="43"/>
  <c r="AB7" i="43"/>
  <c r="AB11" i="43"/>
  <c r="AI10" i="43"/>
  <c r="AI9" i="43"/>
  <c r="AF9" i="43"/>
  <c r="AF10" i="43"/>
  <c r="N7" i="43"/>
  <c r="M7" i="43"/>
  <c r="O7" i="43"/>
  <c r="K7" i="43"/>
  <c r="L7" i="43"/>
  <c r="AF21" i="43"/>
  <c r="AF25" i="43"/>
  <c r="Y21" i="43"/>
  <c r="Y25" i="43"/>
  <c r="AA9" i="43"/>
  <c r="AA10" i="43"/>
  <c r="W7" i="43"/>
  <c r="W11" i="43"/>
  <c r="W23" i="43"/>
  <c r="W24" i="43"/>
  <c r="AG25" i="43"/>
  <c r="AG21" i="43"/>
  <c r="Z21" i="43"/>
  <c r="Z25" i="43"/>
  <c r="W28" i="43"/>
  <c r="W29" i="43"/>
  <c r="W30" i="43"/>
  <c r="W31" i="43"/>
  <c r="W27" i="43"/>
  <c r="AI27" i="43"/>
  <c r="AI28" i="43"/>
  <c r="AI31" i="43"/>
  <c r="AI30" i="43"/>
  <c r="AI29" i="43"/>
  <c r="AC23" i="43"/>
  <c r="AC24" i="43"/>
  <c r="AA30" i="43"/>
  <c r="AA31" i="43"/>
  <c r="AA28" i="43"/>
  <c r="AA29" i="43"/>
  <c r="AA27" i="43"/>
  <c r="I9" i="43"/>
  <c r="E9" i="43"/>
  <c r="AF7" i="43"/>
  <c r="AF11" i="43"/>
  <c r="H8" i="43"/>
  <c r="G8" i="43"/>
  <c r="W10" i="43"/>
  <c r="W9" i="43"/>
  <c r="AG11" i="43"/>
  <c r="AG7" i="43"/>
  <c r="Z7" i="43"/>
  <c r="Z11" i="43"/>
  <c r="W15" i="43"/>
  <c r="W13" i="43"/>
  <c r="W17" i="43"/>
  <c r="W14" i="43"/>
  <c r="W16" i="43"/>
  <c r="AJ27" i="43"/>
  <c r="AJ28" i="43"/>
  <c r="AJ29" i="43"/>
  <c r="AJ31" i="43"/>
  <c r="AJ30" i="43"/>
  <c r="AC9" i="43"/>
  <c r="AC10" i="43"/>
  <c r="X27" i="43"/>
  <c r="X29" i="43"/>
  <c r="X30" i="43"/>
  <c r="X31" i="43"/>
  <c r="X28" i="43"/>
  <c r="AA17" i="43"/>
  <c r="AA14" i="43"/>
  <c r="AA16" i="43"/>
  <c r="AA15" i="43"/>
  <c r="AA13" i="43"/>
  <c r="AC31" i="43"/>
  <c r="AC28" i="43"/>
  <c r="AC27" i="43"/>
  <c r="AC30" i="43"/>
  <c r="AC29" i="43"/>
  <c r="AI24" i="43"/>
  <c r="AI23" i="43"/>
  <c r="AE25" i="43"/>
  <c r="AE21" i="43"/>
  <c r="AF13" i="43"/>
  <c r="AF14" i="43"/>
  <c r="AF15" i="43"/>
  <c r="AF16" i="43"/>
  <c r="AF17" i="43"/>
  <c r="AI7" i="43"/>
  <c r="AI11" i="43"/>
  <c r="AD23" i="43"/>
  <c r="AD24" i="43"/>
  <c r="AF23" i="43"/>
  <c r="AF24" i="43"/>
  <c r="X16" i="43"/>
  <c r="X15" i="43"/>
  <c r="X17" i="43"/>
  <c r="X14" i="43"/>
  <c r="X13" i="43"/>
  <c r="AT6" i="42"/>
  <c r="AU6" i="42" s="1"/>
  <c r="AT7" i="42"/>
  <c r="AU7" i="42" s="1"/>
  <c r="J14" i="42"/>
  <c r="AT6" i="38"/>
  <c r="AU6" i="38" s="1"/>
  <c r="AT7" i="38"/>
  <c r="AU7" i="38" s="1"/>
  <c r="BD15" i="20"/>
  <c r="BD16" i="20"/>
  <c r="BD12" i="20"/>
  <c r="BD10" i="20"/>
  <c r="BF10" i="20" s="1"/>
  <c r="BB11" i="20"/>
  <c r="BD11" i="20"/>
  <c r="BF11" i="20" s="1"/>
  <c r="BD8" i="20"/>
  <c r="BD20" i="20"/>
  <c r="BB18" i="20"/>
  <c r="BD9" i="20"/>
  <c r="BD14" i="20"/>
  <c r="BB7" i="20"/>
  <c r="BD19" i="20"/>
  <c r="AO14" i="20"/>
  <c r="BD17" i="20"/>
  <c r="BD13" i="20"/>
  <c r="AN8" i="20"/>
  <c r="AN10" i="20"/>
  <c r="BC17" i="20"/>
  <c r="AN14" i="20"/>
  <c r="AO8" i="20"/>
  <c r="AN18" i="20"/>
  <c r="AO7" i="20"/>
  <c r="AN11" i="20"/>
  <c r="BC8" i="20"/>
  <c r="AN20" i="20"/>
  <c r="BC14" i="20"/>
  <c r="AO22" i="20"/>
  <c r="AO21" i="20"/>
  <c r="BC19" i="20"/>
  <c r="BC16" i="20"/>
  <c r="BC9" i="20"/>
  <c r="AO10" i="20"/>
  <c r="AO20" i="20"/>
  <c r="AO9" i="20"/>
  <c r="BC22" i="20"/>
  <c r="BC21" i="20"/>
  <c r="AO18" i="20"/>
  <c r="AN7" i="20"/>
  <c r="BC20" i="20"/>
  <c r="AO17" i="20"/>
  <c r="AO16" i="20"/>
  <c r="AO15" i="20"/>
  <c r="AO13" i="20"/>
  <c r="AO19" i="20"/>
  <c r="AQ19" i="20" s="1"/>
  <c r="BC12" i="20"/>
  <c r="BC15" i="20"/>
  <c r="AN15" i="20"/>
  <c r="AN17" i="20"/>
  <c r="AN22" i="20"/>
  <c r="AN21" i="20"/>
  <c r="AN12" i="20"/>
  <c r="AN9" i="20"/>
  <c r="AN16" i="20"/>
  <c r="BC13" i="20"/>
  <c r="AO12" i="20"/>
  <c r="AO11" i="20"/>
  <c r="AN13" i="20"/>
  <c r="AM21" i="20"/>
  <c r="AM22" i="20"/>
  <c r="AM12" i="20"/>
  <c r="AM7" i="20"/>
  <c r="AM20" i="20"/>
  <c r="AM19" i="20"/>
  <c r="AM17" i="20"/>
  <c r="AM9" i="20"/>
  <c r="AM8" i="20"/>
  <c r="AM11" i="20"/>
  <c r="AM16" i="20"/>
  <c r="AM10" i="20"/>
  <c r="AM15" i="20"/>
  <c r="AM14" i="20"/>
  <c r="AM13" i="20"/>
  <c r="AM18" i="20"/>
  <c r="BB20" i="20"/>
  <c r="BB12" i="20"/>
  <c r="BB22" i="20"/>
  <c r="BB21" i="20"/>
  <c r="BB9" i="20"/>
  <c r="BB14" i="20"/>
  <c r="BB10" i="20"/>
  <c r="BB16" i="20"/>
  <c r="BB8" i="20"/>
  <c r="BB13" i="20"/>
  <c r="BB19" i="20"/>
  <c r="BB15" i="20"/>
  <c r="BB17" i="20"/>
  <c r="AT91" i="26"/>
  <c r="BL91" i="26" s="1"/>
  <c r="BQ91" i="26" s="1"/>
  <c r="AT89" i="26"/>
  <c r="AY89" i="26" s="1"/>
  <c r="AT85" i="26"/>
  <c r="AT86" i="26"/>
  <c r="BN93" i="26"/>
  <c r="AT84" i="26"/>
  <c r="AT92" i="26"/>
  <c r="AD86" i="26"/>
  <c r="V24" i="44" s="1"/>
  <c r="AD85" i="26"/>
  <c r="V21" i="44" s="1"/>
  <c r="AT87" i="26"/>
  <c r="AT88" i="26"/>
  <c r="AT93" i="26"/>
  <c r="BL93" i="26" s="1"/>
  <c r="AT95" i="26"/>
  <c r="AT90" i="26"/>
  <c r="AD116" i="26"/>
  <c r="AT94" i="26"/>
  <c r="AT96" i="26"/>
  <c r="AT122" i="26"/>
  <c r="AY122" i="26" s="1"/>
  <c r="AT121" i="26"/>
  <c r="AT124" i="26"/>
  <c r="AT119" i="26"/>
  <c r="BM126" i="26"/>
  <c r="AT118" i="26"/>
  <c r="BM117" i="26"/>
  <c r="AT114" i="26"/>
  <c r="AT115" i="26"/>
  <c r="AT126" i="26"/>
  <c r="BL126" i="26" s="1"/>
  <c r="AT117" i="26"/>
  <c r="BL117" i="26" s="1"/>
  <c r="AT116" i="26"/>
  <c r="AT123" i="26"/>
  <c r="AT120" i="26"/>
  <c r="AD117" i="26"/>
  <c r="AT125" i="26"/>
  <c r="AY74" i="26"/>
  <c r="AY76" i="26"/>
  <c r="BL74" i="26"/>
  <c r="AY75" i="26"/>
  <c r="AY73" i="26"/>
  <c r="BQ81" i="26"/>
  <c r="AY70" i="26"/>
  <c r="BQ80" i="26"/>
  <c r="BL70" i="26"/>
  <c r="E6" i="44" s="1"/>
  <c r="AY80" i="26"/>
  <c r="AY71" i="26"/>
  <c r="BQ71" i="26"/>
  <c r="AY81" i="26"/>
  <c r="AY72" i="26"/>
  <c r="BQ79" i="26"/>
  <c r="AY79" i="26"/>
  <c r="AY69" i="26"/>
  <c r="AY77" i="26"/>
  <c r="AY78" i="26"/>
  <c r="BL109" i="26"/>
  <c r="BQ109" i="26" s="1"/>
  <c r="AY109" i="26"/>
  <c r="BL110" i="26"/>
  <c r="BQ110" i="26" s="1"/>
  <c r="AY110" i="26"/>
  <c r="BL111" i="26"/>
  <c r="BQ111" i="26" s="1"/>
  <c r="AY111" i="26"/>
  <c r="BD7" i="20"/>
  <c r="BD18" i="20"/>
  <c r="BF18" i="20" s="1"/>
  <c r="BD22" i="20"/>
  <c r="BD21" i="20"/>
  <c r="BL101" i="26"/>
  <c r="BQ101" i="26" s="1"/>
  <c r="AY101" i="26"/>
  <c r="AY99" i="26"/>
  <c r="AY100" i="26"/>
  <c r="AY102" i="26"/>
  <c r="BL102" i="26"/>
  <c r="D6" i="43" s="1"/>
  <c r="AY107" i="26"/>
  <c r="BL108" i="26"/>
  <c r="AY108" i="26"/>
  <c r="BL103" i="26"/>
  <c r="AY103" i="26"/>
  <c r="AY104" i="26"/>
  <c r="AY105" i="26"/>
  <c r="BL105" i="26"/>
  <c r="AY106" i="26"/>
  <c r="BL106" i="26"/>
  <c r="BL107" i="26"/>
  <c r="BQ107" i="26" s="1"/>
  <c r="BR13" i="26"/>
  <c r="BR16" i="26"/>
  <c r="BR20" i="26"/>
  <c r="BR19" i="26"/>
  <c r="BR21" i="26"/>
  <c r="BR15" i="26"/>
  <c r="BR12" i="26"/>
  <c r="BR18" i="26"/>
  <c r="BS13" i="26"/>
  <c r="BS16" i="26"/>
  <c r="BS21" i="26"/>
  <c r="BS20" i="26"/>
  <c r="BS19" i="26"/>
  <c r="BS15" i="26"/>
  <c r="BS12" i="26"/>
  <c r="BS18" i="26"/>
  <c r="BS14" i="26"/>
  <c r="BR14" i="26"/>
  <c r="BS17" i="26"/>
  <c r="BR17" i="26"/>
  <c r="BQ69" i="26"/>
  <c r="AT6" i="44" s="1"/>
  <c r="AU6" i="44" s="1"/>
  <c r="BQ100" i="26"/>
  <c r="AT7" i="43" s="1"/>
  <c r="AU7" i="43" s="1"/>
  <c r="BQ99" i="26"/>
  <c r="AT6" i="43" s="1"/>
  <c r="AU6" i="43" s="1"/>
  <c r="V28" i="44" l="1"/>
  <c r="V25" i="44"/>
  <c r="V27" i="44"/>
  <c r="AK27" i="44" s="1"/>
  <c r="V31" i="44"/>
  <c r="V30" i="44"/>
  <c r="V29" i="44"/>
  <c r="V23" i="44"/>
  <c r="V26" i="44"/>
  <c r="AI23" i="44"/>
  <c r="AJ31" i="44"/>
  <c r="AJ30" i="44"/>
  <c r="AI25" i="44"/>
  <c r="AK25" i="44" s="1"/>
  <c r="AJ28" i="44"/>
  <c r="AJ22" i="44"/>
  <c r="AJ29" i="44"/>
  <c r="AJ27" i="44"/>
  <c r="AI26" i="44"/>
  <c r="AJ24" i="44"/>
  <c r="AJ23" i="44"/>
  <c r="AJ25" i="44"/>
  <c r="AI31" i="44"/>
  <c r="AK31" i="44" s="1"/>
  <c r="AI28" i="44"/>
  <c r="AK28" i="44" s="1"/>
  <c r="AI24" i="44"/>
  <c r="AK24" i="44" s="1"/>
  <c r="AI29" i="44"/>
  <c r="AK29" i="44" s="1"/>
  <c r="AI30" i="44"/>
  <c r="V23" i="43"/>
  <c r="AK23" i="43" s="1"/>
  <c r="AO23" i="43" s="1"/>
  <c r="BJ122" i="26"/>
  <c r="BJ74" i="26"/>
  <c r="BA74" i="26"/>
  <c r="AZ74" i="26"/>
  <c r="BJ76" i="26"/>
  <c r="AZ76" i="26"/>
  <c r="BA76" i="26"/>
  <c r="BJ75" i="26"/>
  <c r="BA75" i="26"/>
  <c r="AZ75" i="26"/>
  <c r="BJ73" i="26"/>
  <c r="BA73" i="26"/>
  <c r="AZ73" i="26"/>
  <c r="BJ80" i="26"/>
  <c r="BA80" i="26"/>
  <c r="AZ80" i="26"/>
  <c r="BJ81" i="26"/>
  <c r="AZ81" i="26"/>
  <c r="BA81" i="26"/>
  <c r="BJ72" i="26"/>
  <c r="G17" i="45" s="1"/>
  <c r="G22" i="45" s="1"/>
  <c r="BA72" i="26"/>
  <c r="AZ72" i="26"/>
  <c r="BJ79" i="26"/>
  <c r="AZ79" i="26"/>
  <c r="BA79" i="26"/>
  <c r="BJ77" i="26"/>
  <c r="BA77" i="26"/>
  <c r="AZ77" i="26"/>
  <c r="BJ78" i="26"/>
  <c r="BA78" i="26"/>
  <c r="AZ78" i="26"/>
  <c r="BJ109" i="26"/>
  <c r="AZ109" i="26"/>
  <c r="BA109" i="26"/>
  <c r="BJ110" i="26"/>
  <c r="BA110" i="26"/>
  <c r="AZ110" i="26"/>
  <c r="BJ111" i="26"/>
  <c r="AZ111" i="26"/>
  <c r="BA111" i="26"/>
  <c r="BJ102" i="26"/>
  <c r="BA102" i="26"/>
  <c r="AZ102" i="26"/>
  <c r="BJ107" i="26"/>
  <c r="BA107" i="26"/>
  <c r="AZ107" i="26"/>
  <c r="BJ108" i="26"/>
  <c r="BA108" i="26"/>
  <c r="AZ108" i="26"/>
  <c r="BJ103" i="26"/>
  <c r="BA103" i="26"/>
  <c r="AZ103" i="26"/>
  <c r="BJ104" i="26"/>
  <c r="BA104" i="26"/>
  <c r="AZ104" i="26"/>
  <c r="BJ105" i="26"/>
  <c r="AZ105" i="26"/>
  <c r="BA105" i="26"/>
  <c r="BJ106" i="26"/>
  <c r="BA106" i="26"/>
  <c r="AZ106" i="26"/>
  <c r="AW7" i="44"/>
  <c r="AK22" i="44"/>
  <c r="AK8" i="44"/>
  <c r="AO8" i="44" s="1"/>
  <c r="AK8" i="43"/>
  <c r="AO8" i="43" s="1"/>
  <c r="V28" i="43"/>
  <c r="AK28" i="43" s="1"/>
  <c r="AO28" i="43" s="1"/>
  <c r="V22" i="43"/>
  <c r="AK22" i="43" s="1"/>
  <c r="AO22" i="43" s="1"/>
  <c r="F6" i="43"/>
  <c r="F11" i="43" s="1"/>
  <c r="V29" i="43"/>
  <c r="AK29" i="43" s="1"/>
  <c r="AO29" i="43" s="1"/>
  <c r="V31" i="43"/>
  <c r="AK31" i="43" s="1"/>
  <c r="AO31" i="43" s="1"/>
  <c r="V26" i="43"/>
  <c r="AK26" i="43" s="1"/>
  <c r="AO26" i="43" s="1"/>
  <c r="V27" i="43"/>
  <c r="AK27" i="43" s="1"/>
  <c r="AO27" i="43" s="1"/>
  <c r="V30" i="43"/>
  <c r="AK30" i="43" s="1"/>
  <c r="AO30" i="43" s="1"/>
  <c r="BJ89" i="26"/>
  <c r="Z24" i="20"/>
  <c r="Z25" i="20" s="1"/>
  <c r="AK6" i="43"/>
  <c r="AO6" i="43" s="1"/>
  <c r="D11" i="43"/>
  <c r="AK20" i="44"/>
  <c r="AO20" i="44" s="1"/>
  <c r="AK6" i="44"/>
  <c r="AO6" i="44" s="1"/>
  <c r="K24" i="20"/>
  <c r="K25" i="20" s="1"/>
  <c r="V20" i="43"/>
  <c r="AK20" i="43" s="1"/>
  <c r="AO20" i="43" s="1"/>
  <c r="J6" i="43"/>
  <c r="J11" i="43" s="1"/>
  <c r="AK12" i="43"/>
  <c r="AO12" i="43" s="1"/>
  <c r="AK12" i="44"/>
  <c r="AO12" i="44" s="1"/>
  <c r="V24" i="43"/>
  <c r="AK24" i="43" s="1"/>
  <c r="AO24" i="43" s="1"/>
  <c r="AK14" i="43"/>
  <c r="AO14" i="43" s="1"/>
  <c r="I11" i="44"/>
  <c r="H11" i="44"/>
  <c r="N11" i="44"/>
  <c r="O11" i="44"/>
  <c r="AK21" i="44"/>
  <c r="AO21" i="44" s="1"/>
  <c r="L11" i="44"/>
  <c r="E11" i="44"/>
  <c r="D11" i="44"/>
  <c r="AK14" i="44"/>
  <c r="AO14" i="44" s="1"/>
  <c r="AK13" i="44"/>
  <c r="AO13" i="44" s="1"/>
  <c r="AK10" i="44"/>
  <c r="AO10" i="44" s="1"/>
  <c r="AK16" i="44"/>
  <c r="AO16" i="44" s="1"/>
  <c r="AK9" i="44"/>
  <c r="AO9" i="44" s="1"/>
  <c r="AK11" i="44"/>
  <c r="AO11" i="44" s="1"/>
  <c r="AK17" i="44"/>
  <c r="AO17" i="44" s="1"/>
  <c r="AK7" i="44"/>
  <c r="AO7" i="44" s="1"/>
  <c r="G11" i="44"/>
  <c r="K11" i="44"/>
  <c r="AK15" i="44"/>
  <c r="AO15" i="44" s="1"/>
  <c r="F6" i="44"/>
  <c r="F11" i="44" s="1"/>
  <c r="AW8" i="44"/>
  <c r="M11" i="44"/>
  <c r="J11" i="44"/>
  <c r="J14" i="44" s="1"/>
  <c r="AK17" i="43"/>
  <c r="AO17" i="43" s="1"/>
  <c r="AK16" i="43"/>
  <c r="AO16" i="43" s="1"/>
  <c r="AK13" i="43"/>
  <c r="AO13" i="43" s="1"/>
  <c r="V21" i="43"/>
  <c r="AK21" i="43" s="1"/>
  <c r="AO21" i="43" s="1"/>
  <c r="V25" i="43"/>
  <c r="AK25" i="43" s="1"/>
  <c r="AO25" i="43" s="1"/>
  <c r="AK15" i="43"/>
  <c r="AO15" i="43" s="1"/>
  <c r="N6" i="43"/>
  <c r="N11" i="43" s="1"/>
  <c r="M6" i="43"/>
  <c r="M11" i="43" s="1"/>
  <c r="L6" i="43"/>
  <c r="L11" i="43" s="1"/>
  <c r="K6" i="43"/>
  <c r="K11" i="43" s="1"/>
  <c r="O6" i="43"/>
  <c r="O11" i="43" s="1"/>
  <c r="AK7" i="43"/>
  <c r="AO7" i="43" s="1"/>
  <c r="AK11" i="43"/>
  <c r="AO11" i="43" s="1"/>
  <c r="AK9" i="43"/>
  <c r="AO9" i="43" s="1"/>
  <c r="AK10" i="43"/>
  <c r="AO10" i="43" s="1"/>
  <c r="I6" i="43"/>
  <c r="I11" i="43" s="1"/>
  <c r="I13" i="43" s="1"/>
  <c r="E6" i="43"/>
  <c r="E11" i="43" s="1"/>
  <c r="H6" i="43"/>
  <c r="H11" i="43" s="1"/>
  <c r="H13" i="43" s="1"/>
  <c r="G6" i="43"/>
  <c r="G11" i="43" s="1"/>
  <c r="G13" i="43" s="1"/>
  <c r="BF20" i="20"/>
  <c r="BE9" i="20"/>
  <c r="BE8" i="20"/>
  <c r="BF12" i="20"/>
  <c r="BE12" i="20"/>
  <c r="BF19" i="20"/>
  <c r="BE20" i="20"/>
  <c r="BF9" i="20"/>
  <c r="AQ14" i="20"/>
  <c r="AP14" i="20"/>
  <c r="BF8" i="20"/>
  <c r="BE16" i="20"/>
  <c r="BF15" i="20"/>
  <c r="BF16" i="20"/>
  <c r="BE15" i="20"/>
  <c r="BE19" i="20"/>
  <c r="BE11" i="20"/>
  <c r="BE10" i="20"/>
  <c r="BE14" i="20"/>
  <c r="BF14" i="20"/>
  <c r="BQ105" i="26"/>
  <c r="BS105" i="26" s="1"/>
  <c r="BE17" i="20"/>
  <c r="BF17" i="20"/>
  <c r="BF13" i="20"/>
  <c r="BE13" i="20"/>
  <c r="AN26" i="20"/>
  <c r="AO26" i="20"/>
  <c r="BC26" i="20"/>
  <c r="BF7" i="20"/>
  <c r="M26" i="20"/>
  <c r="AQ18" i="20"/>
  <c r="AP15" i="20"/>
  <c r="AP18" i="20"/>
  <c r="AP9" i="20"/>
  <c r="AP11" i="20"/>
  <c r="AP20" i="20"/>
  <c r="AP19" i="20"/>
  <c r="AP8" i="20"/>
  <c r="AP17" i="20"/>
  <c r="AP22" i="20"/>
  <c r="AQ8" i="20"/>
  <c r="AP10" i="20"/>
  <c r="AQ11" i="20"/>
  <c r="AP12" i="20"/>
  <c r="AQ20" i="20"/>
  <c r="AQ12" i="20"/>
  <c r="AQ21" i="20"/>
  <c r="AQ13" i="20"/>
  <c r="AN24" i="20"/>
  <c r="AN25" i="20" s="1"/>
  <c r="AP21" i="20"/>
  <c r="AQ9" i="20"/>
  <c r="AQ22" i="20"/>
  <c r="AQ10" i="20"/>
  <c r="AQ16" i="20"/>
  <c r="BQ102" i="26"/>
  <c r="BR102" i="26" s="1"/>
  <c r="AP13" i="20"/>
  <c r="AQ17" i="20"/>
  <c r="BC24" i="20"/>
  <c r="BC25" i="20" s="1"/>
  <c r="AQ7" i="20"/>
  <c r="AO24" i="20"/>
  <c r="AO25" i="20" s="1"/>
  <c r="BQ70" i="26"/>
  <c r="AT7" i="44" s="1"/>
  <c r="AU7" i="44" s="1"/>
  <c r="AQ15" i="20"/>
  <c r="AP16" i="20"/>
  <c r="AM24" i="20"/>
  <c r="AM25" i="20" s="1"/>
  <c r="AP7" i="20"/>
  <c r="BE18" i="20"/>
  <c r="BE21" i="20"/>
  <c r="BF21" i="20"/>
  <c r="BF22" i="20"/>
  <c r="BE22" i="20"/>
  <c r="BE7" i="20"/>
  <c r="BL89" i="26"/>
  <c r="BQ89" i="26" s="1"/>
  <c r="BQ93" i="26"/>
  <c r="AY93" i="26"/>
  <c r="AY91" i="26"/>
  <c r="AY88" i="26"/>
  <c r="BL88" i="26"/>
  <c r="BQ88" i="26" s="1"/>
  <c r="AY87" i="26"/>
  <c r="BL87" i="26"/>
  <c r="BQ87" i="26" s="1"/>
  <c r="BL92" i="26"/>
  <c r="BQ92" i="26" s="1"/>
  <c r="AY92" i="26"/>
  <c r="BL96" i="26"/>
  <c r="BQ96" i="26" s="1"/>
  <c r="AY96" i="26"/>
  <c r="BL84" i="26"/>
  <c r="BQ84" i="26" s="1"/>
  <c r="BR91" i="26" s="1"/>
  <c r="AY84" i="26"/>
  <c r="AZ89" i="26" s="1"/>
  <c r="AY94" i="26"/>
  <c r="BL94" i="26"/>
  <c r="BQ94" i="26" s="1"/>
  <c r="BQ117" i="26"/>
  <c r="AY90" i="26"/>
  <c r="BL90" i="26"/>
  <c r="BQ90" i="26" s="1"/>
  <c r="AY86" i="26"/>
  <c r="BL86" i="26"/>
  <c r="BQ86" i="26" s="1"/>
  <c r="BQ126" i="26"/>
  <c r="AY95" i="26"/>
  <c r="BL95" i="26"/>
  <c r="BQ95" i="26" s="1"/>
  <c r="BL85" i="26"/>
  <c r="BQ85" i="26" s="1"/>
  <c r="AY85" i="26"/>
  <c r="BA89" i="26" s="1"/>
  <c r="BL122" i="26"/>
  <c r="BQ122" i="26" s="1"/>
  <c r="AY120" i="26"/>
  <c r="BL120" i="26"/>
  <c r="BQ120" i="26" s="1"/>
  <c r="BL123" i="26"/>
  <c r="BQ123" i="26" s="1"/>
  <c r="AY123" i="26"/>
  <c r="BL116" i="26"/>
  <c r="BQ116" i="26" s="1"/>
  <c r="AY116" i="26"/>
  <c r="BL115" i="26"/>
  <c r="BQ115" i="26" s="1"/>
  <c r="AT21" i="43" s="1"/>
  <c r="AY115" i="26"/>
  <c r="BA122" i="26" s="1"/>
  <c r="AY114" i="26"/>
  <c r="AZ122" i="26" s="1"/>
  <c r="BL114" i="26"/>
  <c r="BQ114" i="26" s="1"/>
  <c r="AY117" i="26"/>
  <c r="AY118" i="26"/>
  <c r="BL118" i="26"/>
  <c r="BQ118" i="26" s="1"/>
  <c r="AY126" i="26"/>
  <c r="AY125" i="26"/>
  <c r="BL125" i="26"/>
  <c r="BQ125" i="26" s="1"/>
  <c r="AY119" i="26"/>
  <c r="BL119" i="26"/>
  <c r="BQ119" i="26" s="1"/>
  <c r="BL124" i="26"/>
  <c r="BQ124" i="26" s="1"/>
  <c r="AY124" i="26"/>
  <c r="AY121" i="26"/>
  <c r="BL121" i="26"/>
  <c r="BQ121" i="26" s="1"/>
  <c r="BB24" i="20"/>
  <c r="BB25" i="20" s="1"/>
  <c r="BR111" i="26"/>
  <c r="BR81" i="26"/>
  <c r="BS109" i="26"/>
  <c r="BR79" i="26"/>
  <c r="BS110" i="26"/>
  <c r="BR110" i="26"/>
  <c r="BR80" i="26"/>
  <c r="BR109" i="26"/>
  <c r="BS111" i="26"/>
  <c r="BR107" i="26"/>
  <c r="BS107" i="26"/>
  <c r="BQ104" i="26"/>
  <c r="BQ108" i="26"/>
  <c r="BQ106" i="26"/>
  <c r="BQ103" i="26"/>
  <c r="BQ72" i="26"/>
  <c r="AK26" i="44" l="1"/>
  <c r="AO26" i="44" s="1"/>
  <c r="AK30" i="44"/>
  <c r="E15" i="45"/>
  <c r="F15" i="45"/>
  <c r="F20" i="45" s="1"/>
  <c r="G15" i="45"/>
  <c r="G20" i="45" s="1"/>
  <c r="D15" i="45"/>
  <c r="D20" i="45" s="1"/>
  <c r="F17" i="45"/>
  <c r="F22" i="45" s="1"/>
  <c r="D17" i="45"/>
  <c r="D22" i="45" s="1"/>
  <c r="E17" i="45"/>
  <c r="F13" i="43"/>
  <c r="AK23" i="44"/>
  <c r="AO23" i="44" s="1"/>
  <c r="AO29" i="44"/>
  <c r="AO24" i="44"/>
  <c r="AO27" i="44"/>
  <c r="AO25" i="44"/>
  <c r="AO30" i="44"/>
  <c r="AO22" i="44"/>
  <c r="AO28" i="44"/>
  <c r="AZ136" i="26"/>
  <c r="AO31" i="44"/>
  <c r="AZ140" i="26"/>
  <c r="AZ135" i="26"/>
  <c r="AZ134" i="26"/>
  <c r="AZ139" i="26"/>
  <c r="AZ132" i="26"/>
  <c r="AZ141" i="26"/>
  <c r="AZ133" i="26"/>
  <c r="AZ138" i="26"/>
  <c r="AZ137" i="26"/>
  <c r="BR89" i="26"/>
  <c r="BS89" i="26"/>
  <c r="BR93" i="26"/>
  <c r="BS93" i="26"/>
  <c r="BJ93" i="26"/>
  <c r="AZ93" i="26"/>
  <c r="BA93" i="26"/>
  <c r="BJ91" i="26"/>
  <c r="BA91" i="26"/>
  <c r="AZ91" i="26"/>
  <c r="BJ88" i="26"/>
  <c r="AZ88" i="26"/>
  <c r="BA88" i="26"/>
  <c r="BR88" i="26"/>
  <c r="BS88" i="26"/>
  <c r="BJ87" i="26"/>
  <c r="BA87" i="26"/>
  <c r="AZ87" i="26"/>
  <c r="K12" i="44"/>
  <c r="BS87" i="26"/>
  <c r="BR87" i="26"/>
  <c r="BR92" i="26"/>
  <c r="BS92" i="26"/>
  <c r="BJ92" i="26"/>
  <c r="AZ92" i="26"/>
  <c r="BA92" i="26"/>
  <c r="BS96" i="26"/>
  <c r="BR96" i="26"/>
  <c r="BJ96" i="26"/>
  <c r="BA96" i="26"/>
  <c r="AZ96" i="26"/>
  <c r="BJ94" i="26"/>
  <c r="AZ94" i="26"/>
  <c r="BA94" i="26"/>
  <c r="BR94" i="26"/>
  <c r="BS94" i="26"/>
  <c r="BR117" i="26"/>
  <c r="BS117" i="26"/>
  <c r="BJ90" i="26"/>
  <c r="AZ90" i="26"/>
  <c r="BA90" i="26"/>
  <c r="BS90" i="26"/>
  <c r="BR90" i="26"/>
  <c r="BS126" i="26"/>
  <c r="BR126" i="26"/>
  <c r="BJ95" i="26"/>
  <c r="AZ95" i="26"/>
  <c r="BA95" i="26"/>
  <c r="BR95" i="26"/>
  <c r="BS95" i="26"/>
  <c r="AT21" i="44"/>
  <c r="BS91" i="26"/>
  <c r="BR122" i="26"/>
  <c r="BS122" i="26"/>
  <c r="BJ120" i="26"/>
  <c r="BA120" i="26"/>
  <c r="AZ120" i="26"/>
  <c r="BS120" i="26"/>
  <c r="BR120" i="26"/>
  <c r="BR123" i="26"/>
  <c r="BS123" i="26"/>
  <c r="BJ123" i="26"/>
  <c r="BA123" i="26"/>
  <c r="AZ123" i="26"/>
  <c r="BJ117" i="26"/>
  <c r="BA117" i="26"/>
  <c r="AZ117" i="26"/>
  <c r="BJ118" i="26"/>
  <c r="BA118" i="26"/>
  <c r="AZ118" i="26"/>
  <c r="BS118" i="26"/>
  <c r="BR118" i="26"/>
  <c r="BJ126" i="26"/>
  <c r="BA126" i="26"/>
  <c r="AZ126" i="26"/>
  <c r="BJ125" i="26"/>
  <c r="BA125" i="26"/>
  <c r="AZ125" i="26"/>
  <c r="BR125" i="26"/>
  <c r="BS125" i="26"/>
  <c r="BJ119" i="26"/>
  <c r="BA119" i="26"/>
  <c r="AZ119" i="26"/>
  <c r="BR119" i="26"/>
  <c r="BS119" i="26"/>
  <c r="BS124" i="26"/>
  <c r="BR124" i="26"/>
  <c r="BJ124" i="26"/>
  <c r="BA124" i="26"/>
  <c r="AZ124" i="26"/>
  <c r="BJ121" i="26"/>
  <c r="BA121" i="26"/>
  <c r="AZ121" i="26"/>
  <c r="BS121" i="26"/>
  <c r="BR121" i="26"/>
  <c r="M24" i="20"/>
  <c r="F12" i="43"/>
  <c r="J12" i="44"/>
  <c r="F12" i="44"/>
  <c r="M12" i="44"/>
  <c r="N12" i="44"/>
  <c r="L12" i="44"/>
  <c r="O12" i="44"/>
  <c r="E13" i="43"/>
  <c r="L24" i="20"/>
  <c r="AA24" i="20"/>
  <c r="AB24" i="20"/>
  <c r="F13" i="44"/>
  <c r="F14" i="44" s="1"/>
  <c r="G13" i="44"/>
  <c r="G14" i="44" s="1"/>
  <c r="H13" i="44"/>
  <c r="H14" i="44" s="1"/>
  <c r="I13" i="44"/>
  <c r="I14" i="44" s="1"/>
  <c r="E13" i="44"/>
  <c r="E14" i="44" s="1"/>
  <c r="J12" i="43"/>
  <c r="H12" i="44"/>
  <c r="G12" i="44"/>
  <c r="I12" i="44"/>
  <c r="E12" i="44"/>
  <c r="D12" i="44"/>
  <c r="AT20" i="44"/>
  <c r="D12" i="43"/>
  <c r="AT20" i="43"/>
  <c r="E12" i="43"/>
  <c r="I12" i="43"/>
  <c r="K12" i="43"/>
  <c r="N12" i="43"/>
  <c r="O12" i="43"/>
  <c r="M12" i="43"/>
  <c r="L12" i="43"/>
  <c r="G12" i="43"/>
  <c r="H12" i="43"/>
  <c r="BR139" i="26"/>
  <c r="BR141" i="26"/>
  <c r="BR140" i="26"/>
  <c r="D9" i="20"/>
  <c r="BR105" i="26"/>
  <c r="D8" i="20"/>
  <c r="AQ26" i="20"/>
  <c r="BD23" i="20"/>
  <c r="BS102" i="26"/>
  <c r="AQ24" i="20"/>
  <c r="BS80" i="26"/>
  <c r="BS81" i="26"/>
  <c r="AP24" i="20"/>
  <c r="BS79" i="26"/>
  <c r="BS104" i="26"/>
  <c r="BR104" i="26"/>
  <c r="BS103" i="26"/>
  <c r="BR103" i="26"/>
  <c r="BR72" i="26"/>
  <c r="BS72" i="26"/>
  <c r="BS106" i="26"/>
  <c r="BR106" i="26"/>
  <c r="BR108" i="26"/>
  <c r="BS108" i="26"/>
  <c r="BQ75" i="26"/>
  <c r="BQ78" i="26"/>
  <c r="BQ76" i="26"/>
  <c r="BQ73" i="26"/>
  <c r="BQ74" i="26"/>
  <c r="BQ77" i="26"/>
  <c r="BR132" i="26" l="1"/>
  <c r="E16" i="45" s="1"/>
  <c r="G16" i="45"/>
  <c r="G21" i="45" s="1"/>
  <c r="F16" i="45"/>
  <c r="F21" i="45" s="1"/>
  <c r="E22" i="45"/>
  <c r="D15" i="20" s="1"/>
  <c r="C15" i="20"/>
  <c r="E20" i="45"/>
  <c r="D13" i="20" s="1"/>
  <c r="C13" i="20"/>
  <c r="BD24" i="20"/>
  <c r="BD26" i="20"/>
  <c r="BF26" i="20" s="1"/>
  <c r="BS74" i="26"/>
  <c r="BR74" i="26"/>
  <c r="BR134" i="26" s="1"/>
  <c r="BS75" i="26"/>
  <c r="BR75" i="26"/>
  <c r="BR135" i="26" s="1"/>
  <c r="BS73" i="26"/>
  <c r="BR73" i="26"/>
  <c r="BR133" i="26" s="1"/>
  <c r="BR76" i="26"/>
  <c r="BR136" i="26" s="1"/>
  <c r="BS76" i="26"/>
  <c r="BR78" i="26"/>
  <c r="BR138" i="26" s="1"/>
  <c r="BS78" i="26"/>
  <c r="BR77" i="26"/>
  <c r="BR137" i="26" s="1"/>
  <c r="BS77" i="26"/>
  <c r="E21" i="45" l="1"/>
  <c r="D14" i="20" s="1"/>
  <c r="C14" i="20"/>
  <c r="BD25" i="20"/>
  <c r="BF24" i="20"/>
  <c r="BE24" i="20"/>
  <c r="AE34" i="26" l="1"/>
  <c r="AK36" i="26"/>
  <c r="AP32" i="26"/>
  <c r="AP31" i="26"/>
  <c r="AL33" i="26"/>
  <c r="AP34" i="26"/>
  <c r="AP33" i="26"/>
  <c r="AO28" i="26"/>
  <c r="AL36" i="26"/>
  <c r="AI36" i="26"/>
  <c r="AO30" i="26"/>
  <c r="AL32" i="26"/>
  <c r="AI34" i="26"/>
  <c r="AH34" i="26"/>
  <c r="AO31" i="26"/>
  <c r="AO36" i="26"/>
  <c r="AH36" i="26"/>
  <c r="AF34" i="26"/>
  <c r="AO29" i="26"/>
  <c r="AM25" i="26"/>
  <c r="AJ36" i="26"/>
  <c r="AO34" i="26"/>
  <c r="AM28" i="26"/>
  <c r="AL29" i="26"/>
  <c r="AP29" i="26"/>
  <c r="AF26" i="26"/>
  <c r="AO33" i="26"/>
  <c r="AF36" i="26"/>
  <c r="AK34" i="26"/>
  <c r="AM30" i="26"/>
  <c r="AE36" i="26"/>
  <c r="AL34" i="26"/>
  <c r="AM34" i="26"/>
  <c r="AP28" i="26"/>
  <c r="AP30" i="26"/>
  <c r="AP25" i="26"/>
  <c r="AM36" i="26"/>
  <c r="AM31" i="26"/>
  <c r="AL31" i="26"/>
  <c r="AL28" i="26"/>
  <c r="AO32" i="26"/>
  <c r="AO27" i="26"/>
  <c r="AJ34" i="26"/>
  <c r="AM32" i="26"/>
  <c r="AP36" i="26"/>
  <c r="AO25" i="26"/>
  <c r="AM29" i="26"/>
  <c r="AM33" i="26"/>
  <c r="AL25" i="26"/>
  <c r="AL30" i="26"/>
  <c r="AE26" i="26"/>
  <c r="AR28" i="26"/>
  <c r="AQ28" i="26"/>
  <c r="AP35" i="26"/>
  <c r="AI26" i="26"/>
  <c r="AQ32" i="26"/>
  <c r="AR32" i="26"/>
  <c r="AW26" i="26"/>
  <c r="BO26" i="26" s="1"/>
  <c r="AR36" i="26"/>
  <c r="AQ36" i="26"/>
  <c r="AO35" i="26"/>
  <c r="AL35" i="26"/>
  <c r="AR34" i="26"/>
  <c r="AQ34" i="26"/>
  <c r="AK26" i="26"/>
  <c r="AL24" i="26"/>
  <c r="AR33" i="26"/>
  <c r="AQ33" i="26"/>
  <c r="AP26" i="26"/>
  <c r="AR29" i="26"/>
  <c r="AQ29" i="26"/>
  <c r="AC34" i="26"/>
  <c r="AN32" i="26"/>
  <c r="AN30" i="26"/>
  <c r="AN31" i="26"/>
  <c r="AQ30" i="26"/>
  <c r="AR30" i="26"/>
  <c r="AG36" i="26"/>
  <c r="AG34" i="26"/>
  <c r="AN34" i="26"/>
  <c r="AJ26" i="26"/>
  <c r="AR25" i="26"/>
  <c r="AQ25" i="26"/>
  <c r="AQ31" i="26"/>
  <c r="AR31" i="26"/>
  <c r="AP24" i="26"/>
  <c r="AC36" i="26"/>
  <c r="AN36" i="26"/>
  <c r="AM35" i="26"/>
  <c r="AM24" i="26"/>
  <c r="AN29" i="26"/>
  <c r="AH26" i="26"/>
  <c r="AD36" i="26"/>
  <c r="AN33" i="26"/>
  <c r="AD34" i="26"/>
  <c r="AL26" i="26"/>
  <c r="AD26" i="26"/>
  <c r="AM26" i="26"/>
  <c r="AO24" i="26"/>
  <c r="AO26" i="26"/>
  <c r="AN28" i="26"/>
  <c r="AW34" i="26"/>
  <c r="BO34" i="26" s="1"/>
  <c r="AN25" i="26"/>
  <c r="AW36" i="26"/>
  <c r="BO36" i="26" s="1"/>
  <c r="AQ35" i="26"/>
  <c r="AR24" i="26"/>
  <c r="AN35" i="26"/>
  <c r="AR35" i="26"/>
  <c r="AV26" i="26"/>
  <c r="BN26" i="26" s="1"/>
  <c r="AN24" i="26"/>
  <c r="AC26" i="26"/>
  <c r="AQ26" i="26"/>
  <c r="AR26" i="26"/>
  <c r="AL27" i="26"/>
  <c r="AN26" i="26"/>
  <c r="AQ24" i="26"/>
  <c r="AG26" i="26"/>
  <c r="AU26" i="26"/>
  <c r="BM26" i="26" s="1"/>
  <c r="AX26" i="26"/>
  <c r="BP26" i="26" s="1"/>
  <c r="AP27" i="26"/>
  <c r="AT26" i="26"/>
  <c r="AQ27" i="26"/>
  <c r="AR27" i="26"/>
  <c r="AM27" i="26"/>
  <c r="AN27" i="26"/>
  <c r="AF27" i="26"/>
  <c r="AJ33" i="26"/>
  <c r="AK29" i="26"/>
  <c r="AH25" i="26"/>
  <c r="AF33" i="26"/>
  <c r="AK32" i="26"/>
  <c r="AJ32" i="26"/>
  <c r="AE31" i="26"/>
  <c r="AJ27" i="26"/>
  <c r="AI33" i="26"/>
  <c r="AF31" i="26"/>
  <c r="AK31" i="26"/>
  <c r="AJ28" i="26"/>
  <c r="AH27" i="26"/>
  <c r="AH32" i="26"/>
  <c r="AF29" i="26"/>
  <c r="AJ29" i="26"/>
  <c r="AI27" i="26"/>
  <c r="AX36" i="26"/>
  <c r="BP36" i="26" s="1"/>
  <c r="AF32" i="26"/>
  <c r="AE28" i="26"/>
  <c r="AX34" i="26"/>
  <c r="BP34" i="26" s="1"/>
  <c r="AV34" i="26"/>
  <c r="BN34" i="26" s="1"/>
  <c r="AF25" i="26"/>
  <c r="AE30" i="26"/>
  <c r="AK30" i="26"/>
  <c r="AH29" i="26"/>
  <c r="AI25" i="26"/>
  <c r="AI32" i="26"/>
  <c r="AU36" i="26"/>
  <c r="BM36" i="26" s="1"/>
  <c r="AI28" i="26"/>
  <c r="AE32" i="26"/>
  <c r="AH31" i="26"/>
  <c r="AU34" i="26"/>
  <c r="BM34" i="26" s="1"/>
  <c r="AI31" i="26"/>
  <c r="AE33" i="26"/>
  <c r="AK25" i="26"/>
  <c r="AJ31" i="26"/>
  <c r="AE25" i="26"/>
  <c r="AK27" i="26"/>
  <c r="AH28" i="26"/>
  <c r="AK28" i="26"/>
  <c r="AF30" i="26"/>
  <c r="AI29" i="26"/>
  <c r="AF28" i="26"/>
  <c r="AJ30" i="26"/>
  <c r="AJ25" i="26"/>
  <c r="AK33" i="26"/>
  <c r="AH33" i="26"/>
  <c r="AV36" i="26"/>
  <c r="BN36" i="26" s="1"/>
  <c r="AH30" i="26"/>
  <c r="AI30" i="26"/>
  <c r="AE29" i="26"/>
  <c r="AW31" i="26"/>
  <c r="BO31" i="26" s="1"/>
  <c r="AG31" i="26"/>
  <c r="AC33" i="26"/>
  <c r="AW27" i="26"/>
  <c r="BO27" i="26" s="1"/>
  <c r="AC27" i="26"/>
  <c r="AG30" i="26"/>
  <c r="AC31" i="26"/>
  <c r="AD25" i="26"/>
  <c r="AV33" i="26"/>
  <c r="BN33" i="26" s="1"/>
  <c r="AG29" i="26"/>
  <c r="AC28" i="26"/>
  <c r="AC25" i="26"/>
  <c r="AW33" i="26"/>
  <c r="BO33" i="26" s="1"/>
  <c r="AG32" i="26"/>
  <c r="AX30" i="26"/>
  <c r="BP30" i="26" s="1"/>
  <c r="AC30" i="26"/>
  <c r="AX31" i="26"/>
  <c r="BP31" i="26" s="1"/>
  <c r="AW30" i="26"/>
  <c r="BO30" i="26" s="1"/>
  <c r="AW32" i="26"/>
  <c r="BO32" i="26" s="1"/>
  <c r="AC32" i="26"/>
  <c r="AX28" i="26"/>
  <c r="BP28" i="26" s="1"/>
  <c r="AG28" i="26"/>
  <c r="AG33" i="26"/>
  <c r="AX32" i="26"/>
  <c r="BP32" i="26" s="1"/>
  <c r="AX27" i="26"/>
  <c r="BP27" i="26" s="1"/>
  <c r="AD28" i="26"/>
  <c r="AW28" i="26"/>
  <c r="BO28" i="26" s="1"/>
  <c r="AC29" i="26"/>
  <c r="AU31" i="26"/>
  <c r="BM31" i="26" s="1"/>
  <c r="AU27" i="26"/>
  <c r="BM27" i="26" s="1"/>
  <c r="AV28" i="26"/>
  <c r="BN28" i="26" s="1"/>
  <c r="AU32" i="26"/>
  <c r="BM32" i="26" s="1"/>
  <c r="AW25" i="26"/>
  <c r="BO25" i="26" s="1"/>
  <c r="AX33" i="26"/>
  <c r="BP33" i="26" s="1"/>
  <c r="AD33" i="26"/>
  <c r="AE27" i="26"/>
  <c r="AV27" i="26"/>
  <c r="BN27" i="26" s="1"/>
  <c r="AV31" i="26"/>
  <c r="BN31" i="26" s="1"/>
  <c r="AV30" i="26"/>
  <c r="BN30" i="26" s="1"/>
  <c r="AD30" i="26"/>
  <c r="AX25" i="26"/>
  <c r="BP25" i="26" s="1"/>
  <c r="AG25" i="26"/>
  <c r="AD31" i="26"/>
  <c r="AV25" i="26"/>
  <c r="BN25" i="26" s="1"/>
  <c r="AU28" i="26"/>
  <c r="BM28" i="26" s="1"/>
  <c r="AU30" i="26"/>
  <c r="BM30" i="26" s="1"/>
  <c r="AD32" i="26"/>
  <c r="AD27" i="26"/>
  <c r="AG27" i="26"/>
  <c r="AU25" i="26"/>
  <c r="BM25" i="26" s="1"/>
  <c r="AD29" i="26"/>
  <c r="AD35" i="26"/>
  <c r="AW35" i="26"/>
  <c r="BO35" i="26" s="1"/>
  <c r="AG35" i="26"/>
  <c r="AV35" i="26"/>
  <c r="BN35" i="26" s="1"/>
  <c r="AV24" i="26"/>
  <c r="BN24" i="26" s="1"/>
  <c r="AX35" i="26"/>
  <c r="BP35" i="26" s="1"/>
  <c r="AU35" i="26"/>
  <c r="BM35" i="26" s="1"/>
  <c r="AE24" i="26"/>
  <c r="AW29" i="26"/>
  <c r="BO29" i="26" s="1"/>
  <c r="AX24" i="26"/>
  <c r="BP24" i="26" s="1"/>
  <c r="BA20" i="44" s="1"/>
  <c r="AG24" i="26"/>
  <c r="AU24" i="26"/>
  <c r="BM24" i="26" s="1"/>
  <c r="AE35" i="26"/>
  <c r="AX29" i="26"/>
  <c r="BP29" i="26" s="1"/>
  <c r="AI35" i="26"/>
  <c r="AI24" i="26"/>
  <c r="AW24" i="26"/>
  <c r="BO24" i="26" s="1"/>
  <c r="AV32" i="26"/>
  <c r="BN32" i="26" s="1"/>
  <c r="AV29" i="26"/>
  <c r="BN29" i="26" s="1"/>
  <c r="AF35" i="26"/>
  <c r="AF24" i="26"/>
  <c r="AD24" i="26"/>
  <c r="AK35" i="26"/>
  <c r="AK24" i="26"/>
  <c r="AJ35" i="26"/>
  <c r="AJ24" i="26"/>
  <c r="AU29" i="26"/>
  <c r="BM29" i="26" s="1"/>
  <c r="AH35" i="26"/>
  <c r="AH24" i="26"/>
  <c r="AU33" i="26"/>
  <c r="BM33" i="26" s="1"/>
  <c r="AT25" i="26"/>
  <c r="BL25" i="26" s="1"/>
  <c r="AC24" i="26"/>
  <c r="AC35" i="26"/>
  <c r="AT24" i="26"/>
  <c r="BL24" i="26" s="1"/>
  <c r="AT35" i="26"/>
  <c r="AT36" i="26"/>
  <c r="AT34" i="26"/>
  <c r="BL34" i="26" s="1"/>
  <c r="AT29" i="26"/>
  <c r="BL29" i="26" s="1"/>
  <c r="AT28" i="26"/>
  <c r="BL28" i="26" s="1"/>
  <c r="AT27" i="26"/>
  <c r="BL27" i="26" s="1"/>
  <c r="AT33" i="26"/>
  <c r="AT32" i="26"/>
  <c r="AT30" i="26"/>
  <c r="BL30" i="26" s="1"/>
  <c r="AT31" i="26"/>
  <c r="BL31" i="26" s="1"/>
  <c r="AX22" i="44" l="1"/>
  <c r="AZ22" i="44"/>
  <c r="BA22" i="44"/>
  <c r="AY22" i="44"/>
  <c r="AY20" i="44"/>
  <c r="AZ20" i="44"/>
  <c r="AW20" i="44"/>
  <c r="AX20" i="44"/>
  <c r="AX26" i="44"/>
  <c r="BA26" i="44"/>
  <c r="AY26" i="44"/>
  <c r="AZ26" i="44"/>
  <c r="AW21" i="44"/>
  <c r="AX25" i="44"/>
  <c r="AX21" i="44"/>
  <c r="AX28" i="44"/>
  <c r="AX29" i="44"/>
  <c r="AX30" i="44"/>
  <c r="AX27" i="44"/>
  <c r="AX31" i="44"/>
  <c r="AX23" i="44"/>
  <c r="AX24" i="44"/>
  <c r="BA25" i="44"/>
  <c r="BA21" i="44"/>
  <c r="BA23" i="44"/>
  <c r="BA24" i="44"/>
  <c r="AZ31" i="44"/>
  <c r="AZ28" i="44"/>
  <c r="AZ27" i="44"/>
  <c r="AZ30" i="44"/>
  <c r="AZ29" i="44"/>
  <c r="AZ25" i="44"/>
  <c r="AZ21" i="44"/>
  <c r="AY23" i="44"/>
  <c r="AY24" i="44"/>
  <c r="AY31" i="44"/>
  <c r="AY27" i="44"/>
  <c r="AY30" i="44"/>
  <c r="AY28" i="44"/>
  <c r="AY29" i="44"/>
  <c r="AY25" i="44"/>
  <c r="AY21" i="44"/>
  <c r="BA31" i="44"/>
  <c r="BA28" i="44"/>
  <c r="BA27" i="44"/>
  <c r="BA29" i="44"/>
  <c r="BA30" i="44"/>
  <c r="AZ23" i="44"/>
  <c r="AZ24" i="44"/>
  <c r="AW21" i="43"/>
  <c r="AY26" i="42"/>
  <c r="AY26" i="43"/>
  <c r="AY22" i="42"/>
  <c r="AY22" i="43"/>
  <c r="AX21" i="43"/>
  <c r="AX25" i="43"/>
  <c r="AX28" i="43"/>
  <c r="AX30" i="43"/>
  <c r="AX29" i="43"/>
  <c r="AX31" i="43"/>
  <c r="AX27" i="43"/>
  <c r="AZ20" i="42"/>
  <c r="AZ20" i="43"/>
  <c r="AZ26" i="42"/>
  <c r="AZ26" i="43"/>
  <c r="AX23" i="43"/>
  <c r="AX24" i="43"/>
  <c r="AZ21" i="43"/>
  <c r="AZ25" i="43"/>
  <c r="AX26" i="42"/>
  <c r="AX26" i="43"/>
  <c r="AW20" i="42"/>
  <c r="AW20" i="43"/>
  <c r="AX20" i="42"/>
  <c r="AX20" i="43"/>
  <c r="BA22" i="42"/>
  <c r="BA22" i="43"/>
  <c r="BA20" i="42"/>
  <c r="BA20" i="43"/>
  <c r="BA23" i="43"/>
  <c r="BA24" i="43"/>
  <c r="BA26" i="42"/>
  <c r="BA26" i="43"/>
  <c r="BA25" i="43"/>
  <c r="BA21" i="43"/>
  <c r="AZ28" i="43"/>
  <c r="AZ29" i="43"/>
  <c r="AZ30" i="43"/>
  <c r="AZ31" i="43"/>
  <c r="AZ27" i="43"/>
  <c r="AZ22" i="42"/>
  <c r="AZ22" i="43"/>
  <c r="AX22" i="42"/>
  <c r="AX22" i="43"/>
  <c r="AY29" i="43"/>
  <c r="AY31" i="43"/>
  <c r="AY30" i="43"/>
  <c r="AY27" i="43"/>
  <c r="AY28" i="43"/>
  <c r="AZ23" i="43"/>
  <c r="AZ24" i="43"/>
  <c r="AY23" i="43"/>
  <c r="AY24" i="43"/>
  <c r="AY25" i="43"/>
  <c r="AY21" i="43"/>
  <c r="BA28" i="43"/>
  <c r="BA29" i="43"/>
  <c r="BA27" i="43"/>
  <c r="BA30" i="43"/>
  <c r="BA31" i="43"/>
  <c r="AY20" i="42"/>
  <c r="AY20" i="43"/>
  <c r="AE30" i="38"/>
  <c r="AE27" i="38"/>
  <c r="AE31" i="38"/>
  <c r="AE29" i="38"/>
  <c r="AE28" i="38"/>
  <c r="AG20" i="38"/>
  <c r="AE22" i="38"/>
  <c r="AA22" i="38"/>
  <c r="AX21" i="42"/>
  <c r="AX25" i="42"/>
  <c r="Y22" i="38"/>
  <c r="AC31" i="38"/>
  <c r="AC27" i="38"/>
  <c r="AC28" i="38"/>
  <c r="AC29" i="38"/>
  <c r="AC30" i="38"/>
  <c r="AJ23" i="38"/>
  <c r="AJ24" i="38"/>
  <c r="AH23" i="38"/>
  <c r="AH24" i="38"/>
  <c r="AG30" i="38"/>
  <c r="AG27" i="38"/>
  <c r="AG29" i="38"/>
  <c r="AG31" i="38"/>
  <c r="AG28" i="38"/>
  <c r="AF26" i="38"/>
  <c r="V20" i="38"/>
  <c r="AA28" i="38"/>
  <c r="AA29" i="38"/>
  <c r="AA27" i="38"/>
  <c r="AA31" i="38"/>
  <c r="AA30" i="38"/>
  <c r="Y21" i="38"/>
  <c r="Y25" i="38"/>
  <c r="AA26" i="38"/>
  <c r="X31" i="38"/>
  <c r="X29" i="38"/>
  <c r="X28" i="38"/>
  <c r="X27" i="38"/>
  <c r="X30" i="38"/>
  <c r="AI20" i="38"/>
  <c r="AI24" i="38"/>
  <c r="AI23" i="38"/>
  <c r="AH26" i="38"/>
  <c r="X26" i="38"/>
  <c r="AW21" i="42"/>
  <c r="V21" i="38"/>
  <c r="V25" i="38"/>
  <c r="U22" i="38"/>
  <c r="AF29" i="38"/>
  <c r="AF31" i="38"/>
  <c r="AF28" i="38"/>
  <c r="AF27" i="38"/>
  <c r="AF30" i="38"/>
  <c r="AD26" i="38"/>
  <c r="AG22" i="38"/>
  <c r="V22" i="38"/>
  <c r="Z30" i="38"/>
  <c r="Z28" i="38"/>
  <c r="Z29" i="38"/>
  <c r="Z31" i="38"/>
  <c r="Z27" i="38"/>
  <c r="AX31" i="42"/>
  <c r="AX28" i="42"/>
  <c r="AX29" i="42"/>
  <c r="AX30" i="42"/>
  <c r="AX27" i="42"/>
  <c r="AA20" i="38"/>
  <c r="U27" i="38"/>
  <c r="U30" i="38"/>
  <c r="U28" i="38"/>
  <c r="U29" i="38"/>
  <c r="U31" i="38"/>
  <c r="AB21" i="38"/>
  <c r="AB25" i="38"/>
  <c r="AD25" i="38"/>
  <c r="AD21" i="38"/>
  <c r="AF24" i="38"/>
  <c r="AF23" i="38"/>
  <c r="AI21" i="38"/>
  <c r="AI25" i="38"/>
  <c r="AB24" i="38"/>
  <c r="AB23" i="38"/>
  <c r="AB26" i="38"/>
  <c r="AX23" i="42"/>
  <c r="AX24" i="42"/>
  <c r="V26" i="38"/>
  <c r="Y24" i="38"/>
  <c r="Y23" i="38"/>
  <c r="W30" i="38"/>
  <c r="W27" i="38"/>
  <c r="W31" i="38"/>
  <c r="W28" i="38"/>
  <c r="W29" i="38"/>
  <c r="AI26" i="38"/>
  <c r="AG24" i="38"/>
  <c r="AG23" i="38"/>
  <c r="BA25" i="42"/>
  <c r="BA21" i="42"/>
  <c r="U25" i="38"/>
  <c r="U21" i="38"/>
  <c r="Z22" i="38"/>
  <c r="AJ26" i="38"/>
  <c r="AE23" i="38"/>
  <c r="AE24" i="38"/>
  <c r="AD23" i="38"/>
  <c r="AD24" i="38"/>
  <c r="AH21" i="38"/>
  <c r="AH25" i="38"/>
  <c r="U26" i="38"/>
  <c r="AZ25" i="42"/>
  <c r="AZ21" i="42"/>
  <c r="AC24" i="38"/>
  <c r="AC23" i="38"/>
  <c r="AF22" i="38"/>
  <c r="AI22" i="38"/>
  <c r="Z21" i="38"/>
  <c r="Z25" i="38"/>
  <c r="W23" i="38"/>
  <c r="W24" i="38"/>
  <c r="AF20" i="38"/>
  <c r="AE20" i="38"/>
  <c r="AJ22" i="38"/>
  <c r="AG26" i="38"/>
  <c r="Y20" i="38"/>
  <c r="Y26" i="38"/>
  <c r="Y29" i="38"/>
  <c r="Y31" i="38"/>
  <c r="Y28" i="38"/>
  <c r="Y30" i="38"/>
  <c r="Y27" i="38"/>
  <c r="BA24" i="42"/>
  <c r="BA23" i="42"/>
  <c r="AZ31" i="42"/>
  <c r="AZ28" i="42"/>
  <c r="AZ29" i="42"/>
  <c r="AZ30" i="42"/>
  <c r="AZ27" i="42"/>
  <c r="AH22" i="38"/>
  <c r="AD29" i="38"/>
  <c r="AD31" i="38"/>
  <c r="AD28" i="38"/>
  <c r="AD27" i="38"/>
  <c r="AD30" i="38"/>
  <c r="U20" i="38"/>
  <c r="AH20" i="38"/>
  <c r="AD20" i="38"/>
  <c r="AD22" i="38"/>
  <c r="AH29" i="38"/>
  <c r="AH28" i="38"/>
  <c r="AH30" i="38"/>
  <c r="AH31" i="38"/>
  <c r="AH27" i="38"/>
  <c r="AC20" i="38"/>
  <c r="X20" i="38"/>
  <c r="V29" i="38"/>
  <c r="V31" i="38"/>
  <c r="V28" i="38"/>
  <c r="V30" i="38"/>
  <c r="V27" i="38"/>
  <c r="W22" i="38"/>
  <c r="W20" i="38"/>
  <c r="AA24" i="38"/>
  <c r="AA23" i="38"/>
  <c r="W26" i="38"/>
  <c r="X21" i="38"/>
  <c r="X25" i="38"/>
  <c r="AZ24" i="42"/>
  <c r="AZ23" i="42"/>
  <c r="Z24" i="38"/>
  <c r="Z23" i="38"/>
  <c r="AC25" i="38"/>
  <c r="AC21" i="38"/>
  <c r="AF25" i="38"/>
  <c r="AF21" i="38"/>
  <c r="AJ27" i="38"/>
  <c r="AJ31" i="38"/>
  <c r="AJ30" i="38"/>
  <c r="AJ29" i="38"/>
  <c r="AJ28" i="38"/>
  <c r="AE26" i="38"/>
  <c r="AB22" i="38"/>
  <c r="X22" i="38"/>
  <c r="Z20" i="38"/>
  <c r="AC26" i="38"/>
  <c r="AY23" i="42"/>
  <c r="AY24" i="42"/>
  <c r="Z26" i="38"/>
  <c r="AY31" i="42"/>
  <c r="AY28" i="42"/>
  <c r="AY29" i="42"/>
  <c r="AY27" i="42"/>
  <c r="AY30" i="42"/>
  <c r="AB20" i="38"/>
  <c r="AY25" i="42"/>
  <c r="AY21" i="42"/>
  <c r="BA28" i="42"/>
  <c r="BA31" i="42"/>
  <c r="BA29" i="42"/>
  <c r="BA27" i="42"/>
  <c r="BA30" i="42"/>
  <c r="AE25" i="38"/>
  <c r="AE21" i="38"/>
  <c r="AI31" i="38"/>
  <c r="AI27" i="38"/>
  <c r="AI29" i="38"/>
  <c r="AI30" i="38"/>
  <c r="AI28" i="38"/>
  <c r="AG21" i="38"/>
  <c r="AG25" i="38"/>
  <c r="X23" i="38"/>
  <c r="X24" i="38"/>
  <c r="AC22" i="38"/>
  <c r="V24" i="38"/>
  <c r="V23" i="38"/>
  <c r="AJ20" i="38"/>
  <c r="W21" i="38"/>
  <c r="W25" i="38"/>
  <c r="U24" i="38"/>
  <c r="U23" i="38"/>
  <c r="AB28" i="38"/>
  <c r="AB30" i="38"/>
  <c r="AB27" i="38"/>
  <c r="AB29" i="38"/>
  <c r="AB31" i="38"/>
  <c r="AA21" i="38"/>
  <c r="AA25" i="38"/>
  <c r="AJ21" i="38"/>
  <c r="AJ25" i="38"/>
  <c r="AW21" i="38"/>
  <c r="AY24" i="38"/>
  <c r="AY22" i="38"/>
  <c r="AX21" i="38"/>
  <c r="AZ20" i="38"/>
  <c r="AZ24" i="38"/>
  <c r="BA21" i="38"/>
  <c r="AX23" i="38"/>
  <c r="BA22" i="38"/>
  <c r="AX20" i="38"/>
  <c r="BA24" i="38"/>
  <c r="AZ22" i="38"/>
  <c r="AY23" i="38"/>
  <c r="AW20" i="38"/>
  <c r="AZ23" i="38"/>
  <c r="BA23" i="38"/>
  <c r="AX24" i="38"/>
  <c r="AZ21" i="38"/>
  <c r="AX22" i="38"/>
  <c r="AY21" i="38"/>
  <c r="BA20" i="38"/>
  <c r="AY20" i="38"/>
  <c r="AX27" i="38"/>
  <c r="AX31" i="38"/>
  <c r="AX28" i="38"/>
  <c r="AX29" i="38"/>
  <c r="AX30" i="38"/>
  <c r="AX25" i="38"/>
  <c r="AX26" i="38"/>
  <c r="AZ27" i="38"/>
  <c r="AZ30" i="38"/>
  <c r="AZ31" i="38"/>
  <c r="AZ28" i="38"/>
  <c r="AZ25" i="38"/>
  <c r="AZ26" i="38"/>
  <c r="AZ29" i="38"/>
  <c r="AY27" i="38"/>
  <c r="AY31" i="38"/>
  <c r="AY28" i="38"/>
  <c r="AY30" i="38"/>
  <c r="AY25" i="38"/>
  <c r="AY29" i="38"/>
  <c r="AY26" i="38"/>
  <c r="BA31" i="38"/>
  <c r="BA28" i="38"/>
  <c r="BA27" i="38"/>
  <c r="BA25" i="38"/>
  <c r="BA26" i="38"/>
  <c r="BA29" i="38"/>
  <c r="BA30" i="38"/>
  <c r="AY36" i="26"/>
  <c r="AY35" i="26"/>
  <c r="BQ29" i="26"/>
  <c r="AY32" i="26"/>
  <c r="AY33" i="26"/>
  <c r="BL32" i="26"/>
  <c r="BQ32" i="26" s="1"/>
  <c r="BQ31" i="26"/>
  <c r="AY31" i="26"/>
  <c r="BL33" i="26"/>
  <c r="BQ33" i="26" s="1"/>
  <c r="BQ27" i="26"/>
  <c r="BQ28" i="26"/>
  <c r="AY29" i="26"/>
  <c r="BL36" i="26"/>
  <c r="BQ36" i="26" s="1"/>
  <c r="AY25" i="26"/>
  <c r="BL35" i="26"/>
  <c r="AY26" i="26"/>
  <c r="BQ30" i="26"/>
  <c r="AY27" i="26"/>
  <c r="AY24" i="26"/>
  <c r="BQ25" i="26"/>
  <c r="AU21" i="44" s="1"/>
  <c r="BQ34" i="26"/>
  <c r="BL26" i="26"/>
  <c r="BQ26" i="26" s="1"/>
  <c r="AY28" i="26"/>
  <c r="AY30" i="26"/>
  <c r="BQ24" i="26"/>
  <c r="AU20" i="44" s="1"/>
  <c r="AY34" i="26"/>
  <c r="AW28" i="44" l="1"/>
  <c r="AW25" i="43"/>
  <c r="AW31" i="44"/>
  <c r="AW25" i="44"/>
  <c r="AW23" i="44"/>
  <c r="AW24" i="44"/>
  <c r="AW28" i="38"/>
  <c r="AW29" i="38"/>
  <c r="AW27" i="42"/>
  <c r="AW22" i="43"/>
  <c r="AW26" i="44"/>
  <c r="AW26" i="38"/>
  <c r="AW23" i="38"/>
  <c r="AW25" i="42"/>
  <c r="AW31" i="42"/>
  <c r="AW22" i="42"/>
  <c r="AW30" i="38"/>
  <c r="AW28" i="42"/>
  <c r="AW27" i="43"/>
  <c r="AW23" i="43"/>
  <c r="AW27" i="38"/>
  <c r="AW23" i="42"/>
  <c r="AW31" i="43"/>
  <c r="AW24" i="38"/>
  <c r="AW24" i="42"/>
  <c r="AW29" i="43"/>
  <c r="AW22" i="44"/>
  <c r="AW25" i="38"/>
  <c r="AW31" i="38"/>
  <c r="AW30" i="42"/>
  <c r="AW28" i="43"/>
  <c r="AW30" i="43"/>
  <c r="AW26" i="43"/>
  <c r="AW30" i="44"/>
  <c r="AW22" i="38"/>
  <c r="AW26" i="42"/>
  <c r="AW29" i="44"/>
  <c r="AW24" i="43"/>
  <c r="AW29" i="42"/>
  <c r="AW27" i="44"/>
  <c r="BJ36" i="26"/>
  <c r="BA36" i="26"/>
  <c r="AZ36" i="26"/>
  <c r="BJ35" i="26"/>
  <c r="BA35" i="26"/>
  <c r="AZ35" i="26"/>
  <c r="BJ32" i="26"/>
  <c r="BA32" i="26"/>
  <c r="AZ32" i="26"/>
  <c r="BJ33" i="26"/>
  <c r="BA33" i="26"/>
  <c r="AZ33" i="26"/>
  <c r="BJ31" i="26"/>
  <c r="BA31" i="26"/>
  <c r="AZ31" i="26"/>
  <c r="BJ29" i="26"/>
  <c r="BA29" i="26"/>
  <c r="AZ29" i="26"/>
  <c r="BJ27" i="26"/>
  <c r="BA27" i="26"/>
  <c r="AZ27" i="26"/>
  <c r="BJ28" i="26"/>
  <c r="BA28" i="26"/>
  <c r="AZ28" i="26"/>
  <c r="BJ30" i="26"/>
  <c r="BA30" i="26"/>
  <c r="AZ30" i="26"/>
  <c r="BJ34" i="26"/>
  <c r="BA34" i="26"/>
  <c r="AZ34" i="26"/>
  <c r="D23" i="20"/>
  <c r="D26" i="20" s="1"/>
  <c r="D22" i="20"/>
  <c r="AU20" i="43"/>
  <c r="AT21" i="42"/>
  <c r="AU21" i="42" s="1"/>
  <c r="AU21" i="43"/>
  <c r="K12" i="38"/>
  <c r="O12" i="38"/>
  <c r="L12" i="38"/>
  <c r="N12" i="38"/>
  <c r="M12" i="38"/>
  <c r="AK20" i="42"/>
  <c r="AO20" i="42" s="1"/>
  <c r="AK31" i="42"/>
  <c r="AO31" i="42" s="1"/>
  <c r="AK26" i="42"/>
  <c r="AO26" i="42" s="1"/>
  <c r="AK29" i="42"/>
  <c r="AO29" i="42" s="1"/>
  <c r="AK22" i="42"/>
  <c r="AO22" i="42" s="1"/>
  <c r="AK28" i="42"/>
  <c r="AO28" i="42" s="1"/>
  <c r="AK25" i="42"/>
  <c r="AO25" i="42" s="1"/>
  <c r="AK21" i="42"/>
  <c r="AO21" i="42" s="1"/>
  <c r="AK27" i="42"/>
  <c r="AO27" i="42" s="1"/>
  <c r="E12" i="38"/>
  <c r="I12" i="38"/>
  <c r="G12" i="38"/>
  <c r="H12" i="38"/>
  <c r="AK30" i="42"/>
  <c r="AO30" i="42" s="1"/>
  <c r="AK24" i="42"/>
  <c r="AO24" i="42" s="1"/>
  <c r="AK23" i="42"/>
  <c r="AO23" i="42" s="1"/>
  <c r="AT20" i="42"/>
  <c r="AU20" i="42" s="1"/>
  <c r="D12" i="38"/>
  <c r="J12" i="38"/>
  <c r="F12" i="38"/>
  <c r="AK24" i="38"/>
  <c r="AO24" i="38" s="1"/>
  <c r="AK22" i="38"/>
  <c r="AO22" i="38" s="1"/>
  <c r="AK21" i="38"/>
  <c r="AO21" i="38" s="1"/>
  <c r="AK20" i="38"/>
  <c r="AO20" i="38" s="1"/>
  <c r="AK23" i="38"/>
  <c r="AO23" i="38" s="1"/>
  <c r="AT21" i="38"/>
  <c r="AU21" i="38" s="1"/>
  <c r="AT20" i="38"/>
  <c r="AU20" i="38" s="1"/>
  <c r="AK31" i="38"/>
  <c r="AO31" i="38" s="1"/>
  <c r="AK25" i="38"/>
  <c r="AO25" i="38" s="1"/>
  <c r="AK30" i="38"/>
  <c r="AO30" i="38" s="1"/>
  <c r="AK27" i="38"/>
  <c r="AO27" i="38" s="1"/>
  <c r="AK26" i="38"/>
  <c r="AO26" i="38" s="1"/>
  <c r="AK29" i="38"/>
  <c r="AO29" i="38" s="1"/>
  <c r="AK28" i="38"/>
  <c r="AO28" i="38" s="1"/>
  <c r="D7" i="20"/>
  <c r="BS36" i="26"/>
  <c r="BS33" i="26"/>
  <c r="BQ35" i="26"/>
  <c r="BS35" i="26" s="1"/>
  <c r="BS30" i="26"/>
  <c r="BS31" i="26"/>
  <c r="BS28" i="26"/>
  <c r="BR36" i="26"/>
  <c r="BS29" i="26"/>
  <c r="BR34" i="26"/>
  <c r="BS34" i="26"/>
  <c r="BR31" i="26"/>
  <c r="BR28" i="26"/>
  <c r="BR29" i="26"/>
  <c r="BR32" i="26"/>
  <c r="BS32" i="26"/>
  <c r="BR30" i="26"/>
  <c r="BS27" i="26"/>
  <c r="BR27" i="26"/>
  <c r="BR33" i="26"/>
  <c r="BR35" i="2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tc={4EB9BAF4-907C-4714-A0B4-586D2D2167A6}</author>
  </authors>
  <commentList>
    <comment ref="D7" authorId="0" shapeId="0" xr:uid="{4EB9BAF4-907C-4714-A0B4-586D2D2167A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Use this field to enter a custom area, otherwise the area will be automatically taken from the simulations scraped to the 'Proposed Data' tab.</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<sst xmlns="http://schemas.openxmlformats.org/spreadsheetml/2006/main" count="2113" uniqueCount="470">
  <si>
    <t>Energy Results Comparison</t>
  </si>
  <si>
    <t>Instructions</t>
  </si>
  <si>
    <t>About</t>
  </si>
  <si>
    <t>This spreadsheet has been designed to allow the easy comparison of various energy scenarios during early and later design phases using both simulated and postprocessed information. It been optimized to automatically use transcribed data from the scripts, but results from other energy modelling programs or external calculations can be manually inputted. The worksheet can generate graphs and tables for reports and report on LEED points for energy and renewable energy.</t>
  </si>
  <si>
    <t xml:space="preserve"> Energy Results Comparison Worksheet</t>
  </si>
  <si>
    <t>Version:</t>
  </si>
  <si>
    <t>1. Enter design and utility information in tab 'Project Information'</t>
  </si>
  <si>
    <t xml:space="preserve">Last Update: </t>
  </si>
  <si>
    <t>2. Perform energy simulations in energy modelling program</t>
  </si>
  <si>
    <t>By:</t>
  </si>
  <si>
    <t>EJG</t>
  </si>
  <si>
    <t>3. If applicable, use the scripting tools available for each platform to format the results for the universal energy results format</t>
  </si>
  <si>
    <t>Version Notes:</t>
  </si>
  <si>
    <t>Changed graph and table pages</t>
  </si>
  <si>
    <t>4. If applicable, use the scripting tools to import the Baseline information into the 'BL Data' tab and the Proposed cases into the 'Proposed Data' tab</t>
  </si>
  <si>
    <t>Added gross floor area for 2030 reporting table</t>
  </si>
  <si>
    <t>5. Use the 'LEED BL', 'Code BL' and 'Proposed Tabs' to pull in cases from the 'BL Data' and 'Proposed Data' tab</t>
  </si>
  <si>
    <t>Updated LEED point calculation</t>
  </si>
  <si>
    <t>6. Use the input cells in these worksheets to postprocess enduse data or to manually add in results from the energy modeling program</t>
  </si>
  <si>
    <t>Made provisions for LEED v5</t>
  </si>
  <si>
    <t>7. Use the remaning tabs to generate graphs and tables for reports</t>
  </si>
  <si>
    <t>Changed control for including process loads to 'Project Info' page</t>
  </si>
  <si>
    <t>Refinement to report tables</t>
  </si>
  <si>
    <t>Fixed bugs in Name</t>
  </si>
  <si>
    <t>Legend</t>
  </si>
  <si>
    <t>Fixed bugs in renewable energy calculation</t>
  </si>
  <si>
    <t>Updated the energy cost and carbon factors input methodology</t>
  </si>
  <si>
    <t>SI</t>
  </si>
  <si>
    <t>Cell with pull down menu</t>
  </si>
  <si>
    <t>Added consistency to area for nromalized calculations when conflict between entered value and model</t>
  </si>
  <si>
    <t>Cell to input information in</t>
  </si>
  <si>
    <t>Cell that contains a formula and is automatically calculated</t>
  </si>
  <si>
    <t>Cell does not apply</t>
  </si>
  <si>
    <t>Project Information</t>
  </si>
  <si>
    <t>Worksheet Units</t>
  </si>
  <si>
    <t>Project Name</t>
  </si>
  <si>
    <t>Select Project Units</t>
  </si>
  <si>
    <t>IP</t>
  </si>
  <si>
    <t>ASHRAE Climate Zone</t>
  </si>
  <si>
    <t>4A</t>
  </si>
  <si>
    <t>Select Energy Units for Input</t>
  </si>
  <si>
    <t>kBtu</t>
  </si>
  <si>
    <t>Specify the units of energy that will be entered in the tables (as output from the energy modelling program)</t>
  </si>
  <si>
    <t>Program Type</t>
  </si>
  <si>
    <t>School</t>
  </si>
  <si>
    <t>Select Energy Units for Output</t>
  </si>
  <si>
    <t>Specify the units of energy to report in the tables and graphs. If different from input units, a conversion will be performed</t>
  </si>
  <si>
    <t>Gross Conditioned Floor Area</t>
  </si>
  <si>
    <t>Additional End Use Categories</t>
  </si>
  <si>
    <t>Use this section to define end uses that are not accounted for in the typical end use categories</t>
  </si>
  <si>
    <t>Baseline Information</t>
  </si>
  <si>
    <t>Misc 1</t>
  </si>
  <si>
    <t>Misc 2</t>
  </si>
  <si>
    <t>AIA 2030 Benchmark EUI (BmEUI)</t>
  </si>
  <si>
    <r>
      <t>kBtu/ft</t>
    </r>
    <r>
      <rPr>
        <vertAlign val="superscript"/>
        <sz val="10"/>
        <color theme="1"/>
        <rFont val="Franklin Gothic Book"/>
        <family val="2"/>
      </rPr>
      <t>2</t>
    </r>
  </si>
  <si>
    <t>End Use Name</t>
  </si>
  <si>
    <t>Add the names of any atypical end uses that will be used in this project for inclusion in the calcualtions</t>
  </si>
  <si>
    <t>AIA 2030 Target Savings</t>
  </si>
  <si>
    <t>Fuel</t>
  </si>
  <si>
    <t>Electricity</t>
  </si>
  <si>
    <t>Gas</t>
  </si>
  <si>
    <t>Specify fuel type of end use</t>
  </si>
  <si>
    <t>LEED Version</t>
  </si>
  <si>
    <t>LEED v4</t>
  </si>
  <si>
    <t>Process Load?</t>
  </si>
  <si>
    <t>No</t>
  </si>
  <si>
    <t>Yes</t>
  </si>
  <si>
    <t>Specify if these end uses are a process load or not</t>
  </si>
  <si>
    <t>LEED Type</t>
  </si>
  <si>
    <t>New Construction</t>
  </si>
  <si>
    <t>LEED Subcategory</t>
  </si>
  <si>
    <t>Site to Source Ratio</t>
  </si>
  <si>
    <t>Energy Code Standard</t>
  </si>
  <si>
    <t>ASHRAE 2010/IECC 2012</t>
  </si>
  <si>
    <t>Energy Code Includes Process Loads?</t>
  </si>
  <si>
    <t>Energy Star US and Canadian Source to Site Ratios</t>
  </si>
  <si>
    <t xml:space="preserve">Performance Goals </t>
  </si>
  <si>
    <t>Carbon Emissions Factors</t>
  </si>
  <si>
    <t>LEED</t>
  </si>
  <si>
    <t>Code</t>
  </si>
  <si>
    <t>Select Carbon Emissions Method</t>
  </si>
  <si>
    <t>Use Calculated Rate</t>
  </si>
  <si>
    <t>Specify if the carbon emissions will be calculated in the flat rates supplied below, or the calculated virtual rate from imported energy model data</t>
  </si>
  <si>
    <t>Energy Savings Goal</t>
  </si>
  <si>
    <t>Carbon Savings Goal</t>
  </si>
  <si>
    <t>Energy Cost Savings Goal</t>
  </si>
  <si>
    <t>Energy Star US and Canadian Emissions Factors</t>
  </si>
  <si>
    <t>Carbon Units</t>
  </si>
  <si>
    <t>kWh</t>
  </si>
  <si>
    <t>QA/QC</t>
  </si>
  <si>
    <t>Energy Cost Factors</t>
  </si>
  <si>
    <t>Author</t>
  </si>
  <si>
    <t>Select Energy Cost Method</t>
  </si>
  <si>
    <t>Enter Flat Rate</t>
  </si>
  <si>
    <t>Specify if the energy cost will be calculated in the flat rates supplied below, or the calculated virtual rate from imported energy model data</t>
  </si>
  <si>
    <t>Date</t>
  </si>
  <si>
    <t>Uncertainty Factor</t>
  </si>
  <si>
    <t>Unit Cost</t>
  </si>
  <si>
    <t>Cost Unit</t>
  </si>
  <si>
    <t>Therm</t>
  </si>
  <si>
    <t>1000 ft3 Gas</t>
  </si>
  <si>
    <t>Converted Factors</t>
  </si>
  <si>
    <t>District Cooling</t>
  </si>
  <si>
    <t>District Heating</t>
  </si>
  <si>
    <t>Carbon Flat Rate Converted</t>
  </si>
  <si>
    <t>Flat Rate Unit Price Converted</t>
  </si>
  <si>
    <t>Proposed Case 1</t>
  </si>
  <si>
    <t>Proposed Case 2</t>
  </si>
  <si>
    <t>Proposed Case 3</t>
  </si>
  <si>
    <t>Proposed Case 4</t>
  </si>
  <si>
    <t>Proposed Case 5</t>
  </si>
  <si>
    <t>Proposed Case 6</t>
  </si>
  <si>
    <t>Proposed Case 7</t>
  </si>
  <si>
    <t>Proposed Case 8</t>
  </si>
  <si>
    <t>Proposed Case 9</t>
  </si>
  <si>
    <t>Proposed Case 10</t>
  </si>
  <si>
    <t>Option</t>
  </si>
  <si>
    <t>Results Path</t>
  </si>
  <si>
    <t>Timestamp</t>
  </si>
  <si>
    <t>Climate File</t>
  </si>
  <si>
    <t>Climate Zone</t>
  </si>
  <si>
    <t>Heating Unmet Hours</t>
  </si>
  <si>
    <t>Cooling Unmet Hours</t>
  </si>
  <si>
    <t>Total Energy Cost ($)</t>
  </si>
  <si>
    <t>Peak Heating Hour</t>
  </si>
  <si>
    <t>Peak Cooling Hour</t>
  </si>
  <si>
    <t>Peak Electrical Load (W)</t>
  </si>
  <si>
    <t>Peak Electricity Hour</t>
  </si>
  <si>
    <t>North WWR Nominal (%)</t>
  </si>
  <si>
    <t>East WWR Nominal (%)</t>
  </si>
  <si>
    <t>South WWR Nominal (%)</t>
  </si>
  <si>
    <t>West WWR Nominal (%)</t>
  </si>
  <si>
    <t>Building WWR Actual (%)</t>
  </si>
  <si>
    <t>North WWR Actual (%)</t>
  </si>
  <si>
    <t>East WWR Actual (%)</t>
  </si>
  <si>
    <t>South WWR Actual (%)</t>
  </si>
  <si>
    <t>West WWR Actual (%)</t>
  </si>
  <si>
    <t>Skylight Roof Ratio (%)</t>
  </si>
  <si>
    <t>Exterior Wall to Floor Area Ratio</t>
  </si>
  <si>
    <t>Exterior Roof to Floor Area Ratio</t>
  </si>
  <si>
    <t>Exterior Envelope to Floor Area Ratio</t>
  </si>
  <si>
    <t>North Shading Type</t>
  </si>
  <si>
    <t>North Shading Ratio (%)</t>
  </si>
  <si>
    <t>West Shading Type</t>
  </si>
  <si>
    <t>West Shading Ratio (%)</t>
  </si>
  <si>
    <t>South Shading Type</t>
  </si>
  <si>
    <t>South Shading Ratio (%)</t>
  </si>
  <si>
    <t>East Shading Type</t>
  </si>
  <si>
    <t>East Shading Ratio (%)</t>
  </si>
  <si>
    <t>Glass SHGC</t>
  </si>
  <si>
    <t>Glass VLT</t>
  </si>
  <si>
    <t>Glass LSG</t>
  </si>
  <si>
    <t>Chiller Efficiency (COP)</t>
  </si>
  <si>
    <t>Boiler Efficiency (COP)</t>
  </si>
  <si>
    <t>DX Cooling Efficiency (COP)</t>
  </si>
  <si>
    <t>DX Heating Efficiency (HSPF)</t>
  </si>
  <si>
    <t>Heat Pump Cooling Efficiency (COP)</t>
  </si>
  <si>
    <t>Heat Pump Heating Efficiency (COP)</t>
  </si>
  <si>
    <t>Total Fan Power (kW)</t>
  </si>
  <si>
    <t>Total Pump Power (kW)</t>
  </si>
  <si>
    <t>Service Hot Water Thermal Efficiency (COP)</t>
  </si>
  <si>
    <t>Exterior Lighting (kW)</t>
  </si>
  <si>
    <t>LEED Baseline</t>
  </si>
  <si>
    <t>Proposed Design</t>
  </si>
  <si>
    <t>LEED Baseline Results Worksheet</t>
  </si>
  <si>
    <t>If the 'BL Data' tab has been populated with the LEED and Code baseline rotations by a script, use the pulldowns next to the 'Baseline Case' to choose if only the 0 degree rotation or the average of all rotations should be used. The results will automatically be pulled in from the database. Use the input cells to manually input values without using the database, or to override or add to database values.</t>
  </si>
  <si>
    <t>Case Name</t>
  </si>
  <si>
    <t>Result File Path and Name</t>
  </si>
  <si>
    <t>Peak Electrical Demand</t>
  </si>
  <si>
    <t>Energy Results</t>
  </si>
  <si>
    <t>Baseline Case</t>
  </si>
  <si>
    <t>Average of All Baselines</t>
  </si>
  <si>
    <t>Imported Data</t>
  </si>
  <si>
    <t>kW</t>
  </si>
  <si>
    <t>Total</t>
  </si>
  <si>
    <t>Area</t>
  </si>
  <si>
    <t>Manual Input</t>
  </si>
  <si>
    <t>Value Used</t>
  </si>
  <si>
    <t>End Use</t>
  </si>
  <si>
    <t>Heating</t>
  </si>
  <si>
    <t>Cooling</t>
  </si>
  <si>
    <t>Lighting</t>
  </si>
  <si>
    <t>Exterior Lighting</t>
  </si>
  <si>
    <t>Equipment</t>
  </si>
  <si>
    <t>Exterior Equipment</t>
  </si>
  <si>
    <t>Fans</t>
  </si>
  <si>
    <t>Pumps</t>
  </si>
  <si>
    <t>Heat Rejection</t>
  </si>
  <si>
    <t>Humidification</t>
  </si>
  <si>
    <t>Heat Recovery</t>
  </si>
  <si>
    <t>Water Systems</t>
  </si>
  <si>
    <t>Refrigeration</t>
  </si>
  <si>
    <t>Generators</t>
  </si>
  <si>
    <t>Fuel Source</t>
  </si>
  <si>
    <t>Additional Fuel</t>
  </si>
  <si>
    <t>Input Units</t>
  </si>
  <si>
    <t>Code Baseline Results Worksheet</t>
  </si>
  <si>
    <t>Proposed Case(s) Results Worksheet</t>
  </si>
  <si>
    <t>If the 'Proposed Data' tab has been populated with alternatives with a script, use the pulldowns next to the 'Select Case' to choose the parametric scenario to use as the proposed case. The results will automatically be pulled in from the database. Use the input cells to manually input values without using the database, or to override or add to database values.</t>
  </si>
  <si>
    <t>Renewable Energy Generation</t>
  </si>
  <si>
    <t>Select Case</t>
  </si>
  <si>
    <t>PV</t>
  </si>
  <si>
    <t>Wind</t>
  </si>
  <si>
    <t>SolarHW</t>
  </si>
  <si>
    <t>Baseline (LEED or Code)</t>
  </si>
  <si>
    <t>Select Cases for Comparison</t>
  </si>
  <si>
    <t>Uncertainty</t>
  </si>
  <si>
    <t>SHW</t>
  </si>
  <si>
    <t>Savings Target</t>
  </si>
  <si>
    <t>%</t>
  </si>
  <si>
    <t xml:space="preserve"> </t>
  </si>
  <si>
    <t>$</t>
  </si>
  <si>
    <t>Energy Report Result Summary Tables</t>
  </si>
  <si>
    <t>Proposed Design Scenario</t>
  </si>
  <si>
    <t xml:space="preserve">Energy Demand by End Use </t>
  </si>
  <si>
    <t xml:space="preserve">Carbon Demand by End Use </t>
  </si>
  <si>
    <t xml:space="preserve">Cost Demand by End Use </t>
  </si>
  <si>
    <t>Building Performance Summary</t>
  </si>
  <si>
    <t>Units</t>
  </si>
  <si>
    <t>Code Baseline</t>
  </si>
  <si>
    <t>Proposed</t>
  </si>
  <si>
    <t>Header</t>
  </si>
  <si>
    <t>LEED Baseline Row</t>
  </si>
  <si>
    <t>Code Baseline Row</t>
  </si>
  <si>
    <t>Proposed Row</t>
  </si>
  <si>
    <t>Column</t>
  </si>
  <si>
    <t>Energy Use Intensity (EUI)</t>
  </si>
  <si>
    <t>$/yr</t>
  </si>
  <si>
    <t>Unmet Heating Hours</t>
  </si>
  <si>
    <t>Carbon Emissions Intensity (CEI)</t>
  </si>
  <si>
    <t>Unmet Cooling Hours</t>
  </si>
  <si>
    <t>Energy Cost Intensity (ECI)</t>
  </si>
  <si>
    <t>LEED Energy Credit Summary</t>
  </si>
  <si>
    <t>Savings</t>
  </si>
  <si>
    <t>Points</t>
  </si>
  <si>
    <t>AIA 2030 Summary</t>
  </si>
  <si>
    <t>ft²</t>
  </si>
  <si>
    <t>Gross pEUI (Design EUI)</t>
  </si>
  <si>
    <t>kBtu/ft²</t>
  </si>
  <si>
    <t>Net pEUI (w/renewable offset)</t>
  </si>
  <si>
    <t>Renewable Energy</t>
  </si>
  <si>
    <t>pEUI Savings vs. BmEUI</t>
  </si>
  <si>
    <t>Regulated Loads</t>
  </si>
  <si>
    <t>Predicted Annual Grid Electricity Use</t>
  </si>
  <si>
    <t>Predicted Annual Gas Use</t>
  </si>
  <si>
    <t>Predicted District Use</t>
  </si>
  <si>
    <t>Predicted 'Other' Fossil Fuel Source</t>
  </si>
  <si>
    <t>Predicted On-Site Renewable Use</t>
  </si>
  <si>
    <t>Energy Report Input Summary Table</t>
  </si>
  <si>
    <t>Bulding Parameters</t>
  </si>
  <si>
    <t>Utility Information</t>
  </si>
  <si>
    <t>Source</t>
  </si>
  <si>
    <t>Unit CO2e Emissions</t>
  </si>
  <si>
    <t>Unit Energy Cost</t>
  </si>
  <si>
    <t>Envelope Parameters</t>
  </si>
  <si>
    <t>HVAC Parameters</t>
  </si>
  <si>
    <t>N/A</t>
  </si>
  <si>
    <t>Fan Power per CFM</t>
  </si>
  <si>
    <t>(W/CFM)</t>
  </si>
  <si>
    <t>Pa</t>
  </si>
  <si>
    <t>Loads</t>
  </si>
  <si>
    <t>Exterior Uses</t>
  </si>
  <si>
    <t>QA/QC Checks</t>
  </si>
  <si>
    <t>Unmet Hours</t>
  </si>
  <si>
    <t>EFLHs</t>
  </si>
  <si>
    <t>Energy Units</t>
  </si>
  <si>
    <t>Energy Cost Methodology</t>
  </si>
  <si>
    <t>Carbon Methodology</t>
  </si>
  <si>
    <t>Baseline Options</t>
  </si>
  <si>
    <t>Code Standard</t>
  </si>
  <si>
    <t>LEED Standard</t>
  </si>
  <si>
    <t>0° Baseline Only</t>
  </si>
  <si>
    <t>ASHRAE 2004/IECC 2006</t>
  </si>
  <si>
    <t>None</t>
  </si>
  <si>
    <t>ASHRAE 2007/IECC 2009</t>
  </si>
  <si>
    <t>LEED v2009</t>
  </si>
  <si>
    <t>Area Units</t>
  </si>
  <si>
    <t>Energy Cost Units</t>
  </si>
  <si>
    <t>Baseline Type</t>
  </si>
  <si>
    <t>ASHRAE 2013/IECC 2015</t>
  </si>
  <si>
    <t>LEED v4 Energy Update</t>
  </si>
  <si>
    <t>m²</t>
  </si>
  <si>
    <r>
      <t>kg CO</t>
    </r>
    <r>
      <rPr>
        <vertAlign val="subscript"/>
        <sz val="10"/>
        <color theme="1"/>
        <rFont val="Franklin Gothic Book"/>
        <family val="2"/>
      </rPr>
      <t>2</t>
    </r>
    <r>
      <rPr>
        <sz val="10"/>
        <color theme="1"/>
        <rFont val="Franklin Gothic Book"/>
        <family val="2"/>
      </rPr>
      <t>e</t>
    </r>
  </si>
  <si>
    <t>ASHRAE 2016/IECC 2018</t>
  </si>
  <si>
    <t>LEED v4.1</t>
  </si>
  <si>
    <t>ASHRAE 2019/IECC 2021</t>
  </si>
  <si>
    <t>LEED v5 (registered before 1/1/2028)</t>
  </si>
  <si>
    <t>LEED Substandard</t>
  </si>
  <si>
    <t>ASHRAE 2022/IECC 2024</t>
  </si>
  <si>
    <t>LEED v5 (registered after 1/1/2028)</t>
  </si>
  <si>
    <t>Choices</t>
  </si>
  <si>
    <t>Energy Cost Normalized</t>
  </si>
  <si>
    <t>Carbon Normalized</t>
  </si>
  <si>
    <t>Result Options</t>
  </si>
  <si>
    <t>Boston Stretch Code</t>
  </si>
  <si>
    <t>Energy Cost Rate</t>
  </si>
  <si>
    <t>Carbon Rate</t>
  </si>
  <si>
    <t>Fuel List</t>
  </si>
  <si>
    <t>Options Pulldown</t>
  </si>
  <si>
    <t>Categories</t>
  </si>
  <si>
    <t>Energy Use</t>
  </si>
  <si>
    <t>Source Energy Use</t>
  </si>
  <si>
    <t>Carbon Emissions</t>
  </si>
  <si>
    <t>Energy Cost</t>
  </si>
  <si>
    <t>Pressue Drop Down</t>
  </si>
  <si>
    <t>Calculations</t>
  </si>
  <si>
    <t>Demand by End Use and Fuel Type</t>
  </si>
  <si>
    <t>Demand by End Use</t>
  </si>
  <si>
    <t>Demand by Fuel Type</t>
  </si>
  <si>
    <t>Consumption After Renewables</t>
  </si>
  <si>
    <t>% Renewable Energy</t>
  </si>
  <si>
    <t>Fuel Type</t>
  </si>
  <si>
    <t>Gross Annual Total</t>
  </si>
  <si>
    <t>LEED Savings</t>
  </si>
  <si>
    <t>Code Savings</t>
  </si>
  <si>
    <t>Annual Total</t>
  </si>
  <si>
    <t>Net Annual Total</t>
  </si>
  <si>
    <t>Process Energy</t>
  </si>
  <si>
    <t>Energy Unit Conversion Factor</t>
  </si>
  <si>
    <t>EApc95 LEED Pilot ACP - Energy Performance Metric</t>
  </si>
  <si>
    <t>LEED Matrix</t>
  </si>
  <si>
    <t>Basis of Energy Credit</t>
  </si>
  <si>
    <t xml:space="preserve">Site Energy </t>
  </si>
  <si>
    <t>Source Energy</t>
  </si>
  <si>
    <t>Costs</t>
  </si>
  <si>
    <t>Credit 1</t>
  </si>
  <si>
    <t>Optimize Energy Performance</t>
  </si>
  <si>
    <t>Optimize Energy Performance (Cost)</t>
  </si>
  <si>
    <t>Enhanced Energy Efficiency</t>
  </si>
  <si>
    <t>Credit 2</t>
  </si>
  <si>
    <t xml:space="preserve">  EApc95 Alternative Metric</t>
  </si>
  <si>
    <t>Optimize Energy Performance (Carbon)</t>
  </si>
  <si>
    <t xml:space="preserve">   (with Renewables)</t>
  </si>
  <si>
    <t>Credit 3</t>
  </si>
  <si>
    <t>On-Site Renewable Energy</t>
  </si>
  <si>
    <t>Renewable Energy Production</t>
  </si>
  <si>
    <t>Credit 4</t>
  </si>
  <si>
    <t>Electrification</t>
  </si>
  <si>
    <t>Credit 5</t>
  </si>
  <si>
    <t>Reduced Peak Thermal Loads</t>
  </si>
  <si>
    <t>LEED Tables</t>
  </si>
  <si>
    <t>LEED Points</t>
  </si>
  <si>
    <t>New Buildings</t>
  </si>
  <si>
    <t>Existing Building and Renovations</t>
  </si>
  <si>
    <t>NC + Schools</t>
  </si>
  <si>
    <t>Core and Shell</t>
  </si>
  <si>
    <t>Percentage</t>
  </si>
  <si>
    <t>Major Renovation</t>
  </si>
  <si>
    <t>All but Healthcare + Schools</t>
  </si>
  <si>
    <t>Healthcare</t>
  </si>
  <si>
    <t>New Construction + Major Renovations</t>
  </si>
  <si>
    <t>Schools</t>
  </si>
  <si>
    <t>Healthcare, Major Renovations, Core and Shell</t>
  </si>
  <si>
    <t>Core  and Shell</t>
  </si>
  <si>
    <t>All</t>
  </si>
  <si>
    <t>3 + 1 EP</t>
  </si>
  <si>
    <t>5 + 1 EP</t>
  </si>
  <si>
    <t>7 + 1 EP</t>
  </si>
  <si>
    <t>Building Performance Factor Lookup Tables</t>
  </si>
  <si>
    <t>Building Performance Factors</t>
  </si>
  <si>
    <t>Factors Used</t>
  </si>
  <si>
    <t>Building Type</t>
  </si>
  <si>
    <t>0A</t>
  </si>
  <si>
    <t>0B</t>
  </si>
  <si>
    <t>1A</t>
  </si>
  <si>
    <t>1B</t>
  </si>
  <si>
    <t>2A</t>
  </si>
  <si>
    <t>2B</t>
  </si>
  <si>
    <t>3A</t>
  </si>
  <si>
    <t>3B</t>
  </si>
  <si>
    <t>3C</t>
  </si>
  <si>
    <t>4B</t>
  </si>
  <si>
    <t>4C</t>
  </si>
  <si>
    <t>5A</t>
  </si>
  <si>
    <t>5B</t>
  </si>
  <si>
    <t>5C</t>
  </si>
  <si>
    <t>6A</t>
  </si>
  <si>
    <t>6B</t>
  </si>
  <si>
    <t>Multifamily</t>
  </si>
  <si>
    <t>Healthcare/Hospital</t>
  </si>
  <si>
    <t>Hotel/Motel</t>
  </si>
  <si>
    <t>Office</t>
  </si>
  <si>
    <t>Restaurant</t>
  </si>
  <si>
    <t>Retail</t>
  </si>
  <si>
    <t>Warehouse</t>
  </si>
  <si>
    <t>All Others</t>
  </si>
  <si>
    <t>Healthcare/hospital</t>
  </si>
  <si>
    <t>Hotel/motel</t>
  </si>
  <si>
    <t>All others</t>
  </si>
  <si>
    <t>Conversion Factors</t>
  </si>
  <si>
    <t>Energy Conversion Table</t>
  </si>
  <si>
    <t>To/From</t>
  </si>
  <si>
    <t>Conversions and Constants</t>
  </si>
  <si>
    <t>Value</t>
  </si>
  <si>
    <t>Description</t>
  </si>
  <si>
    <t>l/s to kg/s</t>
  </si>
  <si>
    <t>1000 L/m^3, 1.21 kg/m^3 air</t>
  </si>
  <si>
    <t>MWh</t>
  </si>
  <si>
    <t>kg/s to l/s</t>
  </si>
  <si>
    <t>1/(l/s to kg/s) air</t>
  </si>
  <si>
    <t>GJ</t>
  </si>
  <si>
    <t>sq ft to sq m</t>
  </si>
  <si>
    <t>(12 in/ft, 0.0254 m/in)^2</t>
  </si>
  <si>
    <t>MBtu</t>
  </si>
  <si>
    <t>sq m to sq ft</t>
  </si>
  <si>
    <t>1/(sq ft to sq m)</t>
  </si>
  <si>
    <r>
      <t>1000 ft</t>
    </r>
    <r>
      <rPr>
        <vertAlign val="superscript"/>
        <sz val="10"/>
        <color theme="1"/>
        <rFont val="Franklin Gothic Book"/>
        <family val="2"/>
      </rPr>
      <t>3</t>
    </r>
    <r>
      <rPr>
        <sz val="10"/>
        <color theme="1"/>
        <rFont val="Franklin Gothic Book"/>
        <family val="2"/>
      </rPr>
      <t xml:space="preserve"> Gas</t>
    </r>
  </si>
  <si>
    <t>Density of air</t>
  </si>
  <si>
    <t>kg/m^3</t>
  </si>
  <si>
    <t>kg/s to m^3/s</t>
  </si>
  <si>
    <t>kgps_m3ps (air only)</t>
  </si>
  <si>
    <t>CFM to m^3/s</t>
  </si>
  <si>
    <t>(12in/ft*0.0254in/m)^3*1min/60s)</t>
  </si>
  <si>
    <t>Energy Use Intensity Conversion Table</t>
  </si>
  <si>
    <t>m^3/s to CFM</t>
  </si>
  <si>
    <t>(CFM_to_m3ps)^-1</t>
  </si>
  <si>
    <t>inH2O_kPa</t>
  </si>
  <si>
    <t>Unitconversion.org:  1 kPa = 4.014742133 in H2O (4°C inAq)</t>
  </si>
  <si>
    <r>
      <t>kWh/m</t>
    </r>
    <r>
      <rPr>
        <vertAlign val="superscript"/>
        <sz val="10"/>
        <color theme="1"/>
        <rFont val="Franklin Gothic Book"/>
        <family val="2"/>
      </rPr>
      <t>²</t>
    </r>
  </si>
  <si>
    <r>
      <t>kwh/ft</t>
    </r>
    <r>
      <rPr>
        <vertAlign val="superscript"/>
        <sz val="10"/>
        <color theme="1"/>
        <rFont val="Franklin Gothic Book"/>
        <family val="2"/>
      </rPr>
      <t>²</t>
    </r>
  </si>
  <si>
    <r>
      <t>kBtu/ft</t>
    </r>
    <r>
      <rPr>
        <vertAlign val="superscript"/>
        <sz val="10"/>
        <color theme="1"/>
        <rFont val="Franklin Gothic Book"/>
        <family val="2"/>
      </rPr>
      <t>²</t>
    </r>
  </si>
  <si>
    <t>kPa_inH2O</t>
  </si>
  <si>
    <t>W to Btu/h</t>
  </si>
  <si>
    <t xml:space="preserve">Unitconversion.org:  1 watt = 3.412141633 Btu </t>
  </si>
  <si>
    <t>Btu/h to W</t>
  </si>
  <si>
    <t>ton to Btu/h</t>
  </si>
  <si>
    <t>1 ton = 12,000 Btu/hr</t>
  </si>
  <si>
    <t>Btu/h to ton</t>
  </si>
  <si>
    <t>Carbon Emissions Conversion Table</t>
  </si>
  <si>
    <t>kW to ton</t>
  </si>
  <si>
    <t>1 ton = 3.517 kW</t>
  </si>
  <si>
    <t>ton to kW</t>
  </si>
  <si>
    <t>g/kg to grains/lbm H20</t>
  </si>
  <si>
    <t>7 grains/lbm per 1 g/kg H20</t>
  </si>
  <si>
    <t>gr./lbm to g/kg</t>
  </si>
  <si>
    <r>
      <t>lbs CO</t>
    </r>
    <r>
      <rPr>
        <vertAlign val="subscript"/>
        <sz val="10"/>
        <color theme="1"/>
        <rFont val="Franklin Gothic Book"/>
        <family val="2"/>
      </rPr>
      <t>2</t>
    </r>
    <r>
      <rPr>
        <sz val="10"/>
        <color theme="1"/>
        <rFont val="Franklin Gothic Book"/>
        <family val="2"/>
      </rPr>
      <t>e</t>
    </r>
  </si>
  <si>
    <t>Therm to kWh</t>
  </si>
  <si>
    <t>1 Therm = 29.30722 kWh</t>
  </si>
  <si>
    <r>
      <t>MT CO</t>
    </r>
    <r>
      <rPr>
        <vertAlign val="subscript"/>
        <sz val="10"/>
        <color theme="1"/>
        <rFont val="Franklin Gothic Book"/>
        <family val="2"/>
      </rPr>
      <t>2</t>
    </r>
    <r>
      <rPr>
        <sz val="10"/>
        <color theme="1"/>
        <rFont val="Franklin Gothic Book"/>
        <family val="2"/>
      </rPr>
      <t>e</t>
    </r>
  </si>
  <si>
    <t>kWh to Therm</t>
  </si>
  <si>
    <t>w to kW</t>
  </si>
  <si>
    <t>0.001 kW per W</t>
  </si>
  <si>
    <t>Area Conversion Table</t>
  </si>
  <si>
    <t>kW_w</t>
  </si>
  <si>
    <t>1000 W per kW</t>
  </si>
  <si>
    <t>hours to minutes</t>
  </si>
  <si>
    <t>60 minutes/hour</t>
  </si>
  <si>
    <t>minutes to hours</t>
  </si>
  <si>
    <t>seconds_hours</t>
  </si>
  <si>
    <t>3600 s / 1 hour</t>
  </si>
  <si>
    <t>si_cp_h20</t>
  </si>
  <si>
    <t>4.186 kJ/kg</t>
  </si>
  <si>
    <t>si density of h20</t>
  </si>
  <si>
    <t>1000 kg water / m3</t>
  </si>
  <si>
    <t>kJ to ton-hr</t>
  </si>
  <si>
    <t>Unitconversion.org
12660.67023144 kJ = 1 ton-hr</t>
  </si>
  <si>
    <t>ton-hr to kJ</t>
  </si>
  <si>
    <t>Casa</t>
  </si>
  <si>
    <t>Title 24</t>
  </si>
  <si>
    <t>Urvi Pawar</t>
  </si>
  <si>
    <t>2026-06-17</t>
  </si>
  <si>
    <t>ASHRAE 90.1-2010 Baseline 0°</t>
  </si>
  <si>
    <t>Casa De Amparo_v4z 1.pdf</t>
  </si>
  <si>
    <t>Jun 11, 2026 - 10:50 PM</t>
  </si>
  <si>
    <t>ASHRAE 90.1-2010 BASELINE ** Climate Zone 10 CA USA CTZRV2 WMO#=722860</t>
  </si>
  <si>
    <t>ASHRAE 90.1-2010 Baseline 90°</t>
  </si>
  <si>
    <t>ASHRAE 90.1-2010 Baseline 180°</t>
  </si>
  <si>
    <t>ASHRAE 90.1-2010 Baseline 270°</t>
  </si>
  <si>
    <t>Primary 0°</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</si>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</sst>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5" formatCode="&quot;$&quot;#,##0_);\(&quot;$&quot;#,##0\)"/>
    <numFmt numFmtId="44" formatCode="_(&quot;$&quot;* #,##0.00_);_(&quot;$&quot;* \(#,##0.00\);_(&quot;$&quot;* &quot;-&quot;??_);_(@_)"/>
    <numFmt numFmtId="43" formatCode="_(* #,##0.00_);_(* \(#,##0.00\);_(* &quot;-&quot;??_);_(@_)"/>
    <numFmt numFmtId="164" formatCode="0.0%"/>
    <numFmt numFmtId="165" formatCode="_(* #,##0_);_(* \(#,##0\);_(* &quot;-&quot;??_);_(@_)"/>
    <numFmt numFmtId="166" formatCode="_-* #,##0.00_-;\-* #,##0.00_-;_-* &quot;-&quot;??_-;_-@_-"/>
    <numFmt numFmtId="167" formatCode="_-&quot;$&quot;* #,##0.00_-;\-&quot;$&quot;* #,##0.00_-;_-&quot;$&quot;* &quot;-&quot;??_-;_-@_-"/>
    <numFmt numFmtId="168" formatCode="_(* #,##0.0_);_(* \(#,##0.0\);_(* &quot;-&quot;??_);_(@_)"/>
    <numFmt numFmtId="169" formatCode="0.0"/>
    <numFmt numFmtId="170" formatCode="&quot;$&quot;#,##0.00"/>
    <numFmt numFmtId="171" formatCode="_(&quot;$&quot;* #,##0_);_(&quot;$&quot;* \(#,##0\);_(&quot;$&quot;* &quot;-&quot;??_);_(@_)"/>
    <numFmt numFmtId="172" formatCode="_(* #,##0.000_);_(* \(#,##0.000\);_(* &quot;-&quot;??_);_(@_)"/>
    <numFmt numFmtId="173" formatCode="d\-mmm\-h:mm"/>
    <numFmt numFmtId="174" formatCode="_(* #,##0.0000_);_(* \(#,##0.0000\);_(* &quot;-&quot;??_);_(@_)"/>
    <numFmt numFmtId="175" formatCode="_(* #,##0.00000_);_(* \(#,##0.00000\);_(* &quot;-&quot;??_);_(@_)"/>
    <numFmt numFmtId="176" formatCode="_(* #,##0.000000_);_(* \(#,##0.000000\);_(* &quot;-&quot;??_);_(@_)"/>
    <numFmt numFmtId="177" formatCode="_(&quot;$&quot;* #,##0.000_);_(&quot;$&quot;* \(#,##0.000\);_(&quot;$&quot;* &quot;-&quot;??_);_(@_)"/>
    <numFmt numFmtId="178" formatCode="_(&quot;$&quot;* #,##0.0000_);_(&quot;$&quot;* \(#,##0.0000\);_(&quot;$&quot;* &quot;-&quot;??_);_(@_)"/>
  </numFmts>
  <fonts count="71">
    <font>
      <sz val="11"/>
      <color theme="1"/>
      <name val="Calibri"/>
      <family val="2"/>
      <scheme val="minor"/>
    </font>
    <font>
      <sz val="11"/>
      <color theme="1"/>
      <name val="Calibri"/>
      <family val="2"/>
      <scheme val="minor"/>
    </font>
    <font>
      <b/>
      <sz val="11"/>
      <color theme="1"/>
      <name val="Calibri"/>
      <family val="2"/>
      <scheme val="minor"/>
    </font>
    <font>
      <sz val="11"/>
      <color rgb="FF006100"/>
      <name val="Calibri"/>
      <family val="2"/>
      <scheme val="minor"/>
    </font>
    <font>
      <sz val="11"/>
      <color rgb="FF3F3F76"/>
      <name val="Calibri"/>
      <family val="2"/>
      <scheme val="minor"/>
    </font>
    <font>
      <b/>
      <sz val="11"/>
      <color rgb="FFFA7D00"/>
      <name val="Calibri"/>
      <family val="2"/>
      <scheme val="minor"/>
    </font>
    <font>
      <b/>
      <sz val="11"/>
      <color theme="0"/>
      <name val="Calibri"/>
      <family val="2"/>
      <scheme val="minor"/>
    </font>
    <font>
      <sz val="11"/>
      <color theme="0"/>
      <name val="Calibri"/>
      <family val="2"/>
      <scheme val="minor"/>
    </font>
    <font>
      <sz val="10"/>
      <color rgb="FF3F3F76"/>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9C0006"/>
      <name val="Calibri"/>
      <family val="2"/>
      <scheme val="minor"/>
    </font>
    <font>
      <sz val="11"/>
      <color rgb="FF9C6500"/>
      <name val="Calibri"/>
      <family val="2"/>
      <scheme val="minor"/>
    </font>
    <font>
      <b/>
      <sz val="11"/>
      <color rgb="FF3F3F3F"/>
      <name val="Calibri"/>
      <family val="2"/>
      <scheme val="minor"/>
    </font>
    <font>
      <sz val="11"/>
      <color rgb="FFFA7D00"/>
      <name val="Calibri"/>
      <family val="2"/>
      <scheme val="minor"/>
    </font>
    <font>
      <sz val="11"/>
      <color rgb="FFFF0000"/>
      <name val="Calibri"/>
      <family val="2"/>
      <scheme val="minor"/>
    </font>
    <font>
      <i/>
      <sz val="11"/>
      <color rgb="FF7F7F7F"/>
      <name val="Calibri"/>
      <family val="2"/>
      <scheme val="minor"/>
    </font>
    <font>
      <sz val="10"/>
      <name val="Arial"/>
      <family val="2"/>
    </font>
    <font>
      <sz val="11"/>
      <color theme="1"/>
      <name val="Bookman Old Style"/>
      <family val="2"/>
    </font>
    <font>
      <sz val="10"/>
      <color theme="1"/>
      <name val="Arial"/>
      <family val="2"/>
    </font>
    <font>
      <sz val="14"/>
      <color theme="1"/>
      <name val="Flama Light"/>
      <family val="2"/>
    </font>
    <font>
      <sz val="11"/>
      <color theme="1"/>
      <name val="Swis721 BT"/>
      <family val="2"/>
    </font>
    <font>
      <sz val="11"/>
      <color indexed="8"/>
      <name val="Calibri"/>
      <family val="2"/>
      <charset val="134"/>
    </font>
    <font>
      <sz val="11"/>
      <color indexed="9"/>
      <name val="Calibri"/>
      <family val="2"/>
      <charset val="134"/>
    </font>
    <font>
      <sz val="11"/>
      <color indexed="20"/>
      <name val="Calibri"/>
      <family val="2"/>
      <charset val="134"/>
    </font>
    <font>
      <b/>
      <sz val="11"/>
      <color indexed="52"/>
      <name val="Calibri"/>
      <family val="2"/>
      <charset val="134"/>
    </font>
    <font>
      <b/>
      <sz val="11"/>
      <color indexed="9"/>
      <name val="Calibri"/>
      <family val="2"/>
      <charset val="134"/>
    </font>
    <font>
      <i/>
      <sz val="11"/>
      <color indexed="23"/>
      <name val="Calibri"/>
      <family val="2"/>
      <charset val="134"/>
    </font>
    <font>
      <sz val="11"/>
      <color indexed="17"/>
      <name val="Calibri"/>
      <family val="2"/>
      <charset val="134"/>
    </font>
    <font>
      <b/>
      <sz val="15"/>
      <color indexed="56"/>
      <name val="Calibri"/>
      <family val="2"/>
      <charset val="134"/>
    </font>
    <font>
      <b/>
      <sz val="13"/>
      <color indexed="56"/>
      <name val="Calibri"/>
      <family val="2"/>
      <charset val="134"/>
    </font>
    <font>
      <b/>
      <sz val="11"/>
      <color indexed="56"/>
      <name val="Calibri"/>
      <family val="2"/>
      <charset val="134"/>
    </font>
    <font>
      <sz val="11"/>
      <color indexed="62"/>
      <name val="Calibri"/>
      <family val="2"/>
      <charset val="134"/>
    </font>
    <font>
      <sz val="11"/>
      <color indexed="52"/>
      <name val="Calibri"/>
      <family val="2"/>
      <charset val="134"/>
    </font>
    <font>
      <sz val="11"/>
      <color indexed="60"/>
      <name val="Calibri"/>
      <family val="2"/>
      <charset val="134"/>
    </font>
    <font>
      <sz val="11"/>
      <color theme="1"/>
      <name val="Flama Light"/>
      <family val="2"/>
    </font>
    <font>
      <b/>
      <sz val="11"/>
      <color indexed="63"/>
      <name val="Calibri"/>
      <family val="2"/>
      <charset val="134"/>
    </font>
    <font>
      <b/>
      <sz val="18"/>
      <color indexed="56"/>
      <name val="Cambria"/>
      <family val="2"/>
      <charset val="134"/>
    </font>
    <font>
      <b/>
      <sz val="11"/>
      <color indexed="8"/>
      <name val="Calibri"/>
      <family val="2"/>
      <charset val="134"/>
    </font>
    <font>
      <sz val="11"/>
      <color indexed="10"/>
      <name val="Calibri"/>
      <family val="2"/>
      <charset val="134"/>
    </font>
    <font>
      <sz val="11"/>
      <color theme="1"/>
      <name val="Calibri"/>
      <family val="2"/>
      <charset val="222"/>
      <scheme val="minor"/>
    </font>
    <font>
      <b/>
      <sz val="18"/>
      <color theme="3"/>
      <name val="Cambria"/>
      <family val="2"/>
      <scheme val="major"/>
    </font>
    <font>
      <b/>
      <sz val="18"/>
      <name val="Arial"/>
      <family val="2"/>
    </font>
    <font>
      <b/>
      <sz val="12"/>
      <name val="Arial"/>
      <family val="2"/>
    </font>
    <font>
      <u/>
      <sz val="11"/>
      <color theme="10"/>
      <name val="Calibri"/>
      <family val="2"/>
      <scheme val="minor"/>
    </font>
    <font>
      <sz val="8"/>
      <name val="Calibri"/>
      <family val="2"/>
      <scheme val="minor"/>
    </font>
    <font>
      <sz val="10"/>
      <color theme="0"/>
      <name val="Franklin Gothic Book"/>
      <family val="2"/>
    </font>
    <font>
      <b/>
      <sz val="10"/>
      <color theme="0"/>
      <name val="Franklin Gothic Book"/>
      <family val="2"/>
    </font>
    <font>
      <sz val="11"/>
      <color theme="1"/>
      <name val="Franklin Gothic Book"/>
      <family val="2"/>
    </font>
    <font>
      <b/>
      <sz val="10"/>
      <color theme="1"/>
      <name val="Franklin Gothic Book"/>
      <family val="2"/>
    </font>
    <font>
      <i/>
      <sz val="10"/>
      <color theme="1"/>
      <name val="Franklin Gothic Book"/>
      <family val="2"/>
    </font>
    <font>
      <sz val="10"/>
      <color theme="1"/>
      <name val="Franklin Gothic Book"/>
      <family val="2"/>
    </font>
    <font>
      <b/>
      <sz val="10"/>
      <color theme="0" tint="-0.499984740745262"/>
      <name val="Franklin Gothic Book"/>
      <family val="2"/>
    </font>
    <font>
      <sz val="8"/>
      <name val="Franklin Gothic Book"/>
      <family val="2"/>
    </font>
    <font>
      <vertAlign val="superscript"/>
      <sz val="10"/>
      <color theme="1"/>
      <name val="Franklin Gothic Book"/>
      <family val="2"/>
    </font>
    <font>
      <b/>
      <sz val="10"/>
      <name val="Franklin Gothic Book"/>
      <family val="2"/>
    </font>
    <font>
      <sz val="10"/>
      <name val="Franklin Gothic Book"/>
      <family val="2"/>
    </font>
    <font>
      <sz val="8"/>
      <color theme="1"/>
      <name val="Franklin Gothic Book"/>
      <family val="2"/>
    </font>
    <font>
      <b/>
      <sz val="8"/>
      <name val="Franklin Gothic Book"/>
      <family val="2"/>
    </font>
    <font>
      <u/>
      <sz val="10"/>
      <color theme="10"/>
      <name val="Franklin Gothic Book"/>
      <family val="2"/>
    </font>
    <font>
      <b/>
      <sz val="10"/>
      <color rgb="FFFF0000"/>
      <name val="Franklin Gothic Book"/>
      <family val="2"/>
    </font>
    <font>
      <sz val="10"/>
      <color rgb="FFFF0000"/>
      <name val="Franklin Gothic Book"/>
      <family val="2"/>
    </font>
    <font>
      <b/>
      <sz val="8"/>
      <color theme="0" tint="-0.499984740745262"/>
      <name val="Franklin Gothic Book"/>
      <family val="2"/>
    </font>
    <font>
      <sz val="8"/>
      <color theme="0" tint="-0.499984740745262"/>
      <name val="Franklin Gothic Book"/>
      <family val="2"/>
    </font>
    <font>
      <b/>
      <sz val="8"/>
      <color theme="1"/>
      <name val="Franklin Gothic Book"/>
      <family val="2"/>
    </font>
    <font>
      <sz val="8"/>
      <color rgb="FF006100"/>
      <name val="Franklin Gothic Book"/>
      <family val="2"/>
    </font>
    <font>
      <vertAlign val="subscript"/>
      <sz val="10"/>
      <color theme="1"/>
      <name val="Franklin Gothic Book"/>
      <family val="2"/>
    </font>
    <font>
      <b/>
      <sz val="11"/>
      <color theme="1"/>
      <name val="Franklin Gothic Book"/>
      <family val="2"/>
    </font>
    <font>
      <sz val="11"/>
      <color theme="0"/>
      <name val="Franklin Gothic Book"/>
      <family val="2"/>
    </font>
    <font>
      <sz val="11"/>
      <name val="Franklin Gothic Book"/>
      <family val="2"/>
    </font>
  </fonts>
  <fills count="70">
    <fill>
      <patternFill patternType="none"/>
    </fill>
    <fill>
      <patternFill patternType="gray125"/>
    </fill>
    <fill>
      <patternFill patternType="solid">
        <fgColor rgb="FFC6EFCE"/>
      </patternFill>
    </fill>
    <fill>
      <patternFill patternType="solid">
        <fgColor rgb="FFFFCC99"/>
      </patternFill>
    </fill>
    <fill>
      <patternFill patternType="solid">
        <fgColor rgb="FFF2F2F2"/>
      </patternFill>
    </fill>
    <fill>
      <patternFill patternType="solid">
        <fgColor theme="4"/>
      </patternFill>
    </fill>
    <fill>
      <patternFill patternType="solid">
        <fgColor theme="0" tint="-0.34998626667073579"/>
        <bgColor indexed="64"/>
      </patternFill>
    </fill>
    <fill>
      <patternFill patternType="solid">
        <fgColor theme="7" tint="0.79998168889431442"/>
        <bgColor indexed="64"/>
      </patternFill>
    </fill>
    <fill>
      <patternFill patternType="solid">
        <fgColor theme="0" tint="-0.499984740745262"/>
        <bgColor indexed="64"/>
      </patternFill>
    </fill>
    <fill>
      <patternFill patternType="solid">
        <fgColor rgb="FFFFC7CE"/>
      </patternFill>
    </fill>
    <fill>
      <patternFill patternType="solid">
        <fgColor rgb="FFFFEB9C"/>
      </patternFill>
    </fill>
    <fill>
      <patternFill patternType="solid">
        <fgColor rgb="FFA5A5A5"/>
      </patternFill>
    </fill>
    <fill>
      <patternFill patternType="solid">
        <fgColor rgb="FFFFFFCC"/>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theme="9" tint="0.79998168889431442"/>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0" tint="-0.14999847407452621"/>
        <bgColor indexed="64"/>
      </patternFill>
    </fill>
    <fill>
      <patternFill patternType="solid">
        <fgColor theme="5" tint="0.59999389629810485"/>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0" tint="-4.9989318521683403E-2"/>
        <bgColor indexed="64"/>
      </patternFill>
    </fill>
    <fill>
      <patternFill patternType="solid">
        <fgColor rgb="FFFEEFEE"/>
        <bgColor indexed="64"/>
      </patternFill>
    </fill>
    <fill>
      <patternFill patternType="solid">
        <fgColor theme="1"/>
        <bgColor indexed="64"/>
      </patternFill>
    </fill>
    <fill>
      <patternFill patternType="solid">
        <fgColor rgb="FFFFC8BD"/>
        <bgColor indexed="64"/>
      </patternFill>
    </fill>
    <fill>
      <patternFill patternType="solid">
        <fgColor rgb="FFBFB9B9"/>
        <bgColor indexed="64"/>
      </patternFill>
    </fill>
  </fills>
  <borders count="46">
    <border>
      <left/>
      <right/>
      <top/>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indexed="64"/>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theme="0" tint="-0.499984740745262"/>
      </left>
      <right style="thin">
        <color theme="0" tint="-0.499984740745262"/>
      </right>
      <top/>
      <bottom style="thin">
        <color theme="0" tint="-0.499984740745262"/>
      </bottom>
      <diagonal/>
    </border>
    <border>
      <left/>
      <right/>
      <top style="double">
        <color indexed="8"/>
      </top>
      <bottom/>
      <diagonal/>
    </border>
    <border>
      <left/>
      <right/>
      <top style="thin">
        <color theme="0"/>
      </top>
      <bottom style="thin">
        <color theme="0"/>
      </bottom>
      <diagonal/>
    </border>
    <border>
      <left/>
      <right/>
      <top/>
      <bottom style="thin">
        <color theme="0"/>
      </bottom>
      <diagonal/>
    </border>
    <border>
      <left style="thin">
        <color indexed="64"/>
      </left>
      <right style="thin">
        <color indexed="64"/>
      </right>
      <top/>
      <bottom/>
      <diagonal/>
    </border>
    <border>
      <left/>
      <right/>
      <top/>
      <bottom style="thin">
        <color auto="1"/>
      </bottom>
      <diagonal/>
    </border>
    <border>
      <left style="thin">
        <color theme="0" tint="-0.499984740745262"/>
      </left>
      <right style="thin">
        <color indexed="64"/>
      </right>
      <top/>
      <bottom style="thin">
        <color theme="0" tint="-0.499984740745262"/>
      </bottom>
      <diagonal/>
    </border>
    <border>
      <left/>
      <right style="thin">
        <color indexed="64"/>
      </right>
      <top/>
      <bottom/>
      <diagonal/>
    </border>
    <border>
      <left/>
      <right style="thin">
        <color indexed="64"/>
      </right>
      <top style="thin">
        <color theme="0"/>
      </top>
      <bottom style="thin">
        <color theme="0"/>
      </bottom>
      <diagonal/>
    </border>
    <border>
      <left style="thin">
        <color indexed="64"/>
      </left>
      <right style="thin">
        <color indexed="64"/>
      </right>
      <top style="thin">
        <color theme="0"/>
      </top>
      <bottom style="thin">
        <color theme="0"/>
      </bottom>
      <diagonal/>
    </border>
    <border>
      <left/>
      <right/>
      <top style="thin">
        <color theme="0" tint="-0.249977111117893"/>
      </top>
      <bottom style="thin">
        <color theme="0" tint="-0.249977111117893"/>
      </bottom>
      <diagonal/>
    </border>
    <border>
      <left/>
      <right/>
      <top style="thin">
        <color theme="0" tint="-0.249977111117893"/>
      </top>
      <bottom/>
      <diagonal/>
    </border>
    <border>
      <left/>
      <right/>
      <top/>
      <bottom style="thin">
        <color theme="0" tint="-0.249977111117893"/>
      </bottom>
      <diagonal/>
    </border>
    <border>
      <left/>
      <right/>
      <top/>
      <bottom style="medium">
        <color indexed="64"/>
      </bottom>
      <diagonal/>
    </border>
    <border>
      <left/>
      <right/>
      <top style="medium">
        <color indexed="64"/>
      </top>
      <bottom/>
      <diagonal/>
    </border>
    <border>
      <left style="thin">
        <color rgb="FF7F7F7F"/>
      </left>
      <right style="thin">
        <color rgb="FF7F7F7F"/>
      </right>
      <top/>
      <bottom style="thin">
        <color rgb="FF7F7F7F"/>
      </bottom>
      <diagonal/>
    </border>
    <border>
      <left/>
      <right/>
      <top style="thin">
        <color theme="0"/>
      </top>
      <bottom style="thin">
        <color indexed="64"/>
      </bottom>
      <diagonal/>
    </border>
    <border>
      <left/>
      <right style="thin">
        <color indexed="64"/>
      </right>
      <top/>
      <bottom style="thin">
        <color theme="0"/>
      </bottom>
      <diagonal/>
    </border>
    <border>
      <left/>
      <right style="thin">
        <color indexed="64"/>
      </right>
      <top style="thin">
        <color theme="0"/>
      </top>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s>
  <cellStyleXfs count="345">
    <xf numFmtId="0" fontId="0" fillId="0" borderId="0"/>
    <xf numFmtId="43" fontId="1" fillId="0" borderId="0" applyFon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0" fontId="3" fillId="2" borderId="0" applyNumberFormat="0" applyBorder="0" applyAlignment="0" applyProtection="0"/>
    <xf numFmtId="0" fontId="4" fillId="3" borderId="1" applyNumberFormat="0" applyAlignment="0" applyProtection="0"/>
    <xf numFmtId="0" fontId="5" fillId="4" borderId="1" applyNumberFormat="0" applyAlignment="0" applyProtection="0"/>
    <xf numFmtId="0" fontId="7" fillId="5" borderId="0" applyNumberFormat="0" applyBorder="0" applyAlignment="0" applyProtection="0"/>
    <xf numFmtId="0" fontId="9" fillId="0" borderId="9" applyNumberFormat="0" applyFill="0" applyAlignment="0" applyProtection="0"/>
    <xf numFmtId="0" fontId="10" fillId="0" borderId="10" applyNumberFormat="0" applyFill="0" applyAlignment="0" applyProtection="0"/>
    <xf numFmtId="0" fontId="11" fillId="0" borderId="11" applyNumberFormat="0" applyFill="0" applyAlignment="0" applyProtection="0"/>
    <xf numFmtId="0" fontId="11" fillId="0" borderId="0" applyNumberFormat="0" applyFill="0" applyBorder="0" applyAlignment="0" applyProtection="0"/>
    <xf numFmtId="0" fontId="12" fillId="9" borderId="0" applyNumberFormat="0" applyBorder="0" applyAlignment="0" applyProtection="0"/>
    <xf numFmtId="0" fontId="13" fillId="10" borderId="0" applyNumberFormat="0" applyBorder="0" applyAlignment="0" applyProtection="0"/>
    <xf numFmtId="0" fontId="14" fillId="4" borderId="12" applyNumberFormat="0" applyAlignment="0" applyProtection="0"/>
    <xf numFmtId="0" fontId="15" fillId="0" borderId="13" applyNumberFormat="0" applyFill="0" applyAlignment="0" applyProtection="0"/>
    <xf numFmtId="0" fontId="6" fillId="11" borderId="14" applyNumberFormat="0" applyAlignment="0" applyProtection="0"/>
    <xf numFmtId="0" fontId="16" fillId="0" borderId="0" applyNumberFormat="0" applyFill="0" applyBorder="0" applyAlignment="0" applyProtection="0"/>
    <xf numFmtId="0" fontId="1" fillId="12" borderId="15" applyNumberFormat="0" applyFont="0" applyAlignment="0" applyProtection="0"/>
    <xf numFmtId="0" fontId="17" fillId="0" borderId="0" applyNumberFormat="0" applyFill="0" applyBorder="0" applyAlignment="0" applyProtection="0"/>
    <xf numFmtId="0" fontId="2" fillId="0" borderId="16" applyNumberFormat="0" applyFill="0" applyAlignment="0" applyProtection="0"/>
    <xf numFmtId="0" fontId="1" fillId="13" borderId="0" applyNumberFormat="0" applyBorder="0" applyAlignment="0" applyProtection="0"/>
    <xf numFmtId="0" fontId="1" fillId="14"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7" fillId="35" borderId="0" applyNumberFormat="0" applyBorder="0" applyAlignment="0" applyProtection="0"/>
    <xf numFmtId="166" fontId="18" fillId="0" borderId="0" applyFont="0" applyFill="0" applyBorder="0" applyAlignment="0" applyProtection="0"/>
    <xf numFmtId="0" fontId="1" fillId="0" borderId="0"/>
    <xf numFmtId="9" fontId="18" fillId="0" borderId="0" applyFont="0" applyFill="0" applyBorder="0" applyAlignment="0" applyProtection="0"/>
    <xf numFmtId="0" fontId="18" fillId="0" borderId="0"/>
    <xf numFmtId="0" fontId="1" fillId="0" borderId="0"/>
    <xf numFmtId="0" fontId="19" fillId="0" borderId="0"/>
    <xf numFmtId="0" fontId="1" fillId="0" borderId="0"/>
    <xf numFmtId="9" fontId="18" fillId="0" borderId="0" applyFont="0" applyFill="0" applyBorder="0" applyAlignment="0" applyProtection="0"/>
    <xf numFmtId="0" fontId="1" fillId="0" borderId="0"/>
    <xf numFmtId="0" fontId="18" fillId="0" borderId="0"/>
    <xf numFmtId="166" fontId="18" fillId="0" borderId="0" applyFont="0" applyFill="0" applyBorder="0" applyAlignment="0" applyProtection="0"/>
    <xf numFmtId="166" fontId="18" fillId="0" borderId="0" applyFont="0" applyFill="0" applyBorder="0" applyAlignment="0" applyProtection="0"/>
    <xf numFmtId="167" fontId="18" fillId="0" borderId="0" applyFont="0" applyFill="0" applyBorder="0" applyAlignment="0" applyProtection="0"/>
    <xf numFmtId="0" fontId="20"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166" fontId="18" fillId="0" borderId="0" applyFont="0" applyFill="0" applyBorder="0" applyAlignment="0" applyProtection="0"/>
    <xf numFmtId="0" fontId="18" fillId="0" borderId="0"/>
    <xf numFmtId="166" fontId="18" fillId="0" borderId="0" applyFont="0" applyFill="0" applyBorder="0" applyAlignment="0" applyProtection="0"/>
    <xf numFmtId="0" fontId="1" fillId="0" borderId="0"/>
    <xf numFmtId="9" fontId="18" fillId="0" borderId="0" applyFont="0" applyFill="0" applyBorder="0" applyAlignment="0" applyProtection="0"/>
    <xf numFmtId="9" fontId="18" fillId="0" borderId="0" applyFont="0" applyFill="0" applyBorder="0" applyAlignment="0" applyProtection="0"/>
    <xf numFmtId="0" fontId="18" fillId="0" borderId="0"/>
    <xf numFmtId="166" fontId="18" fillId="0" borderId="0" applyFont="0" applyFill="0" applyBorder="0" applyAlignment="0" applyProtection="0"/>
    <xf numFmtId="167" fontId="18" fillId="0" borderId="0" applyFont="0" applyFill="0" applyBorder="0" applyAlignment="0" applyProtection="0"/>
    <xf numFmtId="167" fontId="18" fillId="0" borderId="0" applyFont="0" applyFill="0" applyBorder="0" applyAlignment="0" applyProtection="0"/>
    <xf numFmtId="0" fontId="1" fillId="0" borderId="0"/>
    <xf numFmtId="9" fontId="18" fillId="0" borderId="0" applyFont="0" applyFill="0" applyBorder="0" applyAlignment="0" applyProtection="0"/>
    <xf numFmtId="0" fontId="21" fillId="0" borderId="0"/>
    <xf numFmtId="43" fontId="18" fillId="0" borderId="0" applyFont="0" applyFill="0" applyBorder="0" applyAlignment="0" applyProtection="0"/>
    <xf numFmtId="0" fontId="21" fillId="12" borderId="15" applyNumberFormat="0" applyFont="0" applyAlignment="0" applyProtection="0"/>
    <xf numFmtId="43" fontId="22" fillId="0" borderId="0" applyFont="0" applyFill="0" applyBorder="0" applyAlignment="0" applyProtection="0"/>
    <xf numFmtId="9" fontId="22" fillId="0" borderId="0" applyFont="0" applyFill="0" applyBorder="0" applyAlignment="0" applyProtection="0"/>
    <xf numFmtId="0" fontId="18" fillId="0" borderId="0"/>
    <xf numFmtId="166" fontId="18" fillId="0" borderId="0" applyFont="0" applyFill="0" applyBorder="0" applyAlignment="0" applyProtection="0"/>
    <xf numFmtId="166" fontId="18" fillId="0" borderId="0" applyFont="0" applyFill="0" applyBorder="0" applyAlignment="0" applyProtection="0"/>
    <xf numFmtId="9" fontId="18" fillId="0" borderId="0" applyFont="0" applyFill="0" applyBorder="0" applyAlignment="0" applyProtection="0"/>
    <xf numFmtId="167" fontId="18" fillId="0" borderId="0" applyFont="0" applyFill="0" applyBorder="0" applyAlignment="0" applyProtection="0"/>
    <xf numFmtId="0" fontId="1" fillId="0" borderId="0"/>
    <xf numFmtId="0" fontId="20" fillId="0" borderId="0"/>
    <xf numFmtId="0" fontId="18" fillId="0" borderId="0"/>
    <xf numFmtId="43" fontId="18" fillId="0" borderId="0" applyFont="0" applyFill="0" applyBorder="0" applyAlignment="0" applyProtection="0"/>
    <xf numFmtId="0" fontId="23" fillId="36" borderId="0" applyNumberFormat="0" applyBorder="0" applyAlignment="0" applyProtection="0"/>
    <xf numFmtId="0" fontId="23" fillId="37" borderId="0" applyNumberFormat="0" applyBorder="0" applyAlignment="0" applyProtection="0"/>
    <xf numFmtId="0" fontId="23" fillId="38" borderId="0" applyNumberFormat="0" applyBorder="0" applyAlignment="0" applyProtection="0"/>
    <xf numFmtId="0" fontId="23" fillId="39" borderId="0" applyNumberFormat="0" applyBorder="0" applyAlignment="0" applyProtection="0"/>
    <xf numFmtId="0" fontId="23" fillId="40" borderId="0" applyNumberFormat="0" applyBorder="0" applyAlignment="0" applyProtection="0"/>
    <xf numFmtId="0" fontId="23" fillId="41" borderId="0" applyNumberFormat="0" applyBorder="0" applyAlignment="0" applyProtection="0"/>
    <xf numFmtId="0" fontId="23" fillId="42" borderId="0" applyNumberFormat="0" applyBorder="0" applyAlignment="0" applyProtection="0"/>
    <xf numFmtId="0" fontId="23" fillId="43" borderId="0" applyNumberFormat="0" applyBorder="0" applyAlignment="0" applyProtection="0"/>
    <xf numFmtId="0" fontId="23" fillId="44" borderId="0" applyNumberFormat="0" applyBorder="0" applyAlignment="0" applyProtection="0"/>
    <xf numFmtId="0" fontId="23" fillId="39" borderId="0" applyNumberFormat="0" applyBorder="0" applyAlignment="0" applyProtection="0"/>
    <xf numFmtId="0" fontId="23" fillId="42" borderId="0" applyNumberFormat="0" applyBorder="0" applyAlignment="0" applyProtection="0"/>
    <xf numFmtId="0" fontId="23" fillId="45" borderId="0" applyNumberFormat="0" applyBorder="0" applyAlignment="0" applyProtection="0"/>
    <xf numFmtId="0" fontId="24" fillId="46" borderId="0" applyNumberFormat="0" applyBorder="0" applyAlignment="0" applyProtection="0"/>
    <xf numFmtId="0" fontId="24" fillId="43" borderId="0" applyNumberFormat="0" applyBorder="0" applyAlignment="0" applyProtection="0"/>
    <xf numFmtId="0" fontId="24" fillId="44" borderId="0" applyNumberFormat="0" applyBorder="0" applyAlignment="0" applyProtection="0"/>
    <xf numFmtId="0" fontId="24" fillId="47" borderId="0" applyNumberFormat="0" applyBorder="0" applyAlignment="0" applyProtection="0"/>
    <xf numFmtId="0" fontId="24" fillId="48" borderId="0" applyNumberFormat="0" applyBorder="0" applyAlignment="0" applyProtection="0"/>
    <xf numFmtId="0" fontId="24" fillId="4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2" borderId="0" applyNumberFormat="0" applyBorder="0" applyAlignment="0" applyProtection="0"/>
    <xf numFmtId="0" fontId="24" fillId="47" borderId="0" applyNumberFormat="0" applyBorder="0" applyAlignment="0" applyProtection="0"/>
    <xf numFmtId="0" fontId="24" fillId="48" borderId="0" applyNumberFormat="0" applyBorder="0" applyAlignment="0" applyProtection="0"/>
    <xf numFmtId="0" fontId="24" fillId="53" borderId="0" applyNumberFormat="0" applyBorder="0" applyAlignment="0" applyProtection="0"/>
    <xf numFmtId="0" fontId="25" fillId="37" borderId="0" applyNumberFormat="0" applyBorder="0" applyAlignment="0" applyProtection="0"/>
    <xf numFmtId="0" fontId="26" fillId="54" borderId="17" applyNumberFormat="0" applyAlignment="0" applyProtection="0"/>
    <xf numFmtId="0" fontId="27" fillId="55" borderId="18" applyNumberFormat="0" applyAlignment="0" applyProtection="0"/>
    <xf numFmtId="0" fontId="28" fillId="0" borderId="0" applyNumberFormat="0" applyFill="0" applyBorder="0" applyAlignment="0" applyProtection="0"/>
    <xf numFmtId="0" fontId="29" fillId="38" borderId="0" applyNumberFormat="0" applyBorder="0" applyAlignment="0" applyProtection="0"/>
    <xf numFmtId="0" fontId="30" fillId="0" borderId="19" applyNumberFormat="0" applyFill="0" applyAlignment="0" applyProtection="0"/>
    <xf numFmtId="0" fontId="31" fillId="0" borderId="20" applyNumberFormat="0" applyFill="0" applyAlignment="0" applyProtection="0"/>
    <xf numFmtId="0" fontId="32" fillId="0" borderId="21" applyNumberFormat="0" applyFill="0" applyAlignment="0" applyProtection="0"/>
    <xf numFmtId="0" fontId="32" fillId="0" borderId="0" applyNumberFormat="0" applyFill="0" applyBorder="0" applyAlignment="0" applyProtection="0"/>
    <xf numFmtId="0" fontId="33" fillId="41" borderId="17" applyNumberFormat="0" applyAlignment="0" applyProtection="0"/>
    <xf numFmtId="0" fontId="34" fillId="0" borderId="22" applyNumberFormat="0" applyFill="0" applyAlignment="0" applyProtection="0"/>
    <xf numFmtId="0" fontId="35" fillId="56" borderId="0" applyNumberFormat="0" applyBorder="0" applyAlignment="0" applyProtection="0"/>
    <xf numFmtId="0" fontId="36" fillId="0" borderId="0"/>
    <xf numFmtId="0" fontId="18"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18" fillId="0" borderId="0"/>
    <xf numFmtId="0" fontId="18" fillId="0" borderId="0"/>
    <xf numFmtId="0" fontId="18" fillId="0" borderId="0"/>
    <xf numFmtId="0" fontId="36" fillId="0" borderId="0"/>
    <xf numFmtId="0" fontId="36" fillId="0" borderId="0"/>
    <xf numFmtId="0" fontId="18" fillId="0" borderId="0"/>
    <xf numFmtId="0" fontId="18" fillId="0" borderId="0"/>
    <xf numFmtId="0" fontId="18" fillId="0" borderId="0"/>
    <xf numFmtId="0" fontId="36" fillId="0" borderId="0"/>
    <xf numFmtId="0" fontId="36" fillId="0" borderId="0"/>
    <xf numFmtId="0" fontId="18" fillId="0" borderId="0"/>
    <xf numFmtId="0" fontId="18" fillId="0" borderId="0"/>
    <xf numFmtId="0" fontId="18" fillId="0" borderId="0"/>
    <xf numFmtId="0" fontId="18" fillId="0" borderId="0"/>
    <xf numFmtId="0" fontId="37" fillId="54" borderId="23" applyNumberFormat="0" applyAlignment="0" applyProtection="0"/>
    <xf numFmtId="0" fontId="38" fillId="0" borderId="0" applyNumberFormat="0" applyFill="0" applyBorder="0" applyAlignment="0" applyProtection="0"/>
    <xf numFmtId="0" fontId="39" fillId="0" borderId="24" applyNumberFormat="0" applyFill="0" applyAlignment="0" applyProtection="0"/>
    <xf numFmtId="0" fontId="40" fillId="0" borderId="0" applyNumberFormat="0" applyFill="0" applyBorder="0" applyAlignment="0" applyProtection="0"/>
    <xf numFmtId="0" fontId="1" fillId="0" borderId="0"/>
    <xf numFmtId="9"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0" fontId="18" fillId="0" borderId="0"/>
    <xf numFmtId="166" fontId="18" fillId="0" borderId="0" applyFont="0" applyFill="0" applyBorder="0" applyAlignment="0" applyProtection="0"/>
    <xf numFmtId="167" fontId="18" fillId="0" borderId="0" applyFont="0" applyFill="0" applyBorder="0" applyAlignment="0" applyProtection="0"/>
    <xf numFmtId="0" fontId="18" fillId="0" borderId="0"/>
    <xf numFmtId="0" fontId="18" fillId="0" borderId="0"/>
    <xf numFmtId="0" fontId="18" fillId="0" borderId="0"/>
    <xf numFmtId="0" fontId="20" fillId="0" borderId="0"/>
    <xf numFmtId="0" fontId="20" fillId="0" borderId="0"/>
    <xf numFmtId="0" fontId="1" fillId="0" borderId="0"/>
    <xf numFmtId="0" fontId="20" fillId="0" borderId="0"/>
    <xf numFmtId="0" fontId="20" fillId="0" borderId="0"/>
    <xf numFmtId="43" fontId="1" fillId="0" borderId="0" applyFont="0" applyFill="0" applyBorder="0" applyAlignment="0" applyProtection="0"/>
    <xf numFmtId="9" fontId="1" fillId="0" borderId="0" applyFont="0" applyFill="0" applyBorder="0" applyAlignment="0" applyProtection="0"/>
    <xf numFmtId="0" fontId="20" fillId="0" borderId="0"/>
    <xf numFmtId="0" fontId="20" fillId="13" borderId="0" applyNumberFormat="0" applyBorder="0" applyAlignment="0" applyProtection="0"/>
    <xf numFmtId="0" fontId="20" fillId="13" borderId="0" applyNumberFormat="0" applyBorder="0" applyAlignment="0" applyProtection="0"/>
    <xf numFmtId="0" fontId="20" fillId="13" borderId="0" applyNumberFormat="0" applyBorder="0" applyAlignment="0" applyProtection="0"/>
    <xf numFmtId="0" fontId="20" fillId="13" borderId="0" applyNumberFormat="0" applyBorder="0" applyAlignment="0" applyProtection="0"/>
    <xf numFmtId="0" fontId="20" fillId="13" borderId="0" applyNumberFormat="0" applyBorder="0" applyAlignment="0" applyProtection="0"/>
    <xf numFmtId="0" fontId="20" fillId="17" borderId="0" applyNumberFormat="0" applyBorder="0" applyAlignment="0" applyProtection="0"/>
    <xf numFmtId="0" fontId="20" fillId="17" borderId="0" applyNumberFormat="0" applyBorder="0" applyAlignment="0" applyProtection="0"/>
    <xf numFmtId="0" fontId="20" fillId="17" borderId="0" applyNumberFormat="0" applyBorder="0" applyAlignment="0" applyProtection="0"/>
    <xf numFmtId="0" fontId="20" fillId="17" borderId="0" applyNumberFormat="0" applyBorder="0" applyAlignment="0" applyProtection="0"/>
    <xf numFmtId="0" fontId="20" fillId="17"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5" borderId="0" applyNumberFormat="0" applyBorder="0" applyAlignment="0" applyProtection="0"/>
    <xf numFmtId="0" fontId="20" fillId="25" borderId="0" applyNumberFormat="0" applyBorder="0" applyAlignment="0" applyProtection="0"/>
    <xf numFmtId="0" fontId="20" fillId="25" borderId="0" applyNumberFormat="0" applyBorder="0" applyAlignment="0" applyProtection="0"/>
    <xf numFmtId="0" fontId="20" fillId="25" borderId="0" applyNumberFormat="0" applyBorder="0" applyAlignment="0" applyProtection="0"/>
    <xf numFmtId="0" fontId="20" fillId="25" borderId="0" applyNumberFormat="0" applyBorder="0" applyAlignment="0" applyProtection="0"/>
    <xf numFmtId="0" fontId="20" fillId="29" borderId="0" applyNumberFormat="0" applyBorder="0" applyAlignment="0" applyProtection="0"/>
    <xf numFmtId="0" fontId="20" fillId="29" borderId="0" applyNumberFormat="0" applyBorder="0" applyAlignment="0" applyProtection="0"/>
    <xf numFmtId="0" fontId="20" fillId="29" borderId="0" applyNumberFormat="0" applyBorder="0" applyAlignment="0" applyProtection="0"/>
    <xf numFmtId="0" fontId="20" fillId="29" borderId="0" applyNumberFormat="0" applyBorder="0" applyAlignment="0" applyProtection="0"/>
    <xf numFmtId="0" fontId="20" fillId="29" borderId="0" applyNumberFormat="0" applyBorder="0" applyAlignment="0" applyProtection="0"/>
    <xf numFmtId="0" fontId="20" fillId="33" borderId="0" applyNumberFormat="0" applyBorder="0" applyAlignment="0" applyProtection="0"/>
    <xf numFmtId="0" fontId="20" fillId="33" borderId="0" applyNumberFormat="0" applyBorder="0" applyAlignment="0" applyProtection="0"/>
    <xf numFmtId="0" fontId="20" fillId="33" borderId="0" applyNumberFormat="0" applyBorder="0" applyAlignment="0" applyProtection="0"/>
    <xf numFmtId="0" fontId="20" fillId="33" borderId="0" applyNumberFormat="0" applyBorder="0" applyAlignment="0" applyProtection="0"/>
    <xf numFmtId="0" fontId="20" fillId="33" borderId="0" applyNumberFormat="0" applyBorder="0" applyAlignment="0" applyProtection="0"/>
    <xf numFmtId="0" fontId="20" fillId="14" borderId="0" applyNumberFormat="0" applyBorder="0" applyAlignment="0" applyProtection="0"/>
    <xf numFmtId="0" fontId="20" fillId="14" borderId="0" applyNumberFormat="0" applyBorder="0" applyAlignment="0" applyProtection="0"/>
    <xf numFmtId="0" fontId="20" fillId="14" borderId="0" applyNumberFormat="0" applyBorder="0" applyAlignment="0" applyProtection="0"/>
    <xf numFmtId="0" fontId="20" fillId="14" borderId="0" applyNumberFormat="0" applyBorder="0" applyAlignment="0" applyProtection="0"/>
    <xf numFmtId="0" fontId="20" fillId="14" borderId="0" applyNumberFormat="0" applyBorder="0" applyAlignment="0" applyProtection="0"/>
    <xf numFmtId="0" fontId="20" fillId="18" borderId="0" applyNumberFormat="0" applyBorder="0" applyAlignment="0" applyProtection="0"/>
    <xf numFmtId="0" fontId="20" fillId="18" borderId="0" applyNumberFormat="0" applyBorder="0" applyAlignment="0" applyProtection="0"/>
    <xf numFmtId="0" fontId="20" fillId="18" borderId="0" applyNumberFormat="0" applyBorder="0" applyAlignment="0" applyProtection="0"/>
    <xf numFmtId="0" fontId="20" fillId="18" borderId="0" applyNumberFormat="0" applyBorder="0" applyAlignment="0" applyProtection="0"/>
    <xf numFmtId="0" fontId="20" fillId="18" borderId="0" applyNumberFormat="0" applyBorder="0" applyAlignment="0" applyProtection="0"/>
    <xf numFmtId="0" fontId="20" fillId="22" borderId="0" applyNumberFormat="0" applyBorder="0" applyAlignment="0" applyProtection="0"/>
    <xf numFmtId="0" fontId="20" fillId="22" borderId="0" applyNumberFormat="0" applyBorder="0" applyAlignment="0" applyProtection="0"/>
    <xf numFmtId="0" fontId="20" fillId="22" borderId="0" applyNumberFormat="0" applyBorder="0" applyAlignment="0" applyProtection="0"/>
    <xf numFmtId="0" fontId="20" fillId="22" borderId="0" applyNumberFormat="0" applyBorder="0" applyAlignment="0" applyProtection="0"/>
    <xf numFmtId="0" fontId="20" fillId="22" borderId="0" applyNumberFormat="0" applyBorder="0" applyAlignment="0" applyProtection="0"/>
    <xf numFmtId="0" fontId="20" fillId="26" borderId="0" applyNumberFormat="0" applyBorder="0" applyAlignment="0" applyProtection="0"/>
    <xf numFmtId="0" fontId="20" fillId="26" borderId="0" applyNumberFormat="0" applyBorder="0" applyAlignment="0" applyProtection="0"/>
    <xf numFmtId="0" fontId="20" fillId="26" borderId="0" applyNumberFormat="0" applyBorder="0" applyAlignment="0" applyProtection="0"/>
    <xf numFmtId="0" fontId="20" fillId="26" borderId="0" applyNumberFormat="0" applyBorder="0" applyAlignment="0" applyProtection="0"/>
    <xf numFmtId="0" fontId="20" fillId="26" borderId="0" applyNumberFormat="0" applyBorder="0" applyAlignment="0" applyProtection="0"/>
    <xf numFmtId="0" fontId="20" fillId="30" borderId="0" applyNumberFormat="0" applyBorder="0" applyAlignment="0" applyProtection="0"/>
    <xf numFmtId="0" fontId="20" fillId="30" borderId="0" applyNumberFormat="0" applyBorder="0" applyAlignment="0" applyProtection="0"/>
    <xf numFmtId="0" fontId="20" fillId="30" borderId="0" applyNumberFormat="0" applyBorder="0" applyAlignment="0" applyProtection="0"/>
    <xf numFmtId="0" fontId="20" fillId="30" borderId="0" applyNumberFormat="0" applyBorder="0" applyAlignment="0" applyProtection="0"/>
    <xf numFmtId="0" fontId="20" fillId="30" borderId="0" applyNumberFormat="0" applyBorder="0" applyAlignment="0" applyProtection="0"/>
    <xf numFmtId="0" fontId="20" fillId="34" borderId="0" applyNumberFormat="0" applyBorder="0" applyAlignment="0" applyProtection="0"/>
    <xf numFmtId="0" fontId="20" fillId="34" borderId="0" applyNumberFormat="0" applyBorder="0" applyAlignment="0" applyProtection="0"/>
    <xf numFmtId="0" fontId="20" fillId="34" borderId="0" applyNumberFormat="0" applyBorder="0" applyAlignment="0" applyProtection="0"/>
    <xf numFmtId="0" fontId="20" fillId="34" borderId="0" applyNumberFormat="0" applyBorder="0" applyAlignment="0" applyProtection="0"/>
    <xf numFmtId="0" fontId="20" fillId="34" borderId="0" applyNumberFormat="0" applyBorder="0" applyAlignment="0" applyProtection="0"/>
    <xf numFmtId="0" fontId="12" fillId="9" borderId="0" applyNumberFormat="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1" fillId="0" borderId="0" applyFont="0" applyFill="0" applyBorder="0" applyAlignment="0" applyProtection="0"/>
    <xf numFmtId="43" fontId="20" fillId="0" borderId="0" applyFont="0" applyFill="0" applyBorder="0" applyAlignment="0" applyProtection="0"/>
    <xf numFmtId="43"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NumberFormat="0" applyFont="0" applyFill="0" applyBorder="0" applyAlignment="0" applyProtection="0"/>
    <xf numFmtId="166" fontId="18" fillId="0" borderId="0" applyFont="0" applyFill="0" applyBorder="0" applyAlignment="0" applyProtection="0"/>
    <xf numFmtId="43" fontId="18" fillId="0" borderId="0" applyNumberFormat="0" applyFont="0" applyFill="0" applyBorder="0" applyAlignment="0" applyProtection="0"/>
    <xf numFmtId="43" fontId="18" fillId="0" borderId="0" applyNumberFormat="0" applyFont="0" applyFill="0" applyBorder="0" applyAlignment="0" applyProtection="0"/>
    <xf numFmtId="43" fontId="18"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1" fillId="0" borderId="0" applyFont="0" applyFill="0" applyBorder="0" applyAlignment="0" applyProtection="0"/>
    <xf numFmtId="43" fontId="20" fillId="0" borderId="0" applyFont="0" applyFill="0" applyBorder="0" applyAlignment="0" applyProtection="0"/>
    <xf numFmtId="0" fontId="3" fillId="2" borderId="0" applyNumberFormat="0" applyBorder="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 fillId="0" borderId="0"/>
    <xf numFmtId="0" fontId="20" fillId="0" borderId="0"/>
    <xf numFmtId="0" fontId="20" fillId="0" borderId="0"/>
    <xf numFmtId="0" fontId="20" fillId="0" borderId="0"/>
    <xf numFmtId="0" fontId="20" fillId="0" borderId="0"/>
    <xf numFmtId="0" fontId="20" fillId="0" borderId="0"/>
    <xf numFmtId="0" fontId="20" fillId="0" borderId="0"/>
    <xf numFmtId="0" fontId="1" fillId="0" borderId="0"/>
    <xf numFmtId="0" fontId="20" fillId="0" borderId="0"/>
    <xf numFmtId="0" fontId="18" fillId="0" borderId="0"/>
    <xf numFmtId="0" fontId="18" fillId="0" borderId="0"/>
    <xf numFmtId="0" fontId="36" fillId="0" borderId="0"/>
    <xf numFmtId="0" fontId="18" fillId="0" borderId="0" applyNumberFormat="0" applyFont="0" applyFill="0" applyBorder="0" applyAlignment="0" applyProtection="0"/>
    <xf numFmtId="0" fontId="18" fillId="0" borderId="0" applyNumberFormat="0" applyFont="0" applyFill="0" applyBorder="0" applyAlignment="0" applyProtection="0"/>
    <xf numFmtId="0" fontId="1" fillId="0" borderId="0"/>
    <xf numFmtId="0" fontId="20" fillId="12" borderId="15" applyNumberFormat="0" applyFont="0" applyAlignment="0" applyProtection="0"/>
    <xf numFmtId="0" fontId="20" fillId="12" borderId="15" applyNumberFormat="0" applyFont="0" applyAlignment="0" applyProtection="0"/>
    <xf numFmtId="0" fontId="20" fillId="12" borderId="15" applyNumberFormat="0" applyFont="0" applyAlignment="0" applyProtection="0"/>
    <xf numFmtId="0" fontId="20" fillId="12" borderId="15" applyNumberFormat="0" applyFont="0" applyAlignment="0" applyProtection="0"/>
    <xf numFmtId="0" fontId="20" fillId="12" borderId="15" applyNumberFormat="0" applyFont="0" applyAlignment="0" applyProtection="0"/>
    <xf numFmtId="0" fontId="20" fillId="12" borderId="15" applyNumberFormat="0" applyFont="0" applyAlignment="0" applyProtection="0"/>
    <xf numFmtId="0" fontId="20" fillId="12" borderId="15" applyNumberFormat="0" applyFont="0" applyAlignment="0" applyProtection="0"/>
    <xf numFmtId="9" fontId="20" fillId="0" borderId="0" applyFont="0" applyFill="0" applyBorder="0" applyAlignment="0" applyProtection="0"/>
    <xf numFmtId="9" fontId="2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1"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0" fontId="41" fillId="0" borderId="0"/>
    <xf numFmtId="0" fontId="18" fillId="0" borderId="0"/>
    <xf numFmtId="0" fontId="42" fillId="0" borderId="0" applyNumberFormat="0" applyFill="0" applyBorder="0" applyAlignment="0" applyProtection="0"/>
    <xf numFmtId="0" fontId="18" fillId="0" borderId="0">
      <alignment vertical="top"/>
    </xf>
    <xf numFmtId="3" fontId="18" fillId="0" borderId="0" applyFont="0" applyFill="0" applyBorder="0" applyAlignment="0" applyProtection="0"/>
    <xf numFmtId="5" fontId="18" fillId="0" borderId="0" applyFont="0" applyFill="0" applyBorder="0" applyAlignment="0" applyProtection="0"/>
    <xf numFmtId="0" fontId="18" fillId="0" borderId="0" applyFont="0" applyFill="0" applyBorder="0" applyAlignment="0" applyProtection="0"/>
    <xf numFmtId="2" fontId="18" fillId="0" borderId="0" applyFont="0" applyFill="0" applyBorder="0" applyAlignment="0" applyProtection="0"/>
    <xf numFmtId="0" fontId="43" fillId="0" borderId="0" applyNumberFormat="0" applyFill="0" applyBorder="0" applyAlignment="0" applyProtection="0"/>
    <xf numFmtId="0" fontId="44" fillId="0" borderId="0" applyNumberFormat="0" applyFill="0" applyBorder="0" applyAlignment="0" applyProtection="0"/>
    <xf numFmtId="0" fontId="18" fillId="0" borderId="26" applyNumberFormat="0" applyFont="0" applyFill="0" applyAlignment="0" applyProtection="0"/>
    <xf numFmtId="0" fontId="18" fillId="0" borderId="0">
      <alignment vertical="top"/>
    </xf>
    <xf numFmtId="165" fontId="64" fillId="4" borderId="27">
      <alignment horizontal="center"/>
    </xf>
    <xf numFmtId="3" fontId="8" fillId="7" borderId="1" applyBorder="0">
      <protection locked="0"/>
    </xf>
    <xf numFmtId="0" fontId="45" fillId="0" borderId="0" applyNumberFormat="0" applyFill="0" applyBorder="0" applyAlignment="0" applyProtection="0"/>
    <xf numFmtId="3" fontId="52" fillId="68" borderId="0" applyProtection="0"/>
    <xf numFmtId="44" fontId="52" fillId="68" borderId="0" applyProtection="0"/>
    <xf numFmtId="4" fontId="52" fillId="68" borderId="0" applyProtection="0"/>
    <xf numFmtId="164" fontId="52" fillId="68" borderId="0" applyProtection="0"/>
    <xf numFmtId="0" fontId="57" fillId="65" borderId="0">
      <alignment horizontal="center"/>
    </xf>
  </cellStyleXfs>
  <cellXfs count="231">
    <xf numFmtId="0" fontId="0" fillId="0" borderId="0" xfId="0"/>
    <xf numFmtId="0" fontId="49" fillId="0" borderId="0" xfId="0" applyFont="1"/>
    <xf numFmtId="0" fontId="50" fillId="0" borderId="0" xfId="0" applyFont="1"/>
    <xf numFmtId="0" fontId="51" fillId="0" borderId="0" xfId="0" applyFont="1" applyAlignment="1">
      <alignment vertical="top" wrapText="1"/>
    </xf>
    <xf numFmtId="0" fontId="52" fillId="0" borderId="0" xfId="0" applyFont="1"/>
    <xf numFmtId="0" fontId="52" fillId="0" borderId="0" xfId="0" applyFont="1" applyAlignment="1">
      <alignment horizontal="left" indent="1"/>
    </xf>
    <xf numFmtId="0" fontId="52" fillId="0" borderId="0" xfId="0" applyFont="1" applyAlignment="1">
      <alignment horizontal="left" indent="3"/>
    </xf>
    <xf numFmtId="0" fontId="51" fillId="0" borderId="0" xfId="0" applyFont="1"/>
    <xf numFmtId="0" fontId="51" fillId="0" borderId="0" xfId="0" applyFont="1" applyAlignment="1">
      <alignment wrapText="1"/>
    </xf>
    <xf numFmtId="0" fontId="52" fillId="0" borderId="2" xfId="0" applyFont="1" applyBorder="1"/>
    <xf numFmtId="0" fontId="51" fillId="0" borderId="0" xfId="0" applyFont="1" applyAlignment="1">
      <alignment horizontal="left" indent="1"/>
    </xf>
    <xf numFmtId="165" fontId="53" fillId="4" borderId="27" xfId="1" applyNumberFormat="1" applyFont="1" applyFill="1" applyBorder="1" applyAlignment="1">
      <alignment horizontal="center"/>
    </xf>
    <xf numFmtId="0" fontId="49" fillId="8" borderId="0" xfId="0" applyFont="1" applyFill="1"/>
    <xf numFmtId="0" fontId="52" fillId="0" borderId="28" xfId="0" applyFont="1" applyBorder="1"/>
    <xf numFmtId="0" fontId="52" fillId="0" borderId="0" xfId="0" applyFont="1" applyAlignment="1">
      <alignment vertical="top" wrapText="1"/>
    </xf>
    <xf numFmtId="0" fontId="49" fillId="0" borderId="0" xfId="0" applyFont="1" applyAlignment="1">
      <alignment wrapText="1"/>
    </xf>
    <xf numFmtId="0" fontId="49" fillId="8" borderId="0" xfId="0" applyFont="1" applyFill="1" applyAlignment="1">
      <alignment wrapText="1"/>
    </xf>
    <xf numFmtId="0" fontId="52" fillId="0" borderId="0" xfId="0" applyFont="1" applyAlignment="1">
      <alignment wrapText="1"/>
    </xf>
    <xf numFmtId="0" fontId="54" fillId="0" borderId="25" xfId="0" applyFont="1" applyBorder="1" applyAlignment="1">
      <alignment horizontal="center"/>
    </xf>
    <xf numFmtId="4" fontId="50" fillId="0" borderId="0" xfId="0" applyNumberFormat="1" applyFont="1"/>
    <xf numFmtId="165" fontId="52" fillId="0" borderId="0" xfId="1" applyNumberFormat="1" applyFont="1"/>
    <xf numFmtId="0" fontId="53" fillId="4" borderId="1" xfId="2" applyNumberFormat="1" applyFont="1" applyFill="1" applyBorder="1" applyAlignment="1">
      <alignment horizontal="center"/>
    </xf>
    <xf numFmtId="0" fontId="50" fillId="0" borderId="2" xfId="0" applyFont="1" applyBorder="1"/>
    <xf numFmtId="0" fontId="52" fillId="0" borderId="2" xfId="0" applyFont="1" applyBorder="1" applyAlignment="1">
      <alignment wrapText="1"/>
    </xf>
    <xf numFmtId="0" fontId="52" fillId="0" borderId="6" xfId="0" applyFont="1" applyBorder="1" applyAlignment="1">
      <alignment horizontal="center" vertical="center" wrapText="1"/>
    </xf>
    <xf numFmtId="49" fontId="52" fillId="0" borderId="2" xfId="0" applyNumberFormat="1" applyFont="1" applyBorder="1" applyAlignment="1">
      <alignment horizontal="center" vertical="center"/>
    </xf>
    <xf numFmtId="9" fontId="53" fillId="4" borderId="1" xfId="2" applyFont="1" applyFill="1" applyBorder="1"/>
    <xf numFmtId="0" fontId="52" fillId="0" borderId="6" xfId="0" applyFont="1" applyBorder="1" applyAlignment="1">
      <alignment horizontal="center"/>
    </xf>
    <xf numFmtId="0" fontId="52" fillId="0" borderId="2" xfId="0" applyFont="1" applyBorder="1" applyAlignment="1">
      <alignment horizontal="center"/>
    </xf>
    <xf numFmtId="0" fontId="52" fillId="0" borderId="2" xfId="0" applyFont="1" applyBorder="1" applyAlignment="1">
      <alignment horizontal="center" vertical="center"/>
    </xf>
    <xf numFmtId="0" fontId="48" fillId="6" borderId="0" xfId="7" applyFont="1" applyFill="1"/>
    <xf numFmtId="0" fontId="56" fillId="0" borderId="8" xfId="0" applyFont="1" applyBorder="1" applyAlignment="1">
      <alignment horizontal="center" vertical="center"/>
    </xf>
    <xf numFmtId="0" fontId="56" fillId="0" borderId="8" xfId="0" applyFont="1" applyBorder="1" applyAlignment="1">
      <alignment horizontal="center" vertical="center" wrapText="1"/>
    </xf>
    <xf numFmtId="0" fontId="56" fillId="0" borderId="29" xfId="0" applyFont="1" applyBorder="1" applyAlignment="1">
      <alignment horizontal="center" vertical="center" wrapText="1"/>
    </xf>
    <xf numFmtId="165" fontId="53" fillId="4" borderId="27" xfId="1" applyNumberFormat="1" applyFont="1" applyFill="1" applyBorder="1" applyAlignment="1">
      <alignment horizontal="center" vertical="center"/>
    </xf>
    <xf numFmtId="0" fontId="50" fillId="0" borderId="0" xfId="0" applyFont="1" applyAlignment="1">
      <alignment wrapText="1"/>
    </xf>
    <xf numFmtId="0" fontId="57" fillId="0" borderId="25" xfId="0" applyFont="1" applyBorder="1" applyAlignment="1">
      <alignment horizontal="center"/>
    </xf>
    <xf numFmtId="0" fontId="57" fillId="0" borderId="7" xfId="0" applyFont="1" applyBorder="1" applyAlignment="1">
      <alignment horizontal="center"/>
    </xf>
    <xf numFmtId="0" fontId="57" fillId="0" borderId="31" xfId="0" applyFont="1" applyBorder="1" applyAlignment="1">
      <alignment horizontal="center"/>
    </xf>
    <xf numFmtId="0" fontId="57" fillId="0" borderId="0" xfId="0" applyFont="1" applyAlignment="1">
      <alignment horizontal="center"/>
    </xf>
    <xf numFmtId="0" fontId="52" fillId="8" borderId="0" xfId="0" applyFont="1" applyFill="1"/>
    <xf numFmtId="4" fontId="50" fillId="0" borderId="0" xfId="0" applyNumberFormat="1" applyFont="1" applyAlignment="1">
      <alignment wrapText="1"/>
    </xf>
    <xf numFmtId="0" fontId="52" fillId="0" borderId="2" xfId="0" applyFont="1" applyBorder="1" applyProtection="1">
      <protection locked="0"/>
    </xf>
    <xf numFmtId="0" fontId="52" fillId="0" borderId="29" xfId="0" applyFont="1" applyBorder="1" applyAlignment="1">
      <alignment wrapText="1"/>
    </xf>
    <xf numFmtId="0" fontId="52" fillId="0" borderId="32" xfId="0" applyFont="1" applyBorder="1" applyAlignment="1">
      <alignment wrapText="1"/>
    </xf>
    <xf numFmtId="0" fontId="58" fillId="0" borderId="0" xfId="0" applyFont="1" applyAlignment="1">
      <alignment wrapText="1"/>
    </xf>
    <xf numFmtId="0" fontId="49" fillId="0" borderId="29" xfId="0" applyFont="1" applyBorder="1"/>
    <xf numFmtId="0" fontId="49" fillId="0" borderId="32" xfId="0" applyFont="1" applyBorder="1"/>
    <xf numFmtId="0" fontId="51" fillId="0" borderId="0" xfId="0" applyFont="1" applyAlignment="1">
      <alignment vertical="top"/>
    </xf>
    <xf numFmtId="0" fontId="52" fillId="0" borderId="0" xfId="0" applyFont="1" applyAlignment="1">
      <alignment horizontal="right" indent="1"/>
    </xf>
    <xf numFmtId="165" fontId="53" fillId="4" borderId="0" xfId="337" applyFont="1" applyBorder="1" applyAlignment="1"/>
    <xf numFmtId="165" fontId="53" fillId="4" borderId="0" xfId="337" applyFont="1" applyBorder="1" applyAlignment="1">
      <alignment horizontal="left"/>
    </xf>
    <xf numFmtId="165" fontId="53" fillId="4" borderId="0" xfId="337" applyFont="1" applyBorder="1">
      <alignment horizontal="center"/>
    </xf>
    <xf numFmtId="0" fontId="52" fillId="0" borderId="0" xfId="0" applyFont="1" applyAlignment="1">
      <alignment vertical="top"/>
    </xf>
    <xf numFmtId="0" fontId="59" fillId="0" borderId="8" xfId="0" applyFont="1" applyBorder="1" applyAlignment="1">
      <alignment horizontal="center" vertical="center" wrapText="1"/>
    </xf>
    <xf numFmtId="0" fontId="54" fillId="0" borderId="7" xfId="0" applyFont="1" applyBorder="1" applyAlignment="1">
      <alignment horizontal="center"/>
    </xf>
    <xf numFmtId="0" fontId="52" fillId="0" borderId="2" xfId="0" applyFont="1" applyBorder="1" applyAlignment="1" applyProtection="1">
      <alignment horizontal="left"/>
      <protection locked="0"/>
    </xf>
    <xf numFmtId="0" fontId="52" fillId="0" borderId="0" xfId="0" applyFont="1" applyAlignment="1">
      <alignment horizontal="left"/>
    </xf>
    <xf numFmtId="0" fontId="53" fillId="4" borderId="28" xfId="3" applyNumberFormat="1" applyFont="1" applyFill="1" applyBorder="1" applyAlignment="1">
      <alignment horizontal="right"/>
    </xf>
    <xf numFmtId="165" fontId="52" fillId="0" borderId="35" xfId="1" applyNumberFormat="1" applyFont="1" applyBorder="1"/>
    <xf numFmtId="165" fontId="52" fillId="0" borderId="36" xfId="1" applyNumberFormat="1" applyFont="1" applyBorder="1"/>
    <xf numFmtId="0" fontId="56" fillId="0" borderId="38" xfId="0" applyFont="1" applyBorder="1"/>
    <xf numFmtId="0" fontId="61" fillId="0" borderId="38" xfId="0" applyFont="1" applyBorder="1"/>
    <xf numFmtId="0" fontId="50" fillId="0" borderId="38" xfId="0" applyFont="1" applyBorder="1" applyAlignment="1">
      <alignment horizontal="left" vertical="center"/>
    </xf>
    <xf numFmtId="0" fontId="50" fillId="66" borderId="35" xfId="0" applyFont="1" applyFill="1" applyBorder="1"/>
    <xf numFmtId="0" fontId="50" fillId="66" borderId="35" xfId="0" applyFont="1" applyFill="1" applyBorder="1" applyAlignment="1">
      <alignment horizontal="left"/>
    </xf>
    <xf numFmtId="165" fontId="52" fillId="0" borderId="35" xfId="1" applyNumberFormat="1" applyFont="1" applyBorder="1" applyAlignment="1">
      <alignment horizontal="right"/>
    </xf>
    <xf numFmtId="164" fontId="50" fillId="0" borderId="35" xfId="1" applyNumberFormat="1" applyFont="1" applyBorder="1" applyAlignment="1">
      <alignment horizontal="right"/>
    </xf>
    <xf numFmtId="0" fontId="50" fillId="65" borderId="0" xfId="0" applyFont="1" applyFill="1" applyAlignment="1">
      <alignment horizontal="right" vertical="center"/>
    </xf>
    <xf numFmtId="0" fontId="52" fillId="66" borderId="35" xfId="0" applyFont="1" applyFill="1" applyBorder="1" applyAlignment="1">
      <alignment horizontal="right"/>
    </xf>
    <xf numFmtId="164" fontId="50" fillId="66" borderId="35" xfId="4" applyNumberFormat="1" applyFont="1" applyFill="1" applyBorder="1" applyAlignment="1">
      <alignment horizontal="right"/>
    </xf>
    <xf numFmtId="165" fontId="52" fillId="0" borderId="37" xfId="1" applyNumberFormat="1" applyFont="1" applyBorder="1" applyAlignment="1">
      <alignment horizontal="right"/>
    </xf>
    <xf numFmtId="0" fontId="50" fillId="0" borderId="38" xfId="0" applyFont="1" applyBorder="1" applyAlignment="1">
      <alignment horizontal="left" vertical="center" wrapText="1"/>
    </xf>
    <xf numFmtId="165" fontId="52" fillId="66" borderId="35" xfId="1" applyNumberFormat="1" applyFont="1" applyFill="1" applyBorder="1" applyAlignment="1">
      <alignment horizontal="right"/>
    </xf>
    <xf numFmtId="165" fontId="52" fillId="0" borderId="0" xfId="1" applyNumberFormat="1" applyFont="1" applyBorder="1"/>
    <xf numFmtId="165" fontId="52" fillId="0" borderId="0" xfId="1" applyNumberFormat="1" applyFont="1" applyBorder="1" applyAlignment="1">
      <alignment horizontal="left"/>
    </xf>
    <xf numFmtId="0" fontId="47" fillId="67" borderId="0" xfId="7" applyFont="1" applyFill="1"/>
    <xf numFmtId="0" fontId="48" fillId="67" borderId="0" xfId="7" applyFont="1" applyFill="1"/>
    <xf numFmtId="0" fontId="56" fillId="0" borderId="0" xfId="0" applyFont="1"/>
    <xf numFmtId="0" fontId="49" fillId="67" borderId="0" xfId="0" applyFont="1" applyFill="1"/>
    <xf numFmtId="168" fontId="52" fillId="0" borderId="35" xfId="1" applyNumberFormat="1" applyFont="1" applyBorder="1" applyAlignment="1">
      <alignment horizontal="right"/>
    </xf>
    <xf numFmtId="43" fontId="52" fillId="0" borderId="35" xfId="1" applyFont="1" applyBorder="1" applyAlignment="1">
      <alignment horizontal="right"/>
    </xf>
    <xf numFmtId="9" fontId="52" fillId="0" borderId="35" xfId="2" applyFont="1" applyBorder="1" applyAlignment="1">
      <alignment horizontal="right"/>
    </xf>
    <xf numFmtId="168" fontId="52" fillId="0" borderId="0" xfId="1" applyNumberFormat="1" applyFont="1" applyBorder="1" applyAlignment="1">
      <alignment horizontal="right"/>
    </xf>
    <xf numFmtId="0" fontId="50" fillId="0" borderId="0" xfId="0" applyFont="1" applyAlignment="1">
      <alignment horizontal="left" vertical="center" wrapText="1"/>
    </xf>
    <xf numFmtId="0" fontId="62" fillId="0" borderId="0" xfId="0" applyFont="1"/>
    <xf numFmtId="3" fontId="52" fillId="68" borderId="0" xfId="340" applyProtection="1">
      <protection locked="0"/>
    </xf>
    <xf numFmtId="3" fontId="52" fillId="68" borderId="0" xfId="340"/>
    <xf numFmtId="44" fontId="52" fillId="68" borderId="0" xfId="341" applyProtection="1">
      <protection locked="0"/>
    </xf>
    <xf numFmtId="4" fontId="52" fillId="68" borderId="0" xfId="342" applyProtection="1">
      <protection locked="0"/>
    </xf>
    <xf numFmtId="164" fontId="52" fillId="68" borderId="0" xfId="343" applyProtection="1">
      <protection locked="0"/>
    </xf>
    <xf numFmtId="165" fontId="64" fillId="4" borderId="27" xfId="337">
      <alignment horizontal="center"/>
    </xf>
    <xf numFmtId="169" fontId="52" fillId="0" borderId="0" xfId="0" applyNumberFormat="1" applyFont="1"/>
    <xf numFmtId="170" fontId="52" fillId="0" borderId="0" xfId="0" applyNumberFormat="1" applyFont="1"/>
    <xf numFmtId="2" fontId="52" fillId="0" borderId="0" xfId="0" applyNumberFormat="1" applyFont="1"/>
    <xf numFmtId="165" fontId="64" fillId="4" borderId="0" xfId="337" applyBorder="1" applyAlignment="1"/>
    <xf numFmtId="165" fontId="64" fillId="4" borderId="0" xfId="337" applyBorder="1" applyAlignment="1">
      <alignment horizontal="left"/>
    </xf>
    <xf numFmtId="165" fontId="64" fillId="4" borderId="0" xfId="337" applyBorder="1">
      <alignment horizontal="center"/>
    </xf>
    <xf numFmtId="165" fontId="63" fillId="4" borderId="0" xfId="337" applyFont="1" applyBorder="1" applyAlignment="1"/>
    <xf numFmtId="165" fontId="63" fillId="4" borderId="0" xfId="337" applyFont="1" applyBorder="1" applyAlignment="1">
      <alignment horizontal="left"/>
    </xf>
    <xf numFmtId="165" fontId="63" fillId="4" borderId="0" xfId="337" applyFont="1" applyBorder="1">
      <alignment horizontal="center"/>
    </xf>
    <xf numFmtId="3" fontId="52" fillId="0" borderId="0" xfId="1" applyNumberFormat="1" applyFont="1"/>
    <xf numFmtId="168" fontId="52" fillId="0" borderId="0" xfId="1" applyNumberFormat="1" applyFont="1"/>
    <xf numFmtId="168" fontId="64" fillId="4" borderId="27" xfId="337" applyNumberFormat="1">
      <alignment horizontal="center"/>
    </xf>
    <xf numFmtId="0" fontId="65" fillId="0" borderId="0" xfId="0" applyFont="1"/>
    <xf numFmtId="0" fontId="58" fillId="0" borderId="0" xfId="0" applyFont="1"/>
    <xf numFmtId="9" fontId="58" fillId="0" borderId="0" xfId="2" applyFont="1"/>
    <xf numFmtId="3" fontId="58" fillId="0" borderId="0" xfId="0" applyNumberFormat="1" applyFont="1"/>
    <xf numFmtId="43" fontId="58" fillId="0" borderId="0" xfId="0" applyNumberFormat="1" applyFont="1"/>
    <xf numFmtId="165" fontId="58" fillId="0" borderId="0" xfId="1" applyNumberFormat="1" applyFont="1"/>
    <xf numFmtId="0" fontId="58" fillId="8" borderId="0" xfId="0" applyFont="1" applyFill="1"/>
    <xf numFmtId="164" fontId="66" fillId="2" borderId="1" xfId="4" applyNumberFormat="1" applyFont="1" applyBorder="1"/>
    <xf numFmtId="44" fontId="64" fillId="4" borderId="27" xfId="3" applyFont="1" applyFill="1" applyBorder="1" applyAlignment="1">
      <alignment horizontal="center"/>
    </xf>
    <xf numFmtId="168" fontId="58" fillId="0" borderId="0" xfId="0" applyNumberFormat="1" applyFont="1"/>
    <xf numFmtId="171" fontId="52" fillId="0" borderId="35" xfId="3" applyNumberFormat="1" applyFont="1" applyBorder="1" applyAlignment="1">
      <alignment horizontal="right"/>
    </xf>
    <xf numFmtId="171" fontId="50" fillId="65" borderId="0" xfId="0" applyNumberFormat="1" applyFont="1" applyFill="1" applyAlignment="1">
      <alignment horizontal="right" vertical="center"/>
    </xf>
    <xf numFmtId="171" fontId="52" fillId="66" borderId="35" xfId="3" applyNumberFormat="1" applyFont="1" applyFill="1" applyBorder="1" applyAlignment="1">
      <alignment horizontal="right"/>
    </xf>
    <xf numFmtId="165" fontId="52" fillId="0" borderId="0" xfId="1" applyNumberFormat="1" applyFont="1" applyBorder="1" applyAlignment="1">
      <alignment horizontal="right"/>
    </xf>
    <xf numFmtId="9" fontId="52" fillId="0" borderId="0" xfId="2" applyFont="1" applyBorder="1" applyAlignment="1">
      <alignment horizontal="right"/>
    </xf>
    <xf numFmtId="172" fontId="52" fillId="0" borderId="0" xfId="1" applyNumberFormat="1" applyFont="1"/>
    <xf numFmtId="173" fontId="52" fillId="0" borderId="0" xfId="0" applyNumberFormat="1" applyFont="1"/>
    <xf numFmtId="3" fontId="52" fillId="0" borderId="0" xfId="0" applyNumberFormat="1" applyFont="1"/>
    <xf numFmtId="172" fontId="64" fillId="4" borderId="27" xfId="337" applyNumberFormat="1">
      <alignment horizontal="center"/>
    </xf>
    <xf numFmtId="165" fontId="64" fillId="4" borderId="33" xfId="337" applyBorder="1">
      <alignment horizontal="center"/>
    </xf>
    <xf numFmtId="165" fontId="64" fillId="4" borderId="34" xfId="337" applyBorder="1">
      <alignment horizontal="center"/>
    </xf>
    <xf numFmtId="168" fontId="64" fillId="4" borderId="33" xfId="337" applyNumberFormat="1" applyBorder="1">
      <alignment horizontal="center"/>
    </xf>
    <xf numFmtId="168" fontId="64" fillId="4" borderId="34" xfId="337" applyNumberFormat="1" applyBorder="1">
      <alignment horizontal="center"/>
    </xf>
    <xf numFmtId="3" fontId="58" fillId="68" borderId="0" xfId="340" applyFont="1" applyProtection="1">
      <protection locked="0"/>
    </xf>
    <xf numFmtId="0" fontId="58" fillId="0" borderId="0" xfId="0" applyFont="1" applyAlignment="1">
      <alignment horizontal="center"/>
    </xf>
    <xf numFmtId="168" fontId="52" fillId="0" borderId="36" xfId="1" applyNumberFormat="1" applyFont="1" applyBorder="1" applyAlignment="1">
      <alignment horizontal="right"/>
    </xf>
    <xf numFmtId="43" fontId="52" fillId="0" borderId="0" xfId="1" applyFont="1" applyBorder="1" applyAlignment="1">
      <alignment horizontal="right"/>
    </xf>
    <xf numFmtId="165" fontId="64" fillId="4" borderId="28" xfId="337" applyBorder="1">
      <alignment horizontal="center"/>
    </xf>
    <xf numFmtId="164" fontId="66" fillId="2" borderId="40" xfId="4" applyNumberFormat="1" applyFont="1" applyBorder="1"/>
    <xf numFmtId="3" fontId="58" fillId="0" borderId="30" xfId="0" applyNumberFormat="1" applyFont="1" applyBorder="1"/>
    <xf numFmtId="0" fontId="58" fillId="0" borderId="30" xfId="0" applyFont="1" applyBorder="1"/>
    <xf numFmtId="165" fontId="64" fillId="4" borderId="41" xfId="337" applyBorder="1">
      <alignment horizontal="center"/>
    </xf>
    <xf numFmtId="0" fontId="52" fillId="0" borderId="30" xfId="0" applyFont="1" applyBorder="1"/>
    <xf numFmtId="0" fontId="58" fillId="8" borderId="30" xfId="0" applyFont="1" applyFill="1" applyBorder="1"/>
    <xf numFmtId="168" fontId="64" fillId="4" borderId="28" xfId="337" applyNumberFormat="1" applyBorder="1">
      <alignment horizontal="center"/>
    </xf>
    <xf numFmtId="165" fontId="58" fillId="0" borderId="30" xfId="1" applyNumberFormat="1" applyFont="1" applyBorder="1"/>
    <xf numFmtId="168" fontId="64" fillId="4" borderId="41" xfId="337" applyNumberFormat="1" applyBorder="1">
      <alignment horizontal="center"/>
    </xf>
    <xf numFmtId="168" fontId="58" fillId="0" borderId="30" xfId="0" applyNumberFormat="1" applyFont="1" applyBorder="1"/>
    <xf numFmtId="44" fontId="64" fillId="4" borderId="28" xfId="3" applyFont="1" applyFill="1" applyBorder="1" applyAlignment="1">
      <alignment horizontal="center"/>
    </xf>
    <xf numFmtId="44" fontId="64" fillId="4" borderId="41" xfId="3" applyFont="1" applyFill="1" applyBorder="1" applyAlignment="1">
      <alignment horizontal="center"/>
    </xf>
    <xf numFmtId="0" fontId="52" fillId="8" borderId="30" xfId="0" applyFont="1" applyFill="1" applyBorder="1"/>
    <xf numFmtId="165" fontId="58" fillId="0" borderId="0" xfId="0" applyNumberFormat="1" applyFont="1"/>
    <xf numFmtId="165" fontId="58" fillId="0" borderId="30" xfId="0" applyNumberFormat="1" applyFont="1" applyBorder="1"/>
    <xf numFmtId="0" fontId="52" fillId="0" borderId="3" xfId="0" applyFont="1" applyBorder="1" applyAlignment="1">
      <alignment horizontal="center" vertical="center"/>
    </xf>
    <xf numFmtId="0" fontId="52" fillId="0" borderId="4" xfId="0" applyFont="1" applyBorder="1" applyAlignment="1">
      <alignment horizontal="center" vertical="center"/>
    </xf>
    <xf numFmtId="0" fontId="52" fillId="0" borderId="2" xfId="0" applyFont="1" applyBorder="1" applyAlignment="1">
      <alignment horizontal="center" wrapText="1"/>
    </xf>
    <xf numFmtId="0" fontId="52" fillId="0" borderId="3" xfId="0" applyFont="1" applyBorder="1" applyAlignment="1">
      <alignment horizontal="center" vertical="center" wrapText="1"/>
    </xf>
    <xf numFmtId="0" fontId="52" fillId="0" borderId="4" xfId="0" applyFont="1" applyBorder="1" applyAlignment="1">
      <alignment horizontal="center" vertical="center" wrapText="1"/>
    </xf>
    <xf numFmtId="49" fontId="52" fillId="0" borderId="3" xfId="0" applyNumberFormat="1" applyFont="1" applyBorder="1" applyAlignment="1">
      <alignment horizontal="center" vertical="center"/>
    </xf>
    <xf numFmtId="49" fontId="52" fillId="0" borderId="4" xfId="0" applyNumberFormat="1" applyFont="1" applyBorder="1" applyAlignment="1">
      <alignment horizontal="center" vertical="center"/>
    </xf>
    <xf numFmtId="164" fontId="50" fillId="0" borderId="0" xfId="1" applyNumberFormat="1" applyFont="1" applyBorder="1" applyAlignment="1">
      <alignment horizontal="right"/>
    </xf>
    <xf numFmtId="0" fontId="68" fillId="0" borderId="0" xfId="0" applyFont="1"/>
    <xf numFmtId="0" fontId="48" fillId="67" borderId="32" xfId="7" applyFont="1" applyFill="1" applyBorder="1"/>
    <xf numFmtId="0" fontId="49" fillId="0" borderId="42" xfId="0" applyFont="1" applyBorder="1"/>
    <xf numFmtId="0" fontId="49" fillId="0" borderId="43" xfId="0" applyFont="1" applyBorder="1"/>
    <xf numFmtId="0" fontId="49" fillId="0" borderId="33" xfId="0" applyFont="1" applyBorder="1"/>
    <xf numFmtId="0" fontId="48" fillId="67" borderId="0" xfId="7" applyFont="1" applyFill="1" applyBorder="1"/>
    <xf numFmtId="0" fontId="47" fillId="67" borderId="32" xfId="7" applyFont="1" applyFill="1" applyBorder="1"/>
    <xf numFmtId="0" fontId="52" fillId="0" borderId="32" xfId="0" applyFont="1" applyBorder="1" applyAlignment="1">
      <alignment horizontal="left"/>
    </xf>
    <xf numFmtId="0" fontId="50" fillId="0" borderId="32" xfId="0" applyFont="1" applyBorder="1" applyAlignment="1">
      <alignment horizontal="left" vertical="center"/>
    </xf>
    <xf numFmtId="165" fontId="52" fillId="0" borderId="32" xfId="1" applyNumberFormat="1" applyFont="1" applyBorder="1"/>
    <xf numFmtId="165" fontId="52" fillId="0" borderId="32" xfId="1" applyNumberFormat="1" applyFont="1" applyBorder="1" applyAlignment="1">
      <alignment horizontal="right"/>
    </xf>
    <xf numFmtId="0" fontId="52" fillId="0" borderId="0" xfId="0" applyFont="1" applyAlignment="1">
      <alignment horizontal="center" textRotation="90"/>
    </xf>
    <xf numFmtId="172" fontId="52" fillId="0" borderId="35" xfId="1" applyNumberFormat="1" applyFont="1" applyBorder="1" applyAlignment="1">
      <alignment horizontal="right"/>
    </xf>
    <xf numFmtId="0" fontId="52" fillId="0" borderId="0" xfId="0" applyFont="1" applyAlignment="1">
      <alignment horizontal="center" vertical="center" wrapText="1"/>
    </xf>
    <xf numFmtId="174" fontId="52" fillId="0" borderId="35" xfId="1" applyNumberFormat="1" applyFont="1" applyBorder="1" applyAlignment="1">
      <alignment horizontal="right"/>
    </xf>
    <xf numFmtId="175" fontId="52" fillId="0" borderId="35" xfId="1" applyNumberFormat="1" applyFont="1" applyBorder="1" applyAlignment="1">
      <alignment horizontal="right"/>
    </xf>
    <xf numFmtId="176" fontId="52" fillId="0" borderId="35" xfId="1" applyNumberFormat="1" applyFont="1" applyBorder="1" applyAlignment="1">
      <alignment horizontal="right"/>
    </xf>
    <xf numFmtId="165" fontId="52" fillId="0" borderId="37" xfId="1" quotePrefix="1" applyNumberFormat="1" applyFont="1" applyBorder="1"/>
    <xf numFmtId="165" fontId="50" fillId="66" borderId="35" xfId="1" applyNumberFormat="1" applyFont="1" applyFill="1" applyBorder="1" applyAlignment="1">
      <alignment horizontal="right"/>
    </xf>
    <xf numFmtId="0" fontId="69" fillId="0" borderId="0" xfId="0" applyFont="1"/>
    <xf numFmtId="165" fontId="52" fillId="69" borderId="0" xfId="1" applyNumberFormat="1" applyFont="1" applyFill="1" applyBorder="1" applyAlignment="1">
      <alignment horizontal="left"/>
    </xf>
    <xf numFmtId="165" fontId="52" fillId="0" borderId="0" xfId="1" applyNumberFormat="1" applyFont="1" applyFill="1" applyBorder="1" applyAlignment="1">
      <alignment horizontal="left"/>
    </xf>
    <xf numFmtId="168" fontId="52" fillId="0" borderId="0" xfId="1" applyNumberFormat="1" applyFont="1" applyFill="1" applyBorder="1" applyAlignment="1">
      <alignment horizontal="right"/>
    </xf>
    <xf numFmtId="0" fontId="56" fillId="57" borderId="2" xfId="0" applyFont="1" applyFill="1" applyBorder="1" applyAlignment="1">
      <alignment wrapText="1"/>
    </xf>
    <xf numFmtId="0" fontId="56" fillId="0" borderId="2" xfId="0" applyFont="1" applyBorder="1" applyAlignment="1">
      <alignment wrapText="1"/>
    </xf>
    <xf numFmtId="0" fontId="56" fillId="7" borderId="2" xfId="0" applyFont="1" applyFill="1" applyBorder="1" applyAlignment="1">
      <alignment wrapText="1"/>
    </xf>
    <xf numFmtId="0" fontId="56" fillId="58" borderId="2" xfId="0" applyFont="1" applyFill="1" applyBorder="1" applyAlignment="1">
      <alignment wrapText="1"/>
    </xf>
    <xf numFmtId="0" fontId="56" fillId="59" borderId="2" xfId="0" applyFont="1" applyFill="1" applyBorder="1" applyAlignment="1">
      <alignment wrapText="1"/>
    </xf>
    <xf numFmtId="0" fontId="56" fillId="60" borderId="2" xfId="0" applyFont="1" applyFill="1" applyBorder="1" applyAlignment="1">
      <alignment wrapText="1"/>
    </xf>
    <xf numFmtId="0" fontId="56" fillId="61" borderId="2" xfId="0" applyFont="1" applyFill="1" applyBorder="1" applyAlignment="1">
      <alignment wrapText="1"/>
    </xf>
    <xf numFmtId="0" fontId="56" fillId="62" borderId="2" xfId="0" applyFont="1" applyFill="1" applyBorder="1" applyAlignment="1">
      <alignment wrapText="1"/>
    </xf>
    <xf numFmtId="0" fontId="56" fillId="63" borderId="2" xfId="0" applyFont="1" applyFill="1" applyBorder="1" applyAlignment="1">
      <alignment wrapText="1"/>
    </xf>
    <xf numFmtId="0" fontId="56" fillId="64" borderId="2" xfId="0" applyFont="1" applyFill="1" applyBorder="1" applyAlignment="1">
      <alignment wrapText="1"/>
    </xf>
    <xf numFmtId="165" fontId="52" fillId="0" borderId="28" xfId="0" applyNumberFormat="1" applyFont="1" applyBorder="1"/>
    <xf numFmtId="177" fontId="64" fillId="4" borderId="27" xfId="3" applyNumberFormat="1" applyFont="1" applyFill="1" applyBorder="1" applyAlignment="1">
      <alignment horizontal="center"/>
    </xf>
    <xf numFmtId="178" fontId="64" fillId="4" borderId="27" xfId="3" applyNumberFormat="1" applyFont="1" applyFill="1" applyBorder="1" applyAlignment="1">
      <alignment horizontal="center"/>
    </xf>
    <xf numFmtId="11" fontId="49" fillId="0" borderId="0" xfId="0" applyNumberFormat="1" applyFont="1"/>
    <xf numFmtId="165" fontId="50" fillId="0" borderId="37" xfId="1" applyNumberFormat="1" applyFont="1" applyBorder="1"/>
    <xf numFmtId="0" fontId="56" fillId="0" borderId="38" xfId="0" applyFont="1" applyBorder="1" applyAlignment="1">
      <alignment wrapText="1"/>
    </xf>
    <xf numFmtId="0" fontId="65" fillId="0" borderId="38" xfId="0" applyFont="1" applyBorder="1" applyAlignment="1">
      <alignment horizontal="left" vertical="center"/>
    </xf>
    <xf numFmtId="44" fontId="52" fillId="0" borderId="35" xfId="3" applyFont="1" applyBorder="1" applyAlignment="1">
      <alignment horizontal="right"/>
    </xf>
    <xf numFmtId="0" fontId="50" fillId="0" borderId="0" xfId="0" applyFont="1" applyAlignment="1">
      <alignment horizontal="left" vertical="center"/>
    </xf>
    <xf numFmtId="44" fontId="52" fillId="0" borderId="0" xfId="3" applyFont="1" applyBorder="1" applyAlignment="1">
      <alignment horizontal="right"/>
    </xf>
    <xf numFmtId="9" fontId="52" fillId="0" borderId="35" xfId="2" applyFont="1" applyBorder="1"/>
    <xf numFmtId="168" fontId="52" fillId="0" borderId="35" xfId="1" applyNumberFormat="1" applyFont="1" applyBorder="1"/>
    <xf numFmtId="43" fontId="52" fillId="0" borderId="35" xfId="1" applyFont="1" applyBorder="1"/>
    <xf numFmtId="43" fontId="52" fillId="0" borderId="36" xfId="1" applyFont="1" applyBorder="1" applyAlignment="1">
      <alignment horizontal="right"/>
    </xf>
    <xf numFmtId="0" fontId="52" fillId="0" borderId="44" xfId="0" applyFont="1" applyBorder="1" applyAlignment="1" applyProtection="1">
      <alignment horizontal="left"/>
      <protection locked="0"/>
    </xf>
    <xf numFmtId="0" fontId="52" fillId="0" borderId="45" xfId="0" applyFont="1" applyBorder="1" applyAlignment="1" applyProtection="1">
      <alignment horizontal="left"/>
      <protection locked="0"/>
    </xf>
    <xf numFmtId="0" fontId="60" fillId="0" borderId="0" xfId="339" applyFont="1" applyAlignment="1">
      <alignment horizontal="left" indent="1"/>
    </xf>
    <xf numFmtId="43" fontId="52" fillId="0" borderId="35" xfId="1" applyFont="1" applyBorder="1" applyAlignment="1">
      <alignment horizontal="left"/>
    </xf>
    <xf numFmtId="165" fontId="52" fillId="8" borderId="35" xfId="1" applyNumberFormat="1" applyFont="1" applyFill="1" applyBorder="1"/>
    <xf numFmtId="0" fontId="53" fillId="4" borderId="1" xfId="2" applyNumberFormat="1" applyFont="1" applyFill="1" applyBorder="1"/>
    <xf numFmtId="0" fontId="70" fillId="0" borderId="0" xfId="0" applyFont="1"/>
    <xf numFmtId="0" fontId="56" fillId="0" borderId="38" xfId="0" applyFont="1" applyBorder="1" applyAlignment="1">
      <alignment horizontal="left" vertical="center" wrapText="1"/>
    </xf>
    <xf numFmtId="0" fontId="70" fillId="0" borderId="0" xfId="0" applyFont="1" applyAlignment="1">
      <alignment wrapText="1"/>
    </xf>
    <xf numFmtId="0" fontId="56" fillId="0" borderId="0" xfId="0" applyFont="1" applyAlignment="1">
      <alignment wrapText="1"/>
    </xf>
    <xf numFmtId="165" fontId="52" fillId="0" borderId="0" xfId="1" applyNumberFormat="1" applyFont="1" applyFill="1" applyBorder="1"/>
    <xf numFmtId="0" fontId="51" fillId="0" borderId="39" xfId="0" applyFont="1" applyBorder="1" applyAlignment="1">
      <alignment horizontal="left" vertical="top" wrapText="1"/>
    </xf>
    <xf numFmtId="0" fontId="51" fillId="0" borderId="0" xfId="0" applyFont="1" applyAlignment="1">
      <alignment horizontal="left" vertical="top" wrapText="1"/>
    </xf>
    <xf numFmtId="4" fontId="52" fillId="68" borderId="0" xfId="342" applyAlignment="1" applyProtection="1">
      <alignment horizontal="center"/>
      <protection locked="0"/>
    </xf>
    <xf numFmtId="14" fontId="57" fillId="68" borderId="0" xfId="5" applyNumberFormat="1" applyFont="1" applyFill="1" applyBorder="1" applyAlignment="1" applyProtection="1">
      <alignment horizontal="center"/>
      <protection locked="0"/>
    </xf>
    <xf numFmtId="3" fontId="52" fillId="68" borderId="0" xfId="340" applyAlignment="1" applyProtection="1">
      <alignment horizontal="center"/>
      <protection locked="0"/>
    </xf>
    <xf numFmtId="0" fontId="52" fillId="0" borderId="5" xfId="0" applyFont="1" applyBorder="1" applyAlignment="1" applyProtection="1">
      <alignment horizontal="left"/>
      <protection locked="0"/>
    </xf>
    <xf numFmtId="0" fontId="52" fillId="0" borderId="6" xfId="0" applyFont="1" applyBorder="1" applyAlignment="1" applyProtection="1">
      <alignment horizontal="left"/>
      <protection locked="0"/>
    </xf>
    <xf numFmtId="0" fontId="52" fillId="0" borderId="44" xfId="0" applyFont="1" applyBorder="1" applyAlignment="1" applyProtection="1">
      <alignment horizontal="left"/>
      <protection locked="0"/>
    </xf>
    <xf numFmtId="0" fontId="52" fillId="0" borderId="45" xfId="0" applyFont="1" applyBorder="1" applyAlignment="1" applyProtection="1">
      <alignment horizontal="left"/>
      <protection locked="0"/>
    </xf>
    <xf numFmtId="0" fontId="52" fillId="0" borderId="5" xfId="0" applyFont="1" applyBorder="1" applyAlignment="1">
      <alignment horizontal="left"/>
    </xf>
    <xf numFmtId="0" fontId="52" fillId="0" borderId="6" xfId="0" applyFont="1" applyBorder="1" applyAlignment="1">
      <alignment horizontal="left"/>
    </xf>
    <xf numFmtId="0" fontId="52" fillId="0" borderId="2" xfId="0" applyFont="1" applyBorder="1" applyAlignment="1">
      <alignment horizontal="left"/>
    </xf>
    <xf numFmtId="0" fontId="56" fillId="0" borderId="8" xfId="0" applyFont="1" applyBorder="1" applyAlignment="1">
      <alignment horizontal="center" vertical="center" wrapText="1"/>
    </xf>
    <xf numFmtId="0" fontId="56" fillId="0" borderId="0" xfId="0" applyFont="1" applyAlignment="1">
      <alignment horizontal="center" vertical="center" wrapText="1"/>
    </xf>
    <xf numFmtId="0" fontId="56" fillId="0" borderId="8" xfId="0" applyFont="1" applyBorder="1" applyAlignment="1">
      <alignment horizontal="center" vertical="center"/>
    </xf>
    <xf numFmtId="0" fontId="56" fillId="0" borderId="0" xfId="0" applyFont="1" applyAlignment="1">
      <alignment horizontal="center" vertical="center"/>
    </xf>
    <xf numFmtId="0" fontId="56" fillId="0" borderId="32" xfId="0" applyFont="1" applyBorder="1" applyAlignment="1">
      <alignment horizontal="center" vertical="center" wrapText="1"/>
    </xf>
    <xf numFmtId="0" fontId="52" fillId="0" borderId="32" xfId="0" applyFont="1" applyBorder="1" applyAlignment="1">
      <alignment horizontal="center" textRotation="90"/>
    </xf>
  </cellXfs>
  <cellStyles count="345">
    <cellStyle name="20% - Accent1" xfId="21" builtinId="30" customBuiltin="1"/>
    <cellStyle name="20% - Accent1 2" xfId="87" xr:uid="{00000000-0005-0000-0000-000001000000}"/>
    <cellStyle name="20% - Accent1 3" xfId="171" xr:uid="{00000000-0005-0000-0000-000002000000}"/>
    <cellStyle name="20% - Accent1 3 2" xfId="172" xr:uid="{00000000-0005-0000-0000-000003000000}"/>
    <cellStyle name="20% - Accent1 4" xfId="173" xr:uid="{00000000-0005-0000-0000-000004000000}"/>
    <cellStyle name="20% - Accent1 4 2" xfId="174" xr:uid="{00000000-0005-0000-0000-000005000000}"/>
    <cellStyle name="20% - Accent1 5" xfId="175" xr:uid="{00000000-0005-0000-0000-000006000000}"/>
    <cellStyle name="20% - Accent2" xfId="25" builtinId="34" customBuiltin="1"/>
    <cellStyle name="20% - Accent2 2" xfId="88" xr:uid="{00000000-0005-0000-0000-000008000000}"/>
    <cellStyle name="20% - Accent2 3" xfId="176" xr:uid="{00000000-0005-0000-0000-000009000000}"/>
    <cellStyle name="20% - Accent2 3 2" xfId="177" xr:uid="{00000000-0005-0000-0000-00000A000000}"/>
    <cellStyle name="20% - Accent2 4" xfId="178" xr:uid="{00000000-0005-0000-0000-00000B000000}"/>
    <cellStyle name="20% - Accent2 4 2" xfId="179" xr:uid="{00000000-0005-0000-0000-00000C000000}"/>
    <cellStyle name="20% - Accent2 5" xfId="180" xr:uid="{00000000-0005-0000-0000-00000D000000}"/>
    <cellStyle name="20% - Accent3" xfId="29" builtinId="38" customBuiltin="1"/>
    <cellStyle name="20% - Accent3 2" xfId="89" xr:uid="{00000000-0005-0000-0000-00000F000000}"/>
    <cellStyle name="20% - Accent3 3" xfId="181" xr:uid="{00000000-0005-0000-0000-000010000000}"/>
    <cellStyle name="20% - Accent3 3 2" xfId="182" xr:uid="{00000000-0005-0000-0000-000011000000}"/>
    <cellStyle name="20% - Accent3 4" xfId="183" xr:uid="{00000000-0005-0000-0000-000012000000}"/>
    <cellStyle name="20% - Accent3 4 2" xfId="184" xr:uid="{00000000-0005-0000-0000-000013000000}"/>
    <cellStyle name="20% - Accent3 5" xfId="185" xr:uid="{00000000-0005-0000-0000-000014000000}"/>
    <cellStyle name="20% - Accent4" xfId="33" builtinId="42" customBuiltin="1"/>
    <cellStyle name="20% - Accent4 2" xfId="90" xr:uid="{00000000-0005-0000-0000-000016000000}"/>
    <cellStyle name="20% - Accent4 3" xfId="186" xr:uid="{00000000-0005-0000-0000-000017000000}"/>
    <cellStyle name="20% - Accent4 3 2" xfId="187" xr:uid="{00000000-0005-0000-0000-000018000000}"/>
    <cellStyle name="20% - Accent4 4" xfId="188" xr:uid="{00000000-0005-0000-0000-000019000000}"/>
    <cellStyle name="20% - Accent4 4 2" xfId="189" xr:uid="{00000000-0005-0000-0000-00001A000000}"/>
    <cellStyle name="20% - Accent4 5" xfId="190" xr:uid="{00000000-0005-0000-0000-00001B000000}"/>
    <cellStyle name="20% - Accent5" xfId="37" builtinId="46" customBuiltin="1"/>
    <cellStyle name="20% - Accent5 2" xfId="91" xr:uid="{00000000-0005-0000-0000-00001D000000}"/>
    <cellStyle name="20% - Accent5 3" xfId="191" xr:uid="{00000000-0005-0000-0000-00001E000000}"/>
    <cellStyle name="20% - Accent5 3 2" xfId="192" xr:uid="{00000000-0005-0000-0000-00001F000000}"/>
    <cellStyle name="20% - Accent5 4" xfId="193" xr:uid="{00000000-0005-0000-0000-000020000000}"/>
    <cellStyle name="20% - Accent5 4 2" xfId="194" xr:uid="{00000000-0005-0000-0000-000021000000}"/>
    <cellStyle name="20% - Accent5 5" xfId="195" xr:uid="{00000000-0005-0000-0000-000022000000}"/>
    <cellStyle name="20% - Accent6" xfId="41" builtinId="50" customBuiltin="1"/>
    <cellStyle name="20% - Accent6 2" xfId="92" xr:uid="{00000000-0005-0000-0000-000024000000}"/>
    <cellStyle name="20% - Accent6 3" xfId="196" xr:uid="{00000000-0005-0000-0000-000025000000}"/>
    <cellStyle name="20% - Accent6 3 2" xfId="197" xr:uid="{00000000-0005-0000-0000-000026000000}"/>
    <cellStyle name="20% - Accent6 4" xfId="198" xr:uid="{00000000-0005-0000-0000-000027000000}"/>
    <cellStyle name="20% - Accent6 4 2" xfId="199" xr:uid="{00000000-0005-0000-0000-000028000000}"/>
    <cellStyle name="20% - Accent6 5" xfId="200" xr:uid="{00000000-0005-0000-0000-000029000000}"/>
    <cellStyle name="40% - Accent1" xfId="22" builtinId="31" customBuiltin="1"/>
    <cellStyle name="40% - Accent1 2" xfId="93" xr:uid="{00000000-0005-0000-0000-00002B000000}"/>
    <cellStyle name="40% - Accent1 3" xfId="201" xr:uid="{00000000-0005-0000-0000-00002C000000}"/>
    <cellStyle name="40% - Accent1 3 2" xfId="202" xr:uid="{00000000-0005-0000-0000-00002D000000}"/>
    <cellStyle name="40% - Accent1 4" xfId="203" xr:uid="{00000000-0005-0000-0000-00002E000000}"/>
    <cellStyle name="40% - Accent1 4 2" xfId="204" xr:uid="{00000000-0005-0000-0000-00002F000000}"/>
    <cellStyle name="40% - Accent1 5" xfId="205" xr:uid="{00000000-0005-0000-0000-000030000000}"/>
    <cellStyle name="40% - Accent2" xfId="26" builtinId="35" customBuiltin="1"/>
    <cellStyle name="40% - Accent2 2" xfId="94" xr:uid="{00000000-0005-0000-0000-000032000000}"/>
    <cellStyle name="40% - Accent2 3" xfId="206" xr:uid="{00000000-0005-0000-0000-000033000000}"/>
    <cellStyle name="40% - Accent2 3 2" xfId="207" xr:uid="{00000000-0005-0000-0000-000034000000}"/>
    <cellStyle name="40% - Accent2 4" xfId="208" xr:uid="{00000000-0005-0000-0000-000035000000}"/>
    <cellStyle name="40% - Accent2 4 2" xfId="209" xr:uid="{00000000-0005-0000-0000-000036000000}"/>
    <cellStyle name="40% - Accent2 5" xfId="210" xr:uid="{00000000-0005-0000-0000-000037000000}"/>
    <cellStyle name="40% - Accent3" xfId="30" builtinId="39" customBuiltin="1"/>
    <cellStyle name="40% - Accent3 2" xfId="95" xr:uid="{00000000-0005-0000-0000-000039000000}"/>
    <cellStyle name="40% - Accent3 3" xfId="211" xr:uid="{00000000-0005-0000-0000-00003A000000}"/>
    <cellStyle name="40% - Accent3 3 2" xfId="212" xr:uid="{00000000-0005-0000-0000-00003B000000}"/>
    <cellStyle name="40% - Accent3 4" xfId="213" xr:uid="{00000000-0005-0000-0000-00003C000000}"/>
    <cellStyle name="40% - Accent3 4 2" xfId="214" xr:uid="{00000000-0005-0000-0000-00003D000000}"/>
    <cellStyle name="40% - Accent3 5" xfId="215" xr:uid="{00000000-0005-0000-0000-00003E000000}"/>
    <cellStyle name="40% - Accent4" xfId="34" builtinId="43" customBuiltin="1"/>
    <cellStyle name="40% - Accent4 2" xfId="96" xr:uid="{00000000-0005-0000-0000-000040000000}"/>
    <cellStyle name="40% - Accent4 3" xfId="216" xr:uid="{00000000-0005-0000-0000-000041000000}"/>
    <cellStyle name="40% - Accent4 3 2" xfId="217" xr:uid="{00000000-0005-0000-0000-000042000000}"/>
    <cellStyle name="40% - Accent4 4" xfId="218" xr:uid="{00000000-0005-0000-0000-000043000000}"/>
    <cellStyle name="40% - Accent4 4 2" xfId="219" xr:uid="{00000000-0005-0000-0000-000044000000}"/>
    <cellStyle name="40% - Accent4 5" xfId="220" xr:uid="{00000000-0005-0000-0000-000045000000}"/>
    <cellStyle name="40% - Accent5" xfId="38" builtinId="47" customBuiltin="1"/>
    <cellStyle name="40% - Accent5 2" xfId="97" xr:uid="{00000000-0005-0000-0000-000047000000}"/>
    <cellStyle name="40% - Accent5 3" xfId="221" xr:uid="{00000000-0005-0000-0000-000048000000}"/>
    <cellStyle name="40% - Accent5 3 2" xfId="222" xr:uid="{00000000-0005-0000-0000-000049000000}"/>
    <cellStyle name="40% - Accent5 4" xfId="223" xr:uid="{00000000-0005-0000-0000-00004A000000}"/>
    <cellStyle name="40% - Accent5 4 2" xfId="224" xr:uid="{00000000-0005-0000-0000-00004B000000}"/>
    <cellStyle name="40% - Accent5 5" xfId="225" xr:uid="{00000000-0005-0000-0000-00004C000000}"/>
    <cellStyle name="40% - Accent6" xfId="42" builtinId="51" customBuiltin="1"/>
    <cellStyle name="40% - Accent6 2" xfId="98" xr:uid="{00000000-0005-0000-0000-00004E000000}"/>
    <cellStyle name="40% - Accent6 3" xfId="226" xr:uid="{00000000-0005-0000-0000-00004F000000}"/>
    <cellStyle name="40% - Accent6 3 2" xfId="227" xr:uid="{00000000-0005-0000-0000-000050000000}"/>
    <cellStyle name="40% - Accent6 4" xfId="228" xr:uid="{00000000-0005-0000-0000-000051000000}"/>
    <cellStyle name="40% - Accent6 4 2" xfId="229" xr:uid="{00000000-0005-0000-0000-000052000000}"/>
    <cellStyle name="40% - Accent6 5" xfId="230" xr:uid="{00000000-0005-0000-0000-000053000000}"/>
    <cellStyle name="60% - Accent1" xfId="23" builtinId="32" customBuiltin="1"/>
    <cellStyle name="60% - Accent1 2" xfId="99" xr:uid="{00000000-0005-0000-0000-000055000000}"/>
    <cellStyle name="60% - Accent2" xfId="27" builtinId="36" customBuiltin="1"/>
    <cellStyle name="60% - Accent2 2" xfId="100" xr:uid="{00000000-0005-0000-0000-000057000000}"/>
    <cellStyle name="60% - Accent3" xfId="31" builtinId="40" customBuiltin="1"/>
    <cellStyle name="60% - Accent3 2" xfId="101" xr:uid="{00000000-0005-0000-0000-000059000000}"/>
    <cellStyle name="60% - Accent4" xfId="35" builtinId="44" customBuiltin="1"/>
    <cellStyle name="60% - Accent4 2" xfId="102" xr:uid="{00000000-0005-0000-0000-00005B000000}"/>
    <cellStyle name="60% - Accent5" xfId="39" builtinId="48" customBuiltin="1"/>
    <cellStyle name="60% - Accent5 2" xfId="103" xr:uid="{00000000-0005-0000-0000-00005D000000}"/>
    <cellStyle name="60% - Accent6" xfId="43" builtinId="52" customBuiltin="1"/>
    <cellStyle name="60% - Accent6 2" xfId="104" xr:uid="{00000000-0005-0000-0000-00005F000000}"/>
    <cellStyle name="Accent1" xfId="7" builtinId="29" customBuiltin="1"/>
    <cellStyle name="Accent1 2" xfId="105" xr:uid="{00000000-0005-0000-0000-000061000000}"/>
    <cellStyle name="Accent2" xfId="24" builtinId="33" customBuiltin="1"/>
    <cellStyle name="Accent2 2" xfId="106" xr:uid="{00000000-0005-0000-0000-000063000000}"/>
    <cellStyle name="Accent3" xfId="28" builtinId="37" customBuiltin="1"/>
    <cellStyle name="Accent3 2" xfId="107" xr:uid="{00000000-0005-0000-0000-000065000000}"/>
    <cellStyle name="Accent4" xfId="32" builtinId="41" customBuiltin="1"/>
    <cellStyle name="Accent4 2" xfId="108" xr:uid="{00000000-0005-0000-0000-000067000000}"/>
    <cellStyle name="Accent5" xfId="36" builtinId="45" customBuiltin="1"/>
    <cellStyle name="Accent5 2" xfId="109" xr:uid="{00000000-0005-0000-0000-000069000000}"/>
    <cellStyle name="Accent6" xfId="40" builtinId="49" customBuiltin="1"/>
    <cellStyle name="Accent6 2" xfId="110" xr:uid="{00000000-0005-0000-0000-00006B000000}"/>
    <cellStyle name="Bad" xfId="12" builtinId="27" customBuiltin="1"/>
    <cellStyle name="Bad 2" xfId="111" xr:uid="{00000000-0005-0000-0000-00006D000000}"/>
    <cellStyle name="Bad 3" xfId="231" xr:uid="{00000000-0005-0000-0000-00006E000000}"/>
    <cellStyle name="Calculation" xfId="6" builtinId="22" customBuiltin="1"/>
    <cellStyle name="Calculation 2" xfId="112" xr:uid="{00000000-0005-0000-0000-000070000000}"/>
    <cellStyle name="Check Cell" xfId="16" builtinId="23" customBuiltin="1"/>
    <cellStyle name="Check Cell 2" xfId="113" xr:uid="{00000000-0005-0000-0000-000072000000}"/>
    <cellStyle name="Comma" xfId="1" builtinId="3"/>
    <cellStyle name="Comma 10" xfId="232" xr:uid="{00000000-0005-0000-0000-000074000000}"/>
    <cellStyle name="Comma 10 2" xfId="233" xr:uid="{00000000-0005-0000-0000-000075000000}"/>
    <cellStyle name="Comma 11" xfId="234" xr:uid="{00000000-0005-0000-0000-000076000000}"/>
    <cellStyle name="Comma 11 2" xfId="235" xr:uid="{00000000-0005-0000-0000-000077000000}"/>
    <cellStyle name="Comma 12" xfId="236" xr:uid="{00000000-0005-0000-0000-000078000000}"/>
    <cellStyle name="Comma 12 2" xfId="237" xr:uid="{00000000-0005-0000-0000-000079000000}"/>
    <cellStyle name="Comma 13" xfId="238" xr:uid="{00000000-0005-0000-0000-00007A000000}"/>
    <cellStyle name="Comma 14" xfId="239" xr:uid="{00000000-0005-0000-0000-00007B000000}"/>
    <cellStyle name="Comma 2" xfId="44" xr:uid="{00000000-0005-0000-0000-00007C000000}"/>
    <cellStyle name="Comma 2 2" xfId="54" xr:uid="{00000000-0005-0000-0000-00007D000000}"/>
    <cellStyle name="Comma 2 2 2" xfId="86" xr:uid="{00000000-0005-0000-0000-00007E000000}"/>
    <cellStyle name="Comma 2 2 2 2" xfId="240" xr:uid="{00000000-0005-0000-0000-00007F000000}"/>
    <cellStyle name="Comma 2 2 2 3" xfId="241" xr:uid="{00000000-0005-0000-0000-000080000000}"/>
    <cellStyle name="Comma 2 2 2 4" xfId="242" xr:uid="{00000000-0005-0000-0000-000081000000}"/>
    <cellStyle name="Comma 2 2 3" xfId="152" xr:uid="{00000000-0005-0000-0000-000082000000}"/>
    <cellStyle name="Comma 2 3" xfId="68" xr:uid="{00000000-0005-0000-0000-000083000000}"/>
    <cellStyle name="Comma 2 3 2" xfId="158" xr:uid="{00000000-0005-0000-0000-000084000000}"/>
    <cellStyle name="Comma 2 4" xfId="76" xr:uid="{00000000-0005-0000-0000-000085000000}"/>
    <cellStyle name="Comma 2 5" xfId="79" xr:uid="{00000000-0005-0000-0000-000086000000}"/>
    <cellStyle name="Comma 2 6" xfId="168" xr:uid="{00000000-0005-0000-0000-000087000000}"/>
    <cellStyle name="Comma 2 6 2" xfId="243" xr:uid="{00000000-0005-0000-0000-000088000000}"/>
    <cellStyle name="Comma 2 6 3" xfId="244" xr:uid="{00000000-0005-0000-0000-000089000000}"/>
    <cellStyle name="Comma 2 6 4" xfId="245" xr:uid="{00000000-0005-0000-0000-00008A000000}"/>
    <cellStyle name="Comma 3" xfId="55" xr:uid="{00000000-0005-0000-0000-00008B000000}"/>
    <cellStyle name="Comma 3 2" xfId="80" xr:uid="{00000000-0005-0000-0000-00008C000000}"/>
    <cellStyle name="Comma 3 3" xfId="246" xr:uid="{00000000-0005-0000-0000-00008D000000}"/>
    <cellStyle name="Comma 3 3 2" xfId="247" xr:uid="{00000000-0005-0000-0000-00008E000000}"/>
    <cellStyle name="Comma 3 3 3" xfId="248" xr:uid="{00000000-0005-0000-0000-00008F000000}"/>
    <cellStyle name="Comma 3 3 4" xfId="249" xr:uid="{00000000-0005-0000-0000-000090000000}"/>
    <cellStyle name="Comma 4" xfId="60" xr:uid="{00000000-0005-0000-0000-000091000000}"/>
    <cellStyle name="Comma 4 2" xfId="250" xr:uid="{00000000-0005-0000-0000-000092000000}"/>
    <cellStyle name="Comma 4 2 2" xfId="251" xr:uid="{00000000-0005-0000-0000-000093000000}"/>
    <cellStyle name="Comma 4 2 3" xfId="252" xr:uid="{00000000-0005-0000-0000-000094000000}"/>
    <cellStyle name="Comma 4 2 4" xfId="253" xr:uid="{00000000-0005-0000-0000-000095000000}"/>
    <cellStyle name="Comma 5" xfId="61" xr:uid="{00000000-0005-0000-0000-000096000000}"/>
    <cellStyle name="Comma 5 2" xfId="153" xr:uid="{00000000-0005-0000-0000-000097000000}"/>
    <cellStyle name="Comma 6" xfId="63" xr:uid="{00000000-0005-0000-0000-000098000000}"/>
    <cellStyle name="Comma 6 2" xfId="154" xr:uid="{00000000-0005-0000-0000-000099000000}"/>
    <cellStyle name="Comma 7" xfId="74" xr:uid="{00000000-0005-0000-0000-00009A000000}"/>
    <cellStyle name="Comma 8" xfId="254" xr:uid="{00000000-0005-0000-0000-00009B000000}"/>
    <cellStyle name="Comma 9" xfId="255" xr:uid="{00000000-0005-0000-0000-00009C000000}"/>
    <cellStyle name="Comma 9 2" xfId="256" xr:uid="{00000000-0005-0000-0000-00009D000000}"/>
    <cellStyle name="Comma 9 2 2" xfId="257" xr:uid="{00000000-0005-0000-0000-00009E000000}"/>
    <cellStyle name="Comma 9 3" xfId="258" xr:uid="{00000000-0005-0000-0000-00009F000000}"/>
    <cellStyle name="Comma 9 4" xfId="259" xr:uid="{00000000-0005-0000-0000-0000A0000000}"/>
    <cellStyle name="Comma0" xfId="329" xr:uid="{00000000-0005-0000-0000-0000A1000000}"/>
    <cellStyle name="Currency" xfId="3" builtinId="4"/>
    <cellStyle name="Currency 2" xfId="70" xr:uid="{00000000-0005-0000-0000-0000A3000000}"/>
    <cellStyle name="Currency 2 2" xfId="56" xr:uid="{00000000-0005-0000-0000-0000A4000000}"/>
    <cellStyle name="Currency 2 2 2" xfId="82" xr:uid="{00000000-0005-0000-0000-0000A5000000}"/>
    <cellStyle name="Currency 2 3" xfId="69" xr:uid="{00000000-0005-0000-0000-0000A6000000}"/>
    <cellStyle name="Currency 2 3 2" xfId="159" xr:uid="{00000000-0005-0000-0000-0000A7000000}"/>
    <cellStyle name="Currency0" xfId="330" xr:uid="{00000000-0005-0000-0000-0000A8000000}"/>
    <cellStyle name="Date" xfId="331" xr:uid="{00000000-0005-0000-0000-0000A9000000}"/>
    <cellStyle name="Energy Calculated" xfId="337" xr:uid="{00000000-0005-0000-0000-0000AA000000}"/>
    <cellStyle name="Energy Comparison Input Cell Decimal" xfId="342" xr:uid="{9B67153A-5A4A-4529-9A17-6DD342266552}"/>
    <cellStyle name="Energy Comparison Input Cell General Number" xfId="340" xr:uid="{43CF3605-DC92-40D8-AB4C-B73A8DBAE03E}"/>
    <cellStyle name="Energy Comparison Input Cell Percentage" xfId="343" xr:uid="{3665EA25-3659-4C69-AE7C-9D2B072E7348}"/>
    <cellStyle name="Energy Comparison Input Cell Price" xfId="341" xr:uid="{1488C8C5-837E-4AF4-BCB5-574F7748A179}"/>
    <cellStyle name="Energy Input" xfId="338" xr:uid="{00000000-0005-0000-0000-0000AB000000}"/>
    <cellStyle name="Explanatory Text" xfId="19" builtinId="53" customBuiltin="1"/>
    <cellStyle name="Explanatory Text 2" xfId="114" xr:uid="{00000000-0005-0000-0000-0000AD000000}"/>
    <cellStyle name="Fixed" xfId="332" xr:uid="{00000000-0005-0000-0000-0000AE000000}"/>
    <cellStyle name="Good" xfId="4" builtinId="26" customBuiltin="1"/>
    <cellStyle name="Good 2" xfId="115" xr:uid="{00000000-0005-0000-0000-0000B0000000}"/>
    <cellStyle name="Good 3" xfId="260" xr:uid="{00000000-0005-0000-0000-0000B1000000}"/>
    <cellStyle name="Heading 1" xfId="8" builtinId="16" customBuiltin="1"/>
    <cellStyle name="Heading 1 2" xfId="116" xr:uid="{00000000-0005-0000-0000-0000B3000000}"/>
    <cellStyle name="Heading 1 3" xfId="333" xr:uid="{00000000-0005-0000-0000-0000B4000000}"/>
    <cellStyle name="Heading 2" xfId="9" builtinId="17" customBuiltin="1"/>
    <cellStyle name="Heading 2 2" xfId="117" xr:uid="{00000000-0005-0000-0000-0000B6000000}"/>
    <cellStyle name="Heading 2 3" xfId="334" xr:uid="{00000000-0005-0000-0000-0000B7000000}"/>
    <cellStyle name="Heading 3" xfId="10" builtinId="18" customBuiltin="1"/>
    <cellStyle name="Heading 3 2" xfId="118" xr:uid="{00000000-0005-0000-0000-0000B9000000}"/>
    <cellStyle name="Heading 4" xfId="11" builtinId="19" customBuiltin="1"/>
    <cellStyle name="Heading 4 2" xfId="119" xr:uid="{00000000-0005-0000-0000-0000BB000000}"/>
    <cellStyle name="Hyperlink" xfId="339" builtinId="8"/>
    <cellStyle name="Input" xfId="5" builtinId="20" customBuiltin="1"/>
    <cellStyle name="Input 2" xfId="120" xr:uid="{00000000-0005-0000-0000-0000BD000000}"/>
    <cellStyle name="Linked Cell" xfId="15" builtinId="24" customBuiltin="1"/>
    <cellStyle name="Linked Cell 2" xfId="121" xr:uid="{00000000-0005-0000-0000-0000BF000000}"/>
    <cellStyle name="Neutral" xfId="13" builtinId="28" customBuiltin="1"/>
    <cellStyle name="Neutral 2" xfId="122" xr:uid="{00000000-0005-0000-0000-0000C1000000}"/>
    <cellStyle name="Normal" xfId="0" builtinId="0"/>
    <cellStyle name="Normal 10" xfId="73" xr:uid="{00000000-0005-0000-0000-0000C3000000}"/>
    <cellStyle name="Normal 10 2" xfId="85" xr:uid="{00000000-0005-0000-0000-0000C4000000}"/>
    <cellStyle name="Normal 11" xfId="57" xr:uid="{00000000-0005-0000-0000-0000C5000000}"/>
    <cellStyle name="Normal 11 2" xfId="84" xr:uid="{00000000-0005-0000-0000-0000C6000000}"/>
    <cellStyle name="Normal 11 2 2" xfId="261" xr:uid="{00000000-0005-0000-0000-0000C7000000}"/>
    <cellStyle name="Normal 11 2 2 2" xfId="262" xr:uid="{00000000-0005-0000-0000-0000C8000000}"/>
    <cellStyle name="Normal 11 2 2 2 2" xfId="170" xr:uid="{00000000-0005-0000-0000-0000C9000000}"/>
    <cellStyle name="Normal 11 2 2 3" xfId="263" xr:uid="{00000000-0005-0000-0000-0000CA000000}"/>
    <cellStyle name="Normal 11 2 3" xfId="264" xr:uid="{00000000-0005-0000-0000-0000CB000000}"/>
    <cellStyle name="Normal 11 2 3 2" xfId="265" xr:uid="{00000000-0005-0000-0000-0000CC000000}"/>
    <cellStyle name="Normal 11 2 4" xfId="266" xr:uid="{00000000-0005-0000-0000-0000CD000000}"/>
    <cellStyle name="Normal 11 2 4 2" xfId="267" xr:uid="{00000000-0005-0000-0000-0000CE000000}"/>
    <cellStyle name="Normal 11 2 5" xfId="268" xr:uid="{00000000-0005-0000-0000-0000CF000000}"/>
    <cellStyle name="Normal 11 2 5 2" xfId="269" xr:uid="{00000000-0005-0000-0000-0000D0000000}"/>
    <cellStyle name="Normal 11 2 6" xfId="270" xr:uid="{00000000-0005-0000-0000-0000D1000000}"/>
    <cellStyle name="Normal 11 3" xfId="271" xr:uid="{00000000-0005-0000-0000-0000D2000000}"/>
    <cellStyle name="Normal 11 3 2" xfId="272" xr:uid="{00000000-0005-0000-0000-0000D3000000}"/>
    <cellStyle name="Normal 11 4" xfId="273" xr:uid="{00000000-0005-0000-0000-0000D4000000}"/>
    <cellStyle name="Normal 11 4 2" xfId="274" xr:uid="{00000000-0005-0000-0000-0000D5000000}"/>
    <cellStyle name="Normal 11 5" xfId="275" xr:uid="{00000000-0005-0000-0000-0000D6000000}"/>
    <cellStyle name="Normal 11 5 2" xfId="276" xr:uid="{00000000-0005-0000-0000-0000D7000000}"/>
    <cellStyle name="Normal 11 6" xfId="277" xr:uid="{00000000-0005-0000-0000-0000D8000000}"/>
    <cellStyle name="Normal 11 6 2" xfId="278" xr:uid="{00000000-0005-0000-0000-0000D9000000}"/>
    <cellStyle name="Normal 11 7" xfId="279" xr:uid="{00000000-0005-0000-0000-0000DA000000}"/>
    <cellStyle name="Normal 12" xfId="150" xr:uid="{00000000-0005-0000-0000-0000DB000000}"/>
    <cellStyle name="Normal 12 2" xfId="280" xr:uid="{00000000-0005-0000-0000-0000DC000000}"/>
    <cellStyle name="Normal 12 3" xfId="281" xr:uid="{00000000-0005-0000-0000-0000DD000000}"/>
    <cellStyle name="Normal 12 3 2" xfId="282" xr:uid="{00000000-0005-0000-0000-0000DE000000}"/>
    <cellStyle name="Normal 12 4" xfId="283" xr:uid="{00000000-0005-0000-0000-0000DF000000}"/>
    <cellStyle name="Normal 12 4 2" xfId="284" xr:uid="{00000000-0005-0000-0000-0000E0000000}"/>
    <cellStyle name="Normal 12 5" xfId="285" xr:uid="{00000000-0005-0000-0000-0000E1000000}"/>
    <cellStyle name="Normal 12 5 2" xfId="286" xr:uid="{00000000-0005-0000-0000-0000E2000000}"/>
    <cellStyle name="Normal 12 6" xfId="287" xr:uid="{00000000-0005-0000-0000-0000E3000000}"/>
    <cellStyle name="Normal 12 6 2" xfId="288" xr:uid="{00000000-0005-0000-0000-0000E4000000}"/>
    <cellStyle name="Normal 12 7" xfId="289" xr:uid="{00000000-0005-0000-0000-0000E5000000}"/>
    <cellStyle name="Normal 13" xfId="290" xr:uid="{00000000-0005-0000-0000-0000E6000000}"/>
    <cellStyle name="Normal 14" xfId="291" xr:uid="{00000000-0005-0000-0000-0000E7000000}"/>
    <cellStyle name="Normal 14 2" xfId="292" xr:uid="{00000000-0005-0000-0000-0000E8000000}"/>
    <cellStyle name="Normal 15" xfId="293" xr:uid="{00000000-0005-0000-0000-0000E9000000}"/>
    <cellStyle name="Normal 15 2" xfId="294" xr:uid="{00000000-0005-0000-0000-0000EA000000}"/>
    <cellStyle name="Normal 16" xfId="295" xr:uid="{00000000-0005-0000-0000-0000EB000000}"/>
    <cellStyle name="Normal 16 2" xfId="296" xr:uid="{00000000-0005-0000-0000-0000EC000000}"/>
    <cellStyle name="Normal 17" xfId="297" xr:uid="{00000000-0005-0000-0000-0000ED000000}"/>
    <cellStyle name="Normal 18" xfId="298" xr:uid="{00000000-0005-0000-0000-0000EE000000}"/>
    <cellStyle name="Normal 19" xfId="325" xr:uid="{00000000-0005-0000-0000-0000EF000000}"/>
    <cellStyle name="Normal 2" xfId="71" xr:uid="{00000000-0005-0000-0000-0000F0000000}"/>
    <cellStyle name="Normal 2 2" xfId="45" xr:uid="{00000000-0005-0000-0000-0000F1000000}"/>
    <cellStyle name="Normal 2 2 2" xfId="53" xr:uid="{00000000-0005-0000-0000-0000F2000000}"/>
    <cellStyle name="Normal 2 2 2 2" xfId="78" xr:uid="{00000000-0005-0000-0000-0000F3000000}"/>
    <cellStyle name="Normal 2 2 2 3" xfId="165" xr:uid="{00000000-0005-0000-0000-0000F4000000}"/>
    <cellStyle name="Normal 2 2 3" xfId="67" xr:uid="{00000000-0005-0000-0000-0000F5000000}"/>
    <cellStyle name="Normal 2 2 3 2" xfId="157" xr:uid="{00000000-0005-0000-0000-0000F6000000}"/>
    <cellStyle name="Normal 2 3" xfId="64" xr:uid="{00000000-0005-0000-0000-0000F7000000}"/>
    <cellStyle name="Normal 2 3 2" xfId="160" xr:uid="{00000000-0005-0000-0000-0000F8000000}"/>
    <cellStyle name="Normal 2 4" xfId="162" xr:uid="{00000000-0005-0000-0000-0000F9000000}"/>
    <cellStyle name="Normal 20" xfId="328" xr:uid="{00000000-0005-0000-0000-0000FA000000}"/>
    <cellStyle name="Normal 20 2" xfId="336" xr:uid="{00000000-0005-0000-0000-0000FB000000}"/>
    <cellStyle name="Normal 3" xfId="47" xr:uid="{00000000-0005-0000-0000-0000FC000000}"/>
    <cellStyle name="Normal 3 10" xfId="123" xr:uid="{00000000-0005-0000-0000-0000FD000000}"/>
    <cellStyle name="Normal 3 11" xfId="299" xr:uid="{00000000-0005-0000-0000-0000FE000000}"/>
    <cellStyle name="Normal 3 2" xfId="83" xr:uid="{00000000-0005-0000-0000-0000FF000000}"/>
    <cellStyle name="Normal 3 2 2" xfId="124" xr:uid="{00000000-0005-0000-0000-000000010000}"/>
    <cellStyle name="Normal 3 2 2 2" xfId="125" xr:uid="{00000000-0005-0000-0000-000001010000}"/>
    <cellStyle name="Normal 3 2 2 3" xfId="126" xr:uid="{00000000-0005-0000-0000-000002010000}"/>
    <cellStyle name="Normal 3 2 2 4" xfId="127" xr:uid="{00000000-0005-0000-0000-000003010000}"/>
    <cellStyle name="Normal 3 2 2 5" xfId="128" xr:uid="{00000000-0005-0000-0000-000004010000}"/>
    <cellStyle name="Normal 3 2 2 6" xfId="166" xr:uid="{00000000-0005-0000-0000-000005010000}"/>
    <cellStyle name="Normal 3 2 3" xfId="129" xr:uid="{00000000-0005-0000-0000-000006010000}"/>
    <cellStyle name="Normal 3 2 4" xfId="130" xr:uid="{00000000-0005-0000-0000-000007010000}"/>
    <cellStyle name="Normal 3 2 5" xfId="131" xr:uid="{00000000-0005-0000-0000-000008010000}"/>
    <cellStyle name="Normal 3 2 6" xfId="132" xr:uid="{00000000-0005-0000-0000-000009010000}"/>
    <cellStyle name="Normal 3 2 7" xfId="133" xr:uid="{00000000-0005-0000-0000-00000A010000}"/>
    <cellStyle name="Normal 3 2 8" xfId="134" xr:uid="{00000000-0005-0000-0000-00000B010000}"/>
    <cellStyle name="Normal 3 2 9" xfId="163" xr:uid="{00000000-0005-0000-0000-00000C010000}"/>
    <cellStyle name="Normal 3 3" xfId="135" xr:uid="{00000000-0005-0000-0000-00000D010000}"/>
    <cellStyle name="Normal 3 3 2" xfId="167" xr:uid="{00000000-0005-0000-0000-00000E010000}"/>
    <cellStyle name="Normal 3 3 3" xfId="164" xr:uid="{00000000-0005-0000-0000-00000F010000}"/>
    <cellStyle name="Normal 3 3 4" xfId="300" xr:uid="{00000000-0005-0000-0000-000010010000}"/>
    <cellStyle name="Normal 3 4" xfId="136" xr:uid="{00000000-0005-0000-0000-000011010000}"/>
    <cellStyle name="Normal 3 4 2" xfId="301" xr:uid="{00000000-0005-0000-0000-000012010000}"/>
    <cellStyle name="Normal 3 4 3" xfId="302" xr:uid="{00000000-0005-0000-0000-000013010000}"/>
    <cellStyle name="Normal 3 4 4" xfId="303" xr:uid="{00000000-0005-0000-0000-000014010000}"/>
    <cellStyle name="Normal 3 5" xfId="137" xr:uid="{00000000-0005-0000-0000-000015010000}"/>
    <cellStyle name="Normal 3 6" xfId="138" xr:uid="{00000000-0005-0000-0000-000016010000}"/>
    <cellStyle name="Normal 3 7" xfId="139" xr:uid="{00000000-0005-0000-0000-000017010000}"/>
    <cellStyle name="Normal 3 8" xfId="140" xr:uid="{00000000-0005-0000-0000-000018010000}"/>
    <cellStyle name="Normal 3 9" xfId="141" xr:uid="{00000000-0005-0000-0000-000019010000}"/>
    <cellStyle name="Normal 4" xfId="48" xr:uid="{00000000-0005-0000-0000-00001A010000}"/>
    <cellStyle name="Normal 4 2" xfId="142" xr:uid="{00000000-0005-0000-0000-00001B010000}"/>
    <cellStyle name="Normal 4 3" xfId="143" xr:uid="{00000000-0005-0000-0000-00001C010000}"/>
    <cellStyle name="Normal 4 4" xfId="144" xr:uid="{00000000-0005-0000-0000-00001D010000}"/>
    <cellStyle name="Normal 4 5" xfId="145" xr:uid="{00000000-0005-0000-0000-00001E010000}"/>
    <cellStyle name="Normal 4 6" xfId="304" xr:uid="{00000000-0005-0000-0000-00001F010000}"/>
    <cellStyle name="Normal 5" xfId="49" xr:uid="{00000000-0005-0000-0000-000020010000}"/>
    <cellStyle name="Normal 5 3" xfId="326" xr:uid="{00000000-0005-0000-0000-000021010000}"/>
    <cellStyle name="Normal 6" xfId="50" xr:uid="{00000000-0005-0000-0000-000022010000}"/>
    <cellStyle name="Normal 6 2" xfId="161" xr:uid="{00000000-0005-0000-0000-000023010000}"/>
    <cellStyle name="Normal 7" xfId="52" xr:uid="{00000000-0005-0000-0000-000024010000}"/>
    <cellStyle name="Normal 8" xfId="58" xr:uid="{00000000-0005-0000-0000-000025010000}"/>
    <cellStyle name="Normal 9" xfId="62" xr:uid="{00000000-0005-0000-0000-000026010000}"/>
    <cellStyle name="Note" xfId="18" builtinId="10" customBuiltin="1"/>
    <cellStyle name="Note 2" xfId="75" xr:uid="{00000000-0005-0000-0000-000028010000}"/>
    <cellStyle name="Note 3" xfId="305" xr:uid="{00000000-0005-0000-0000-000029010000}"/>
    <cellStyle name="Note 3 2" xfId="306" xr:uid="{00000000-0005-0000-0000-00002A010000}"/>
    <cellStyle name="Note 3 2 2" xfId="307" xr:uid="{00000000-0005-0000-0000-00002B010000}"/>
    <cellStyle name="Note 3 3" xfId="308" xr:uid="{00000000-0005-0000-0000-00002C010000}"/>
    <cellStyle name="Note 3 3 2" xfId="309" xr:uid="{00000000-0005-0000-0000-00002D010000}"/>
    <cellStyle name="Note 3 4" xfId="310" xr:uid="{00000000-0005-0000-0000-00002E010000}"/>
    <cellStyle name="Note 4" xfId="311" xr:uid="{00000000-0005-0000-0000-00002F010000}"/>
    <cellStyle name="Output" xfId="14" builtinId="21" customBuiltin="1"/>
    <cellStyle name="Output 2" xfId="146" xr:uid="{00000000-0005-0000-0000-000031010000}"/>
    <cellStyle name="Outputs" xfId="344" xr:uid="{610071CC-8AEC-4103-84D5-710BA9EB2D2F}"/>
    <cellStyle name="Percent" xfId="2" builtinId="5"/>
    <cellStyle name="Percent 10" xfId="312" xr:uid="{00000000-0005-0000-0000-000033010000}"/>
    <cellStyle name="Percent 10 2" xfId="313" xr:uid="{00000000-0005-0000-0000-000034010000}"/>
    <cellStyle name="Percent 11" xfId="314" xr:uid="{00000000-0005-0000-0000-000035010000}"/>
    <cellStyle name="Percent 2" xfId="46" xr:uid="{00000000-0005-0000-0000-000036010000}"/>
    <cellStyle name="Percent 2 2" xfId="51" xr:uid="{00000000-0005-0000-0000-000037010000}"/>
    <cellStyle name="Percent 2 2 2" xfId="151" xr:uid="{00000000-0005-0000-0000-000038010000}"/>
    <cellStyle name="Percent 2 3" xfId="66" xr:uid="{00000000-0005-0000-0000-000039010000}"/>
    <cellStyle name="Percent 2 3 2" xfId="156" xr:uid="{00000000-0005-0000-0000-00003A010000}"/>
    <cellStyle name="Percent 2 4" xfId="77" xr:uid="{00000000-0005-0000-0000-00003B010000}"/>
    <cellStyle name="Percent 2 5" xfId="81" xr:uid="{00000000-0005-0000-0000-00003C010000}"/>
    <cellStyle name="Percent 2 6" xfId="169" xr:uid="{00000000-0005-0000-0000-00003D010000}"/>
    <cellStyle name="Percent 3" xfId="59" xr:uid="{00000000-0005-0000-0000-00003E010000}"/>
    <cellStyle name="Percent 4" xfId="65" xr:uid="{00000000-0005-0000-0000-00003F010000}"/>
    <cellStyle name="Percent 4 2" xfId="155" xr:uid="{00000000-0005-0000-0000-000040010000}"/>
    <cellStyle name="Percent 5" xfId="72" xr:uid="{00000000-0005-0000-0000-000041010000}"/>
    <cellStyle name="Percent 6" xfId="315" xr:uid="{00000000-0005-0000-0000-000042010000}"/>
    <cellStyle name="Percent 7" xfId="316" xr:uid="{00000000-0005-0000-0000-000043010000}"/>
    <cellStyle name="Percent 7 2" xfId="317" xr:uid="{00000000-0005-0000-0000-000044010000}"/>
    <cellStyle name="Percent 7 2 2" xfId="318" xr:uid="{00000000-0005-0000-0000-000045010000}"/>
    <cellStyle name="Percent 7 3" xfId="319" xr:uid="{00000000-0005-0000-0000-000046010000}"/>
    <cellStyle name="Percent 7 4" xfId="320" xr:uid="{00000000-0005-0000-0000-000047010000}"/>
    <cellStyle name="Percent 8" xfId="321" xr:uid="{00000000-0005-0000-0000-000048010000}"/>
    <cellStyle name="Percent 8 2" xfId="322" xr:uid="{00000000-0005-0000-0000-000049010000}"/>
    <cellStyle name="Percent 9" xfId="323" xr:uid="{00000000-0005-0000-0000-00004A010000}"/>
    <cellStyle name="Percent 9 2" xfId="324" xr:uid="{00000000-0005-0000-0000-00004B010000}"/>
    <cellStyle name="Title 2" xfId="147" xr:uid="{00000000-0005-0000-0000-00004C010000}"/>
    <cellStyle name="Title 3" xfId="327" xr:uid="{00000000-0005-0000-0000-00004D010000}"/>
    <cellStyle name="Total" xfId="20" builtinId="25" customBuiltin="1"/>
    <cellStyle name="Total 2" xfId="148" xr:uid="{00000000-0005-0000-0000-00004F010000}"/>
    <cellStyle name="Total 3" xfId="335" xr:uid="{00000000-0005-0000-0000-000050010000}"/>
    <cellStyle name="Warning Text" xfId="17" builtinId="11" customBuiltin="1"/>
    <cellStyle name="Warning Text 2" xfId="149" xr:uid="{00000000-0005-0000-0000-000052010000}"/>
  </cellStyles>
  <dxfs count="2">
    <dxf>
      <font>
        <color theme="0"/>
      </font>
      <fill>
        <patternFill>
          <bgColor theme="0"/>
        </patternFill>
      </fill>
      <border>
        <left/>
        <right/>
        <top/>
        <bottom/>
      </border>
    </dxf>
    <dxf>
      <font>
        <color theme="0"/>
      </font>
      <fill>
        <patternFill>
          <bgColor theme="0"/>
        </patternFill>
      </fill>
      <border>
        <left/>
        <right/>
        <top/>
        <bottom/>
      </border>
    </dxf>
  </dxfs>
  <tableStyles count="0" defaultTableStyle="TableStyleMedium2" defaultPivotStyle="PivotStyleLight16"/>
  <colors>
    <mruColors>
      <color rgb="FFBFB9B9"/>
      <color rgb="FF64696F"/>
      <color rgb="FFA1ABB2"/>
      <color rgb="FFEE3524"/>
      <color rgb="FF3C393C"/>
      <color rgb="FF89AF5B"/>
      <color rgb="FFA71C0D"/>
      <color rgb="FFF8B1AA"/>
      <color rgb="FF0058A4"/>
      <color rgb="FFF05D7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2.xml"/></Relationships>
</file>

<file path=xl/charts/_rels/chart9.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10.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1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5449162699416973E-2"/>
          <c:y val="0.1329147603432364"/>
          <c:w val="0.88635799315261454"/>
          <c:h val="0.78206190560344546"/>
        </c:manualLayout>
      </c:layout>
      <c:barChart>
        <c:barDir val="col"/>
        <c:grouping val="stacked"/>
        <c:varyColors val="0"/>
        <c:ser>
          <c:idx val="1"/>
          <c:order val="0"/>
          <c:tx>
            <c:strRef>
              <c:f>SiteE!$U$3</c:f>
              <c:strCache>
                <c:ptCount val="1"/>
                <c:pt idx="0">
                  <c:v>Heating</c:v>
                </c:pt>
              </c:strCache>
            </c:strRef>
          </c:tx>
          <c:spPr>
            <a:solidFill>
              <a:srgbClr val="EE3524"/>
            </a:solidFill>
          </c:spPr>
          <c:invertIfNegative val="0"/>
          <c:cat>
            <c:strRef>
              <c:f>SiteE!Case_Names</c:f>
              <c:strCache>
                <c:ptCount val="1"/>
                <c:pt idx="0">
                  <c:v> Proposed Design </c:v>
                </c:pt>
              </c:strCache>
            </c:strRef>
          </c:cat>
          <c:val>
            <c:numRef>
              <c:f>SiteE!E_01</c:f>
              <c:numCache>
                <c:formatCode>_(* #,##0_);_(* \(#,##0\);_(* "-"??_);_(@_)</c:formatCode>
                <c:ptCount val="1"/>
                <c:pt idx="0">
                  <c:v>38337.231999999996</c:v>
                </c:pt>
              </c:numCache>
            </c:numRef>
          </c:val>
          <c:extLst>
            <c:ext xmlns:c16="http://schemas.microsoft.com/office/drawing/2014/chart" uri="{C3380CC4-5D6E-409C-BE32-E72D297353CC}">
              <c16:uniqueId val="{00000000-0696-4059-9CA3-ECA31CA0C6F4}"/>
            </c:ext>
          </c:extLst>
        </c:ser>
        <c:ser>
          <c:idx val="2"/>
          <c:order val="1"/>
          <c:tx>
            <c:strRef>
              <c:f>SiteE!$V$3</c:f>
              <c:strCache>
                <c:ptCount val="1"/>
                <c:pt idx="0">
                  <c:v>Cooling</c:v>
                </c:pt>
              </c:strCache>
            </c:strRef>
          </c:tx>
          <c:spPr>
            <a:solidFill>
              <a:srgbClr val="00B4ED"/>
            </a:solidFill>
            <a:ln>
              <a:noFill/>
            </a:ln>
          </c:spPr>
          <c:invertIfNegative val="0"/>
          <c:cat>
            <c:strRef>
              <c:f>SiteE!Case_Names</c:f>
              <c:strCache>
                <c:ptCount val="1"/>
                <c:pt idx="0">
                  <c:v> Proposed Design </c:v>
                </c:pt>
              </c:strCache>
            </c:strRef>
          </c:cat>
          <c:val>
            <c:numRef>
              <c:f>SiteE!E_02</c:f>
              <c:numCache>
                <c:formatCode>_(* #,##0_);_(* \(#,##0\);_(* "-"??_);_(@_)</c:formatCode>
                <c:ptCount val="1"/>
                <c:pt idx="0">
                  <c:v>142882.61800000002</c:v>
                </c:pt>
              </c:numCache>
            </c:numRef>
          </c:val>
          <c:extLst>
            <c:ext xmlns:c16="http://schemas.microsoft.com/office/drawing/2014/chart" uri="{C3380CC4-5D6E-409C-BE32-E72D297353CC}">
              <c16:uniqueId val="{00000001-0696-4059-9CA3-ECA31CA0C6F4}"/>
            </c:ext>
          </c:extLst>
        </c:ser>
        <c:ser>
          <c:idx val="10"/>
          <c:order val="2"/>
          <c:tx>
            <c:strRef>
              <c:f>SiteE!$W$3</c:f>
              <c:strCache>
                <c:ptCount val="1"/>
                <c:pt idx="0">
                  <c:v>Lighting</c:v>
                </c:pt>
              </c:strCache>
            </c:strRef>
          </c:tx>
          <c:spPr>
            <a:solidFill>
              <a:srgbClr val="FFD334"/>
            </a:solidFill>
          </c:spPr>
          <c:invertIfNegative val="0"/>
          <c:cat>
            <c:strRef>
              <c:f>SiteE!Case_Names</c:f>
              <c:strCache>
                <c:ptCount val="1"/>
                <c:pt idx="0">
                  <c:v> Proposed Design </c:v>
                </c:pt>
              </c:strCache>
            </c:strRef>
          </c:cat>
          <c:val>
            <c:numRef>
              <c:f>SiteE!E_03</c:f>
              <c:numCache>
                <c:formatCode>_(* #,##0_);_(* \(#,##0\);_(* "-"??_);_(@_)</c:formatCode>
                <c:ptCount val="1"/>
                <c:pt idx="0">
                  <c:v>153372.81200000001</c:v>
                </c:pt>
              </c:numCache>
            </c:numRef>
          </c:val>
          <c:extLst>
            <c:ext xmlns:c16="http://schemas.microsoft.com/office/drawing/2014/chart" uri="{C3380CC4-5D6E-409C-BE32-E72D297353CC}">
              <c16:uniqueId val="{00000002-0696-4059-9CA3-ECA31CA0C6F4}"/>
            </c:ext>
          </c:extLst>
        </c:ser>
        <c:ser>
          <c:idx val="3"/>
          <c:order val="4"/>
          <c:tx>
            <c:strRef>
              <c:f>SiteE!$Y$3</c:f>
              <c:strCache>
                <c:ptCount val="1"/>
                <c:pt idx="0">
                  <c:v>Equipment</c:v>
                </c:pt>
              </c:strCache>
            </c:strRef>
          </c:tx>
          <c:spPr>
            <a:solidFill>
              <a:srgbClr val="E4E1DC"/>
            </a:solidFill>
          </c:spPr>
          <c:invertIfNegative val="0"/>
          <c:cat>
            <c:strRef>
              <c:f>SiteE!Case_Names</c:f>
              <c:strCache>
                <c:ptCount val="1"/>
                <c:pt idx="0">
                  <c:v> Proposed Design </c:v>
                </c:pt>
              </c:strCache>
            </c:strRef>
          </c:cat>
          <c:val>
            <c:numRef>
              <c:f>SiteE!E_05</c:f>
              <c:numCache>
                <c:formatCode>_(* #,##0_);_(* \(#,##0\);_(* "-"??_);_(@_)</c:formatCode>
                <c:ptCount val="1"/>
                <c:pt idx="0">
                  <c:v>180081.948</c:v>
                </c:pt>
              </c:numCache>
            </c:numRef>
          </c:val>
          <c:extLst>
            <c:ext xmlns:c16="http://schemas.microsoft.com/office/drawing/2014/chart" uri="{C3380CC4-5D6E-409C-BE32-E72D297353CC}">
              <c16:uniqueId val="{00000004-0696-4059-9CA3-ECA31CA0C6F4}"/>
            </c:ext>
          </c:extLst>
        </c:ser>
        <c:ser>
          <c:idx val="4"/>
          <c:order val="6"/>
          <c:tx>
            <c:strRef>
              <c:f>SiteE!$AA$3</c:f>
              <c:strCache>
                <c:ptCount val="1"/>
                <c:pt idx="0">
                  <c:v>Fans</c:v>
                </c:pt>
              </c:strCache>
            </c:strRef>
          </c:tx>
          <c:spPr>
            <a:solidFill>
              <a:srgbClr val="322110"/>
            </a:solidFill>
          </c:spPr>
          <c:invertIfNegative val="0"/>
          <c:cat>
            <c:strRef>
              <c:f>SiteE!Case_Names</c:f>
              <c:strCache>
                <c:ptCount val="1"/>
                <c:pt idx="0">
                  <c:v> Proposed Design </c:v>
                </c:pt>
              </c:strCache>
            </c:strRef>
          </c:cat>
          <c:val>
            <c:numRef>
              <c:f>SiteE!E_07</c:f>
              <c:numCache>
                <c:formatCode>_(* #,##0_);_(* \(#,##0\);_(* "-"??_);_(@_)</c:formatCode>
                <c:ptCount val="1"/>
                <c:pt idx="0">
                  <c:v>174795.90700000001</c:v>
                </c:pt>
              </c:numCache>
            </c:numRef>
          </c:val>
          <c:extLst>
            <c:ext xmlns:c16="http://schemas.microsoft.com/office/drawing/2014/chart" uri="{C3380CC4-5D6E-409C-BE32-E72D297353CC}">
              <c16:uniqueId val="{00000006-0696-4059-9CA3-ECA31CA0C6F4}"/>
            </c:ext>
          </c:extLst>
        </c:ser>
        <c:dLbls>
          <c:showLegendKey val="0"/>
          <c:showVal val="0"/>
          <c:showCatName val="0"/>
          <c:showSerName val="0"/>
          <c:showPercent val="0"/>
          <c:showBubbleSize val="0"/>
        </c:dLbls>
        <c:gapWidth val="150"/>
        <c:overlap val="100"/>
        <c:axId val="453735448"/>
        <c:axId val="453733880"/>
        <c:extLst>
          <c:ext xmlns:c15="http://schemas.microsoft.com/office/drawing/2012/chart" uri="{02D57815-91ED-43cb-92C2-25804820EDAC}">
            <c15:filteredBarSeries>
              <c15:ser>
                <c:idx val="0"/>
                <c:order val="3"/>
                <c:tx>
                  <c:strRef>
                    <c:extLst>
                      <c:ext uri="{02D57815-91ED-43cb-92C2-25804820EDAC}">
                        <c15:formulaRef>
                          <c15:sqref>SiteE!$X$3</c15:sqref>
                        </c15:formulaRef>
                      </c:ext>
                    </c:extLst>
                    <c:strCache>
                      <c:ptCount val="1"/>
                      <c:pt idx="0">
                        <c:v>Exterior Lighting</c:v>
                      </c:pt>
                    </c:strCache>
                  </c:strRef>
                </c:tx>
                <c:spPr>
                  <a:solidFill>
                    <a:srgbClr val="F9A01B"/>
                  </a:solidFill>
                </c:spPr>
                <c:invertIfNegative val="0"/>
                <c:cat>
                  <c:strRef>
                    <c:extLst>
                      <c:ext uri="{02D57815-91ED-43cb-92C2-25804820EDAC}">
                        <c15:formulaRef>
                          <c15:sqref>SiteE!Case_Names</c15:sqref>
                        </c15:formulaRef>
                      </c:ext>
                    </c:extLst>
                    <c:strCache>
                      <c:ptCount val="1"/>
                      <c:pt idx="0">
                        <c:v> Proposed Design </c:v>
                      </c:pt>
                    </c:strCache>
                  </c:strRef>
                </c:cat>
                <c:val>
                  <c:numRef>
                    <c:extLst>
                      <c:ext uri="{02D57815-91ED-43cb-92C2-25804820EDAC}">
                        <c15:formulaRef>
                          <c15:sqref>SiteE!E_04</c15:sqref>
                        </c15:formulaRef>
                      </c:ext>
                    </c:extLst>
                    <c:numCache>
                      <c:formatCode>_(* #,##0_);_(* \(#,##0\);_(* "-"??_);_(@_)</c:formatCode>
                      <c:ptCount val="1"/>
                      <c:pt idx="0">
                        <c:v>0</c:v>
                      </c:pt>
                    </c:numCache>
                  </c:numRef>
                </c:val>
                <c:extLst>
                  <c:ext xmlns:c16="http://schemas.microsoft.com/office/drawing/2014/chart" uri="{C3380CC4-5D6E-409C-BE32-E72D297353CC}">
                    <c16:uniqueId val="{00000003-0696-4059-9CA3-ECA31CA0C6F4}"/>
                  </c:ext>
                </c:extLst>
              </c15:ser>
            </c15:filteredBarSeries>
            <c15:filteredBarSeries>
              <c15:ser>
                <c:idx val="9"/>
                <c:order val="5"/>
                <c:tx>
                  <c:strRef>
                    <c:extLst>
                      <c:ext xmlns:c15="http://schemas.microsoft.com/office/drawing/2012/chart" uri="{02D57815-91ED-43cb-92C2-25804820EDAC}">
                        <c15:formulaRef>
                          <c15:sqref>SiteE!$Z$3</c15:sqref>
                        </c15:formulaRef>
                      </c:ext>
                    </c:extLst>
                    <c:strCache>
                      <c:ptCount val="1"/>
                      <c:pt idx="0">
                        <c:v>Exterior Equipment</c:v>
                      </c:pt>
                    </c:strCache>
                  </c:strRef>
                </c:tx>
                <c:spPr>
                  <a:solidFill>
                    <a:srgbClr val="D4CFCB"/>
                  </a:solidFill>
                </c:spPr>
                <c:invertIfNegative val="0"/>
                <c:cat>
                  <c:strRef>
                    <c:extLst>
                      <c:ext xmlns:c15="http://schemas.microsoft.com/office/drawing/2012/chart" uri="{02D57815-91ED-43cb-92C2-25804820EDAC}">
                        <c15:formulaRef>
                          <c15:sqref>SiteE!Case_Names</c15:sqref>
                        </c15:formulaRef>
                      </c:ext>
                    </c:extLst>
                    <c:strCache>
                      <c:ptCount val="1"/>
                      <c:pt idx="0">
                        <c:v> Proposed Design </c:v>
                      </c:pt>
                    </c:strCache>
                  </c:strRef>
                </c:cat>
                <c:val>
                  <c:numRef>
                    <c:extLst>
                      <c:ext xmlns:c15="http://schemas.microsoft.com/office/drawing/2012/chart" uri="{02D57815-91ED-43cb-92C2-25804820EDAC}">
                        <c15:formulaRef>
                          <c15:sqref>SiteE!E_06</c15:sqref>
                        </c15:formulaRef>
                      </c:ext>
                    </c:extLst>
                    <c:numCache>
                      <c:formatCode>_(* #,##0_);_(* \(#,##0\);_(* "-"??_);_(@_)</c:formatCode>
                      <c:ptCount val="1"/>
                      <c:pt idx="0">
                        <c:v>0</c:v>
                      </c:pt>
                    </c:numCache>
                  </c:numRef>
                </c:val>
                <c:extLst>
                  <c:ext xmlns:c16="http://schemas.microsoft.com/office/drawing/2014/chart" uri="{C3380CC4-5D6E-409C-BE32-E72D297353CC}">
                    <c16:uniqueId val="{00000005-0696-4059-9CA3-ECA31CA0C6F4}"/>
                  </c:ext>
                </c:extLst>
              </c15:ser>
            </c15:filteredBarSeries>
            <c15:filteredBarSeries>
              <c15:ser>
                <c:idx val="5"/>
                <c:order val="7"/>
                <c:tx>
                  <c:strRef>
                    <c:extLst>
                      <c:ext xmlns:c15="http://schemas.microsoft.com/office/drawing/2012/chart" uri="{02D57815-91ED-43cb-92C2-25804820EDAC}">
                        <c15:formulaRef>
                          <c15:sqref>SiteE!$AB$3</c15:sqref>
                        </c15:formulaRef>
                      </c:ext>
                    </c:extLst>
                    <c:strCache>
                      <c:ptCount val="1"/>
                      <c:pt idx="0">
                        <c:v>Pumps</c:v>
                      </c:pt>
                    </c:strCache>
                  </c:strRef>
                </c:tx>
                <c:spPr>
                  <a:solidFill>
                    <a:srgbClr val="4E4540"/>
                  </a:solidFill>
                </c:spPr>
                <c:invertIfNegative val="0"/>
                <c:cat>
                  <c:strRef>
                    <c:extLst>
                      <c:ext xmlns:c15="http://schemas.microsoft.com/office/drawing/2012/chart" uri="{02D57815-91ED-43cb-92C2-25804820EDAC}">
                        <c15:formulaRef>
                          <c15:sqref>SiteE!Case_Names</c15:sqref>
                        </c15:formulaRef>
                      </c:ext>
                    </c:extLst>
                    <c:strCache>
                      <c:ptCount val="1"/>
                      <c:pt idx="0">
                        <c:v> Proposed Design </c:v>
                      </c:pt>
                    </c:strCache>
                  </c:strRef>
                </c:cat>
                <c:val>
                  <c:numRef>
                    <c:extLst>
                      <c:ext xmlns:c15="http://schemas.microsoft.com/office/drawing/2012/chart" uri="{02D57815-91ED-43cb-92C2-25804820EDAC}">
                        <c15:formulaRef>
                          <c15:sqref>SiteE!E_08</c15:sqref>
                        </c15:formulaRef>
                      </c:ext>
                    </c:extLst>
                    <c:numCache>
                      <c:formatCode>_(* #,##0_);_(* \(#,##0\);_(* "-"??_);_(@_)</c:formatCode>
                      <c:ptCount val="1"/>
                      <c:pt idx="0">
                        <c:v>0</c:v>
                      </c:pt>
                    </c:numCache>
                  </c:numRef>
                </c:val>
                <c:extLst>
                  <c:ext xmlns:c16="http://schemas.microsoft.com/office/drawing/2014/chart" uri="{C3380CC4-5D6E-409C-BE32-E72D297353CC}">
                    <c16:uniqueId val="{00000007-0696-4059-9CA3-ECA31CA0C6F4}"/>
                  </c:ext>
                </c:extLst>
              </c15:ser>
            </c15:filteredBarSeries>
            <c15:filteredBarSeries>
              <c15:ser>
                <c:idx val="8"/>
                <c:order val="8"/>
                <c:tx>
                  <c:strRef>
                    <c:extLst>
                      <c:ext xmlns:c15="http://schemas.microsoft.com/office/drawing/2012/chart" uri="{02D57815-91ED-43cb-92C2-25804820EDAC}">
                        <c15:formulaRef>
                          <c15:sqref>SiteE!$AC$3</c15:sqref>
                        </c15:formulaRef>
                      </c:ext>
                    </c:extLst>
                    <c:strCache>
                      <c:ptCount val="1"/>
                      <c:pt idx="0">
                        <c:v>Heat Rejection</c:v>
                      </c:pt>
                    </c:strCache>
                  </c:strRef>
                </c:tx>
                <c:spPr>
                  <a:solidFill>
                    <a:srgbClr val="F05D77"/>
                  </a:solidFill>
                </c:spPr>
                <c:invertIfNegative val="0"/>
                <c:cat>
                  <c:strRef>
                    <c:extLst>
                      <c:ext xmlns:c15="http://schemas.microsoft.com/office/drawing/2012/chart" uri="{02D57815-91ED-43cb-92C2-25804820EDAC}">
                        <c15:formulaRef>
                          <c15:sqref>SiteE!Case_Names</c15:sqref>
                        </c15:formulaRef>
                      </c:ext>
                    </c:extLst>
                    <c:strCache>
                      <c:ptCount val="1"/>
                      <c:pt idx="0">
                        <c:v> Proposed Design </c:v>
                      </c:pt>
                    </c:strCache>
                  </c:strRef>
                </c:cat>
                <c:val>
                  <c:numRef>
                    <c:extLst>
                      <c:ext xmlns:c15="http://schemas.microsoft.com/office/drawing/2012/chart" uri="{02D57815-91ED-43cb-92C2-25804820EDAC}">
                        <c15:formulaRef>
                          <c15:sqref>SiteE!E_09</c15:sqref>
                        </c15:formulaRef>
                      </c:ext>
                    </c:extLst>
                    <c:numCache>
                      <c:formatCode>_(* #,##0_);_(* \(#,##0\);_(* "-"??_);_(@_)</c:formatCode>
                      <c:ptCount val="1"/>
                      <c:pt idx="0">
                        <c:v>0</c:v>
                      </c:pt>
                    </c:numCache>
                  </c:numRef>
                </c:val>
                <c:extLst>
                  <c:ext xmlns:c16="http://schemas.microsoft.com/office/drawing/2014/chart" uri="{C3380CC4-5D6E-409C-BE32-E72D297353CC}">
                    <c16:uniqueId val="{00000008-0696-4059-9CA3-ECA31CA0C6F4}"/>
                  </c:ext>
                </c:extLst>
              </c15:ser>
            </c15:filteredBarSeries>
            <c15:filteredBarSeries>
              <c15:ser>
                <c:idx val="7"/>
                <c:order val="9"/>
                <c:tx>
                  <c:strRef>
                    <c:extLst xmlns:c15="http://schemas.microsoft.com/office/drawing/2012/chart">
                      <c:ext xmlns:c15="http://schemas.microsoft.com/office/drawing/2012/chart" uri="{02D57815-91ED-43cb-92C2-25804820EDAC}">
                        <c15:formulaRef>
                          <c15:sqref>SiteE!$AD$3</c15:sqref>
                        </c15:formulaRef>
                      </c:ext>
                    </c:extLst>
                    <c:strCache>
                      <c:ptCount val="1"/>
                      <c:pt idx="0">
                        <c:v>Humidification</c:v>
                      </c:pt>
                    </c:strCache>
                  </c:strRef>
                </c:tx>
                <c:spPr>
                  <a:solidFill>
                    <a:srgbClr val="0058A4"/>
                  </a:solidFill>
                </c:spPr>
                <c:invertIfNegative val="0"/>
                <c:cat>
                  <c:strRef>
                    <c:extLst xmlns:c15="http://schemas.microsoft.com/office/drawing/2012/chart">
                      <c:ext xmlns:c15="http://schemas.microsoft.com/office/drawing/2012/chart" uri="{02D57815-91ED-43cb-92C2-25804820EDAC}">
                        <c15:formulaRef>
                          <c15:sqref>SiteE!Case_Names</c15:sqref>
                        </c15:formulaRef>
                      </c:ext>
                    </c:extLst>
                    <c:strCache>
                      <c:ptCount val="1"/>
                      <c:pt idx="0">
                        <c:v> Proposed Design </c:v>
                      </c:pt>
                    </c:strCache>
                  </c:strRef>
                </c:cat>
                <c:val>
                  <c:numRef>
                    <c:extLst xmlns:c15="http://schemas.microsoft.com/office/drawing/2012/chart">
                      <c:ext xmlns:c15="http://schemas.microsoft.com/office/drawing/2012/chart" uri="{02D57815-91ED-43cb-92C2-25804820EDAC}">
                        <c15:formulaRef>
                          <c15:sqref>SiteE!E_10</c15:sqref>
                        </c15:formulaRef>
                      </c:ext>
                    </c:extLst>
                    <c:numCache>
                      <c:formatCode>_(* #,##0_);_(* \(#,##0\);_(* "-"??_);_(@_)</c:formatCode>
                      <c:ptCount val="1"/>
                      <c:pt idx="0">
                        <c:v>0</c:v>
                      </c:pt>
                    </c:numCache>
                  </c:numRef>
                </c:val>
                <c:extLst xmlns:c15="http://schemas.microsoft.com/office/drawing/2012/chart">
                  <c:ext xmlns:c16="http://schemas.microsoft.com/office/drawing/2014/chart" uri="{C3380CC4-5D6E-409C-BE32-E72D297353CC}">
                    <c16:uniqueId val="{00000009-0696-4059-9CA3-ECA31CA0C6F4}"/>
                  </c:ext>
                </c:extLst>
              </c15:ser>
            </c15:filteredBarSeries>
            <c15:filteredBarSeries>
              <c15:ser>
                <c:idx val="19"/>
                <c:order val="10"/>
                <c:tx>
                  <c:strRef>
                    <c:extLst xmlns:c15="http://schemas.microsoft.com/office/drawing/2012/chart">
                      <c:ext xmlns:c15="http://schemas.microsoft.com/office/drawing/2012/chart" uri="{02D57815-91ED-43cb-92C2-25804820EDAC}">
                        <c15:formulaRef>
                          <c15:sqref>SiteE!$AE$3</c15:sqref>
                        </c15:formulaRef>
                      </c:ext>
                    </c:extLst>
                    <c:strCache>
                      <c:ptCount val="1"/>
                      <c:pt idx="0">
                        <c:v>Heat Recovery</c:v>
                      </c:pt>
                    </c:strCache>
                  </c:strRef>
                </c:tx>
                <c:spPr>
                  <a:solidFill>
                    <a:srgbClr val="F8B1AA"/>
                  </a:solidFill>
                </c:spPr>
                <c:invertIfNegative val="0"/>
                <c:cat>
                  <c:strRef>
                    <c:extLst xmlns:c15="http://schemas.microsoft.com/office/drawing/2012/chart">
                      <c:ext xmlns:c15="http://schemas.microsoft.com/office/drawing/2012/chart" uri="{02D57815-91ED-43cb-92C2-25804820EDAC}">
                        <c15:formulaRef>
                          <c15:sqref>SiteE!Case_Names</c15:sqref>
                        </c15:formulaRef>
                      </c:ext>
                    </c:extLst>
                    <c:strCache>
                      <c:ptCount val="1"/>
                      <c:pt idx="0">
                        <c:v> Proposed Design </c:v>
                      </c:pt>
                    </c:strCache>
                  </c:strRef>
                </c:cat>
                <c:val>
                  <c:numRef>
                    <c:extLst xmlns:c15="http://schemas.microsoft.com/office/drawing/2012/chart">
                      <c:ext xmlns:c15="http://schemas.microsoft.com/office/drawing/2012/chart" uri="{02D57815-91ED-43cb-92C2-25804820EDAC}">
                        <c15:formulaRef>
                          <c15:sqref>SiteE!E_11</c15:sqref>
                        </c15:formulaRef>
                      </c:ext>
                    </c:extLst>
                    <c:numCache>
                      <c:formatCode>_(* #,##0_);_(* \(#,##0\);_(* "-"??_);_(@_)</c:formatCode>
                      <c:ptCount val="1"/>
                      <c:pt idx="0">
                        <c:v>0</c:v>
                      </c:pt>
                    </c:numCache>
                  </c:numRef>
                </c:val>
                <c:extLst xmlns:c15="http://schemas.microsoft.com/office/drawing/2012/chart">
                  <c:ext xmlns:c16="http://schemas.microsoft.com/office/drawing/2014/chart" uri="{C3380CC4-5D6E-409C-BE32-E72D297353CC}">
                    <c16:uniqueId val="{0000000A-0696-4059-9CA3-ECA31CA0C6F4}"/>
                  </c:ext>
                </c:extLst>
              </c15:ser>
            </c15:filteredBarSeries>
            <c15:filteredBarSeries>
              <c15:ser>
                <c:idx val="14"/>
                <c:order val="11"/>
                <c:tx>
                  <c:strRef>
                    <c:extLst>
                      <c:ext xmlns:c15="http://schemas.microsoft.com/office/drawing/2012/chart" uri="{02D57815-91ED-43cb-92C2-25804820EDAC}">
                        <c15:formulaRef>
                          <c15:sqref>SiteE!$AF$3</c15:sqref>
                        </c15:formulaRef>
                      </c:ext>
                    </c:extLst>
                    <c:strCache>
                      <c:ptCount val="1"/>
                      <c:pt idx="0">
                        <c:v>Water Systems</c:v>
                      </c:pt>
                    </c:strCache>
                  </c:strRef>
                </c:tx>
                <c:spPr>
                  <a:solidFill>
                    <a:srgbClr val="A71C0D"/>
                  </a:solidFill>
                </c:spPr>
                <c:invertIfNegative val="0"/>
                <c:cat>
                  <c:strRef>
                    <c:extLst>
                      <c:ext xmlns:c15="http://schemas.microsoft.com/office/drawing/2012/chart" uri="{02D57815-91ED-43cb-92C2-25804820EDAC}">
                        <c15:formulaRef>
                          <c15:sqref>SiteE!Case_Names</c15:sqref>
                        </c15:formulaRef>
                      </c:ext>
                    </c:extLst>
                    <c:strCache>
                      <c:ptCount val="1"/>
                      <c:pt idx="0">
                        <c:v> Proposed Design </c:v>
                      </c:pt>
                    </c:strCache>
                  </c:strRef>
                </c:cat>
                <c:val>
                  <c:numRef>
                    <c:extLst>
                      <c:ext xmlns:c15="http://schemas.microsoft.com/office/drawing/2012/chart" uri="{02D57815-91ED-43cb-92C2-25804820EDAC}">
                        <c15:formulaRef>
                          <c15:sqref>SiteE!E_12</c15:sqref>
                        </c15:formulaRef>
                      </c:ext>
                    </c:extLst>
                    <c:numCache>
                      <c:formatCode>_(* #,##0_);_(* \(#,##0\);_(* "-"??_);_(@_)</c:formatCode>
                      <c:ptCount val="1"/>
                      <c:pt idx="0">
                        <c:v>0</c:v>
                      </c:pt>
                    </c:numCache>
                  </c:numRef>
                </c:val>
                <c:extLst xmlns:c15="http://schemas.microsoft.com/office/drawing/2012/chart">
                  <c:ext xmlns:c16="http://schemas.microsoft.com/office/drawing/2014/chart" uri="{C3380CC4-5D6E-409C-BE32-E72D297353CC}">
                    <c16:uniqueId val="{0000000B-0696-4059-9CA3-ECA31CA0C6F4}"/>
                  </c:ext>
                </c:extLst>
              </c15:ser>
            </c15:filteredBarSeries>
            <c15:filteredBarSeries>
              <c15:ser>
                <c:idx val="15"/>
                <c:order val="12"/>
                <c:tx>
                  <c:strRef>
                    <c:extLst xmlns:c15="http://schemas.microsoft.com/office/drawing/2012/chart">
                      <c:ext xmlns:c15="http://schemas.microsoft.com/office/drawing/2012/chart" uri="{02D57815-91ED-43cb-92C2-25804820EDAC}">
                        <c15:formulaRef>
                          <c15:sqref>SiteE!$AG$3</c15:sqref>
                        </c15:formulaRef>
                      </c:ext>
                    </c:extLst>
                    <c:strCache>
                      <c:ptCount val="1"/>
                      <c:pt idx="0">
                        <c:v>Refrigeration</c:v>
                      </c:pt>
                    </c:strCache>
                  </c:strRef>
                </c:tx>
                <c:spPr>
                  <a:solidFill>
                    <a:srgbClr val="A1ABB2"/>
                  </a:solidFill>
                </c:spPr>
                <c:invertIfNegative val="0"/>
                <c:cat>
                  <c:strRef>
                    <c:extLst xmlns:c15="http://schemas.microsoft.com/office/drawing/2012/chart">
                      <c:ext xmlns:c15="http://schemas.microsoft.com/office/drawing/2012/chart" uri="{02D57815-91ED-43cb-92C2-25804820EDAC}">
                        <c15:formulaRef>
                          <c15:sqref>SiteE!Case_Names</c15:sqref>
                        </c15:formulaRef>
                      </c:ext>
                    </c:extLst>
                    <c:strCache>
                      <c:ptCount val="1"/>
                      <c:pt idx="0">
                        <c:v> Proposed Design </c:v>
                      </c:pt>
                    </c:strCache>
                  </c:strRef>
                </c:cat>
                <c:val>
                  <c:numRef>
                    <c:extLst xmlns:c15="http://schemas.microsoft.com/office/drawing/2012/chart">
                      <c:ext xmlns:c15="http://schemas.microsoft.com/office/drawing/2012/chart" uri="{02D57815-91ED-43cb-92C2-25804820EDAC}">
                        <c15:formulaRef>
                          <c15:sqref>SiteE!E_13</c15:sqref>
                        </c15:formulaRef>
                      </c:ext>
                    </c:extLst>
                    <c:numCache>
                      <c:formatCode>_(* #,##0_);_(* \(#,##0\);_(* "-"??_);_(@_)</c:formatCode>
                      <c:ptCount val="1"/>
                      <c:pt idx="0">
                        <c:v>0</c:v>
                      </c:pt>
                    </c:numCache>
                  </c:numRef>
                </c:val>
                <c:extLst xmlns:c15="http://schemas.microsoft.com/office/drawing/2012/chart">
                  <c:ext xmlns:c16="http://schemas.microsoft.com/office/drawing/2014/chart" uri="{C3380CC4-5D6E-409C-BE32-E72D297353CC}">
                    <c16:uniqueId val="{0000000C-0696-4059-9CA3-ECA31CA0C6F4}"/>
                  </c:ext>
                </c:extLst>
              </c15:ser>
            </c15:filteredBarSeries>
            <c15:filteredBarSeries>
              <c15:ser>
                <c:idx val="11"/>
                <c:order val="13"/>
                <c:tx>
                  <c:strRef>
                    <c:extLst xmlns:c15="http://schemas.microsoft.com/office/drawing/2012/chart">
                      <c:ext xmlns:c15="http://schemas.microsoft.com/office/drawing/2012/chart" uri="{02D57815-91ED-43cb-92C2-25804820EDAC}">
                        <c15:formulaRef>
                          <c15:sqref>SiteE!$AH$3</c15:sqref>
                        </c15:formulaRef>
                      </c:ext>
                    </c:extLst>
                    <c:strCache>
                      <c:ptCount val="1"/>
                      <c:pt idx="0">
                        <c:v>Generators</c:v>
                      </c:pt>
                    </c:strCache>
                  </c:strRef>
                </c:tx>
                <c:spPr>
                  <a:solidFill>
                    <a:srgbClr val="A1ABB2"/>
                  </a:solidFill>
                </c:spPr>
                <c:invertIfNegative val="0"/>
                <c:cat>
                  <c:strRef>
                    <c:extLst xmlns:c15="http://schemas.microsoft.com/office/drawing/2012/chart">
                      <c:ext xmlns:c15="http://schemas.microsoft.com/office/drawing/2012/chart" uri="{02D57815-91ED-43cb-92C2-25804820EDAC}">
                        <c15:formulaRef>
                          <c15:sqref>SiteE!Case_Names</c15:sqref>
                        </c15:formulaRef>
                      </c:ext>
                    </c:extLst>
                    <c:strCache>
                      <c:ptCount val="1"/>
                      <c:pt idx="0">
                        <c:v> Proposed Design </c:v>
                      </c:pt>
                    </c:strCache>
                  </c:strRef>
                </c:cat>
                <c:val>
                  <c:numRef>
                    <c:extLst xmlns:c15="http://schemas.microsoft.com/office/drawing/2012/chart">
                      <c:ext xmlns:c15="http://schemas.microsoft.com/office/drawing/2012/chart" uri="{02D57815-91ED-43cb-92C2-25804820EDAC}">
                        <c15:formulaRef>
                          <c15:sqref>SiteE!E_14</c15:sqref>
                        </c15:formulaRef>
                      </c:ext>
                    </c:extLst>
                    <c:numCache>
                      <c:formatCode>_(* #,##0_);_(* \(#,##0\);_(* "-"??_);_(@_)</c:formatCode>
                      <c:ptCount val="1"/>
                      <c:pt idx="0">
                        <c:v>0</c:v>
                      </c:pt>
                    </c:numCache>
                  </c:numRef>
                </c:val>
                <c:extLst xmlns:c15="http://schemas.microsoft.com/office/drawing/2012/chart">
                  <c:ext xmlns:c16="http://schemas.microsoft.com/office/drawing/2014/chart" uri="{C3380CC4-5D6E-409C-BE32-E72D297353CC}">
                    <c16:uniqueId val="{0000000F-0696-4059-9CA3-ECA31CA0C6F4}"/>
                  </c:ext>
                </c:extLst>
              </c15:ser>
            </c15:filteredBarSeries>
            <c15:filteredBarSeries>
              <c15:ser>
                <c:idx val="16"/>
                <c:order val="14"/>
                <c:tx>
                  <c:strRef>
                    <c:extLst xmlns:c15="http://schemas.microsoft.com/office/drawing/2012/chart">
                      <c:ext xmlns:c15="http://schemas.microsoft.com/office/drawing/2012/chart" uri="{02D57815-91ED-43cb-92C2-25804820EDAC}">
                        <c15:formulaRef>
                          <c15:sqref>SiteE!$AI$3</c15:sqref>
                        </c15:formulaRef>
                      </c:ext>
                    </c:extLst>
                    <c:strCache>
                      <c:ptCount val="1"/>
                      <c:pt idx="0">
                        <c:v> </c:v>
                      </c:pt>
                    </c:strCache>
                  </c:strRef>
                </c:tx>
                <c:invertIfNegative val="0"/>
                <c:cat>
                  <c:strRef>
                    <c:extLst xmlns:c15="http://schemas.microsoft.com/office/drawing/2012/chart">
                      <c:ext xmlns:c15="http://schemas.microsoft.com/office/drawing/2012/chart" uri="{02D57815-91ED-43cb-92C2-25804820EDAC}">
                        <c15:formulaRef>
                          <c15:sqref>SiteE!Case_Names</c15:sqref>
                        </c15:formulaRef>
                      </c:ext>
                    </c:extLst>
                    <c:strCache>
                      <c:ptCount val="1"/>
                      <c:pt idx="0">
                        <c:v> Proposed Design </c:v>
                      </c:pt>
                    </c:strCache>
                  </c:strRef>
                </c:cat>
                <c:val>
                  <c:numRef>
                    <c:extLst xmlns:c15="http://schemas.microsoft.com/office/drawing/2012/chart">
                      <c:ext xmlns:c15="http://schemas.microsoft.com/office/drawing/2012/chart" uri="{02D57815-91ED-43cb-92C2-25804820EDAC}">
                        <c15:formulaRef>
                          <c15:sqref>SiteE!E_15</c15:sqref>
                        </c15:formulaRef>
                      </c:ext>
                    </c:extLst>
                    <c:numCache>
                      <c:formatCode>_(* #,##0_);_(* \(#,##0\);_(* "-"??_);_(@_)</c:formatCode>
                      <c:ptCount val="1"/>
                      <c:pt idx="0">
                        <c:v>0</c:v>
                      </c:pt>
                    </c:numCache>
                  </c:numRef>
                </c:val>
                <c:extLst xmlns:c15="http://schemas.microsoft.com/office/drawing/2012/chart">
                  <c:ext xmlns:c16="http://schemas.microsoft.com/office/drawing/2014/chart" uri="{C3380CC4-5D6E-409C-BE32-E72D297353CC}">
                    <c16:uniqueId val="{00000012-0696-4059-9CA3-ECA31CA0C6F4}"/>
                  </c:ext>
                </c:extLst>
              </c15:ser>
            </c15:filteredBarSeries>
            <c15:filteredBarSeries>
              <c15:ser>
                <c:idx val="18"/>
                <c:order val="15"/>
                <c:tx>
                  <c:strRef>
                    <c:extLst xmlns:c15="http://schemas.microsoft.com/office/drawing/2012/chart">
                      <c:ext xmlns:c15="http://schemas.microsoft.com/office/drawing/2012/chart" uri="{02D57815-91ED-43cb-92C2-25804820EDAC}">
                        <c15:formulaRef>
                          <c15:sqref>SiteE!$AJ$3</c15:sqref>
                        </c15:formulaRef>
                      </c:ext>
                    </c:extLst>
                    <c:strCache>
                      <c:ptCount val="1"/>
                      <c:pt idx="0">
                        <c:v> </c:v>
                      </c:pt>
                    </c:strCache>
                  </c:strRef>
                </c:tx>
                <c:spPr>
                  <a:solidFill>
                    <a:srgbClr val="3C393C"/>
                  </a:solidFill>
                </c:spPr>
                <c:invertIfNegative val="0"/>
                <c:cat>
                  <c:strRef>
                    <c:extLst xmlns:c15="http://schemas.microsoft.com/office/drawing/2012/chart">
                      <c:ext xmlns:c15="http://schemas.microsoft.com/office/drawing/2012/chart" uri="{02D57815-91ED-43cb-92C2-25804820EDAC}">
                        <c15:formulaRef>
                          <c15:sqref>SiteE!Case_Names</c15:sqref>
                        </c15:formulaRef>
                      </c:ext>
                    </c:extLst>
                    <c:strCache>
                      <c:ptCount val="1"/>
                      <c:pt idx="0">
                        <c:v> Proposed Design </c:v>
                      </c:pt>
                    </c:strCache>
                  </c:strRef>
                </c:cat>
                <c:val>
                  <c:numRef>
                    <c:extLst xmlns:c15="http://schemas.microsoft.com/office/drawing/2012/chart">
                      <c:ext xmlns:c15="http://schemas.microsoft.com/office/drawing/2012/chart" uri="{02D57815-91ED-43cb-92C2-25804820EDAC}">
                        <c15:formulaRef>
                          <c15:sqref>SiteE!E_16</c15:sqref>
                        </c15:formulaRef>
                      </c:ext>
                    </c:extLst>
                    <c:numCache>
                      <c:formatCode>_(* #,##0_);_(* \(#,##0\);_(* "-"??_);_(@_)</c:formatCode>
                      <c:ptCount val="1"/>
                      <c:pt idx="0">
                        <c:v>0</c:v>
                      </c:pt>
                    </c:numCache>
                  </c:numRef>
                </c:val>
                <c:extLst xmlns:c15="http://schemas.microsoft.com/office/drawing/2012/chart">
                  <c:ext xmlns:c16="http://schemas.microsoft.com/office/drawing/2014/chart" uri="{C3380CC4-5D6E-409C-BE32-E72D297353CC}">
                    <c16:uniqueId val="{00000013-0696-4059-9CA3-ECA31CA0C6F4}"/>
                  </c:ext>
                </c:extLst>
              </c15:ser>
            </c15:filteredBarSeries>
            <c15:filteredBarSeries>
              <c15:ser>
                <c:idx val="17"/>
                <c:order val="16"/>
                <c:tx>
                  <c:strRef>
                    <c:extLst xmlns:c15="http://schemas.microsoft.com/office/drawing/2012/chart">
                      <c:ext xmlns:c15="http://schemas.microsoft.com/office/drawing/2012/chart" uri="{02D57815-91ED-43cb-92C2-25804820EDAC}">
                        <c15:formulaRef>
                          <c15:sqref>SiteE!$AK$3</c15:sqref>
                        </c15:formulaRef>
                      </c:ext>
                    </c:extLst>
                    <c:strCache>
                      <c:ptCount val="1"/>
                      <c:pt idx="0">
                        <c:v>Uncertainty</c:v>
                      </c:pt>
                    </c:strCache>
                  </c:strRef>
                </c:tx>
                <c:spPr>
                  <a:noFill/>
                  <a:ln w="12700">
                    <a:solidFill>
                      <a:schemeClr val="bg1">
                        <a:lumMod val="50000"/>
                      </a:schemeClr>
                    </a:solidFill>
                    <a:prstDash val="dash"/>
                  </a:ln>
                </c:spPr>
                <c:invertIfNegative val="0"/>
                <c:cat>
                  <c:strRef>
                    <c:extLst xmlns:c15="http://schemas.microsoft.com/office/drawing/2012/chart">
                      <c:ext xmlns:c15="http://schemas.microsoft.com/office/drawing/2012/chart" uri="{02D57815-91ED-43cb-92C2-25804820EDAC}">
                        <c15:formulaRef>
                          <c15:sqref>SiteE!Case_Names</c15:sqref>
                        </c15:formulaRef>
                      </c:ext>
                    </c:extLst>
                    <c:strCache>
                      <c:ptCount val="1"/>
                      <c:pt idx="0">
                        <c:v> Proposed Design </c:v>
                      </c:pt>
                    </c:strCache>
                  </c:strRef>
                </c:cat>
                <c:val>
                  <c:numRef>
                    <c:extLst xmlns:c15="http://schemas.microsoft.com/office/drawing/2012/chart">
                      <c:ext xmlns:c15="http://schemas.microsoft.com/office/drawing/2012/chart" uri="{02D57815-91ED-43cb-92C2-25804820EDAC}">
                        <c15:formulaRef>
                          <c15:sqref>SiteE!E_17</c15:sqref>
                        </c15:formulaRef>
                      </c:ext>
                    </c:extLst>
                    <c:numCache>
                      <c:formatCode>_(* #,##0_);_(* \(#,##0\);_(* "-"??_);_(@_)</c:formatCode>
                      <c:ptCount val="1"/>
                      <c:pt idx="0">
                        <c:v>0</c:v>
                      </c:pt>
                    </c:numCache>
                  </c:numRef>
                </c:val>
                <c:extLst xmlns:c15="http://schemas.microsoft.com/office/drawing/2012/chart">
                  <c:ext xmlns:c16="http://schemas.microsoft.com/office/drawing/2014/chart" uri="{C3380CC4-5D6E-409C-BE32-E72D297353CC}">
                    <c16:uniqueId val="{00000014-0696-4059-9CA3-ECA31CA0C6F4}"/>
                  </c:ext>
                </c:extLst>
              </c15:ser>
            </c15:filteredBarSeries>
            <c15:filteredBarSeries>
              <c15:ser>
                <c:idx val="6"/>
                <c:order val="17"/>
                <c:tx>
                  <c:strRef>
                    <c:extLst xmlns:c15="http://schemas.microsoft.com/office/drawing/2012/chart">
                      <c:ext xmlns:c15="http://schemas.microsoft.com/office/drawing/2012/chart" uri="{02D57815-91ED-43cb-92C2-25804820EDAC}">
                        <c15:formulaRef>
                          <c15:sqref>SiteE!$AL$3</c15:sqref>
                        </c15:formulaRef>
                      </c:ext>
                    </c:extLst>
                    <c:strCache>
                      <c:ptCount val="1"/>
                      <c:pt idx="0">
                        <c:v>PV</c:v>
                      </c:pt>
                    </c:strCache>
                  </c:strRef>
                </c:tx>
                <c:invertIfNegative val="0"/>
                <c:cat>
                  <c:strRef>
                    <c:extLst xmlns:c15="http://schemas.microsoft.com/office/drawing/2012/chart">
                      <c:ext xmlns:c15="http://schemas.microsoft.com/office/drawing/2012/chart" uri="{02D57815-91ED-43cb-92C2-25804820EDAC}">
                        <c15:formulaRef>
                          <c15:sqref>SiteE!Case_Names</c15:sqref>
                        </c15:formulaRef>
                      </c:ext>
                    </c:extLst>
                    <c:strCache>
                      <c:ptCount val="1"/>
                      <c:pt idx="0">
                        <c:v> Proposed Design </c:v>
                      </c:pt>
                    </c:strCache>
                  </c:strRef>
                </c:cat>
                <c:val>
                  <c:numRef>
                    <c:extLst xmlns:c15="http://schemas.microsoft.com/office/drawing/2012/chart">
                      <c:ext xmlns:c15="http://schemas.microsoft.com/office/drawing/2012/chart" uri="{02D57815-91ED-43cb-92C2-25804820EDAC}">
                        <c15:formulaRef>
                          <c15:sqref>SiteE!E_18</c15:sqref>
                        </c15:formulaRef>
                      </c:ext>
                    </c:extLst>
                    <c:numCache>
                      <c:formatCode>_(* #,##0_);_(* \(#,##0\);_(* "-"??_);_(@_)</c:formatCode>
                      <c:ptCount val="1"/>
                      <c:pt idx="0">
                        <c:v>0</c:v>
                      </c:pt>
                    </c:numCache>
                  </c:numRef>
                </c:val>
                <c:extLst xmlns:c15="http://schemas.microsoft.com/office/drawing/2012/chart">
                  <c:ext xmlns:c16="http://schemas.microsoft.com/office/drawing/2014/chart" uri="{C3380CC4-5D6E-409C-BE32-E72D297353CC}">
                    <c16:uniqueId val="{00000015-0696-4059-9CA3-ECA31CA0C6F4}"/>
                  </c:ext>
                </c:extLst>
              </c15:ser>
            </c15:filteredBarSeries>
            <c15:filteredBarSeries>
              <c15:ser>
                <c:idx val="12"/>
                <c:order val="18"/>
                <c:tx>
                  <c:strRef>
                    <c:extLst xmlns:c15="http://schemas.microsoft.com/office/drawing/2012/chart">
                      <c:ext xmlns:c15="http://schemas.microsoft.com/office/drawing/2012/chart" uri="{02D57815-91ED-43cb-92C2-25804820EDAC}">
                        <c15:formulaRef>
                          <c15:sqref>SiteE!$AM$3</c15:sqref>
                        </c15:formulaRef>
                      </c:ext>
                    </c:extLst>
                    <c:strCache>
                      <c:ptCount val="1"/>
                      <c:pt idx="0">
                        <c:v>Wind</c:v>
                      </c:pt>
                    </c:strCache>
                  </c:strRef>
                </c:tx>
                <c:invertIfNegative val="0"/>
                <c:cat>
                  <c:strRef>
                    <c:extLst xmlns:c15="http://schemas.microsoft.com/office/drawing/2012/chart">
                      <c:ext xmlns:c15="http://schemas.microsoft.com/office/drawing/2012/chart" uri="{02D57815-91ED-43cb-92C2-25804820EDAC}">
                        <c15:formulaRef>
                          <c15:sqref>SiteE!Case_Names</c15:sqref>
                        </c15:formulaRef>
                      </c:ext>
                    </c:extLst>
                    <c:strCache>
                      <c:ptCount val="1"/>
                      <c:pt idx="0">
                        <c:v> Proposed Design </c:v>
                      </c:pt>
                    </c:strCache>
                  </c:strRef>
                </c:cat>
                <c:val>
                  <c:numRef>
                    <c:extLst xmlns:c15="http://schemas.microsoft.com/office/drawing/2012/chart">
                      <c:ext xmlns:c15="http://schemas.microsoft.com/office/drawing/2012/chart" uri="{02D57815-91ED-43cb-92C2-25804820EDAC}">
                        <c15:formulaRef>
                          <c15:sqref>SiteE!E_19</c15:sqref>
                        </c15:formulaRef>
                      </c:ext>
                    </c:extLst>
                    <c:numCache>
                      <c:formatCode>_(* #,##0_);_(* \(#,##0\);_(* "-"??_);_(@_)</c:formatCode>
                      <c:ptCount val="1"/>
                      <c:pt idx="0">
                        <c:v>0</c:v>
                      </c:pt>
                    </c:numCache>
                  </c:numRef>
                </c:val>
                <c:extLst xmlns:c15="http://schemas.microsoft.com/office/drawing/2012/chart">
                  <c:ext xmlns:c16="http://schemas.microsoft.com/office/drawing/2014/chart" uri="{C3380CC4-5D6E-409C-BE32-E72D297353CC}">
                    <c16:uniqueId val="{00000016-0696-4059-9CA3-ECA31CA0C6F4}"/>
                  </c:ext>
                </c:extLst>
              </c15:ser>
            </c15:filteredBarSeries>
            <c15:filteredBarSeries>
              <c15:ser>
                <c:idx val="13"/>
                <c:order val="19"/>
                <c:tx>
                  <c:strRef>
                    <c:extLst>
                      <c:ext xmlns:c15="http://schemas.microsoft.com/office/drawing/2012/chart" uri="{02D57815-91ED-43cb-92C2-25804820EDAC}">
                        <c15:formulaRef>
                          <c15:sqref>SiteE!$AN$3</c15:sqref>
                        </c15:formulaRef>
                      </c:ext>
                    </c:extLst>
                    <c:strCache>
                      <c:ptCount val="1"/>
                      <c:pt idx="0">
                        <c:v>SHW</c:v>
                      </c:pt>
                    </c:strCache>
                  </c:strRef>
                </c:tx>
                <c:invertIfNegative val="0"/>
                <c:cat>
                  <c:strRef>
                    <c:extLst>
                      <c:ext xmlns:c15="http://schemas.microsoft.com/office/drawing/2012/chart" uri="{02D57815-91ED-43cb-92C2-25804820EDAC}">
                        <c15:formulaRef>
                          <c15:sqref>SiteE!Case_Names</c15:sqref>
                        </c15:formulaRef>
                      </c:ext>
                    </c:extLst>
                    <c:strCache>
                      <c:ptCount val="1"/>
                      <c:pt idx="0">
                        <c:v> Proposed Design </c:v>
                      </c:pt>
                    </c:strCache>
                  </c:strRef>
                </c:cat>
                <c:val>
                  <c:numRef>
                    <c:extLst>
                      <c:ext xmlns:c15="http://schemas.microsoft.com/office/drawing/2012/chart" uri="{02D57815-91ED-43cb-92C2-25804820EDAC}">
                        <c15:formulaRef>
                          <c15:sqref>SiteE!E_20</c15:sqref>
                        </c15:formulaRef>
                      </c:ext>
                    </c:extLst>
                    <c:numCache>
                      <c:formatCode>_(* #,##0_);_(* \(#,##0\);_(* "-"??_);_(@_)</c:formatCode>
                      <c:ptCount val="1"/>
                      <c:pt idx="0">
                        <c:v>0</c:v>
                      </c:pt>
                    </c:numCache>
                  </c:numRef>
                </c:val>
                <c:extLst xmlns:c15="http://schemas.microsoft.com/office/drawing/2012/chart">
                  <c:ext xmlns:c16="http://schemas.microsoft.com/office/drawing/2014/chart" uri="{C3380CC4-5D6E-409C-BE32-E72D297353CC}">
                    <c16:uniqueId val="{00000017-0696-4059-9CA3-ECA31CA0C6F4}"/>
                  </c:ext>
                </c:extLst>
              </c15:ser>
            </c15:filteredBarSeries>
          </c:ext>
        </c:extLst>
      </c:barChart>
      <c:scatterChart>
        <c:scatterStyle val="lineMarker"/>
        <c:varyColors val="0"/>
        <c:dLbls>
          <c:showLegendKey val="0"/>
          <c:showVal val="0"/>
          <c:showCatName val="0"/>
          <c:showSerName val="0"/>
          <c:showPercent val="0"/>
          <c:showBubbleSize val="0"/>
        </c:dLbls>
        <c:axId val="408371823"/>
        <c:axId val="408372319"/>
        <c:extLst>
          <c:ext xmlns:c15="http://schemas.microsoft.com/office/drawing/2012/chart" uri="{02D57815-91ED-43cb-92C2-25804820EDAC}">
            <c15:filteredScatterSeries>
              <c15:ser>
                <c:idx val="20"/>
                <c:order val="20"/>
                <c:tx>
                  <c:strRef>
                    <c:extLst>
                      <c:ext uri="{02D57815-91ED-43cb-92C2-25804820EDAC}">
                        <c15:formulaRef>
                          <c15:sqref>SiteE!$AS$6</c15:sqref>
                        </c15:formulaRef>
                      </c:ext>
                    </c:extLst>
                    <c:strCache>
                      <c:ptCount val="1"/>
                      <c:pt idx="0">
                        <c:v>#VALUE!</c:v>
                      </c:pt>
                    </c:strCache>
                  </c:strRef>
                </c:tx>
                <c:spPr>
                  <a:ln>
                    <a:solidFill>
                      <a:srgbClr val="C00000"/>
                    </a:solidFill>
                    <a:prstDash val="sysDash"/>
                  </a:ln>
                </c:spPr>
                <c:marker>
                  <c:symbol val="none"/>
                </c:marker>
                <c:dLbls>
                  <c:dLbl>
                    <c:idx val="0"/>
                    <c:delete val="1"/>
                    <c:extLst>
                      <c:ext uri="{CE6537A1-D6FC-4f65-9D91-7224C49458BB}"/>
                      <c:ext xmlns:c16="http://schemas.microsoft.com/office/drawing/2014/chart" uri="{C3380CC4-5D6E-409C-BE32-E72D297353CC}">
                        <c16:uniqueId val="{00000018-0696-4059-9CA3-ECA31CA0C6F4}"/>
                      </c:ext>
                    </c:extLst>
                  </c:dLbl>
                  <c:dLbl>
                    <c:idx val="1"/>
                    <c:spPr>
                      <a:noFill/>
                      <a:ln>
                        <a:noFill/>
                      </a:ln>
                      <a:effectLst/>
                    </c:spPr>
                    <c:txPr>
                      <a:bodyPr wrap="square" lIns="38100" tIns="19050" rIns="38100" bIns="19050" anchor="ctr">
                        <a:spAutoFit/>
                      </a:bodyPr>
                      <a:lstStyle/>
                      <a:p>
                        <a:pPr>
                          <a:defRPr sz="800">
                            <a:latin typeface="Franklin Gothic Book" panose="020B0503020102020204" pitchFamily="34" charset="0"/>
                          </a:defRPr>
                        </a:pPr>
                        <a:endParaRPr lang="en-US"/>
                      </a:p>
                    </c:txPr>
                    <c:dLblPos val="t"/>
                    <c:showLegendKey val="0"/>
                    <c:showVal val="0"/>
                    <c:showCatName val="0"/>
                    <c:showSerName val="1"/>
                    <c:showPercent val="0"/>
                    <c:showBubbleSize val="0"/>
                    <c:extLst>
                      <c:ext uri="{CE6537A1-D6FC-4f65-9D91-7224C49458BB}"/>
                      <c:ext xmlns:c16="http://schemas.microsoft.com/office/drawing/2014/chart" uri="{C3380CC4-5D6E-409C-BE32-E72D297353CC}">
                        <c16:uniqueId val="{00000019-0696-4059-9CA3-ECA31CA0C6F4}"/>
                      </c:ext>
                    </c:extLst>
                  </c:dLbl>
                  <c:spPr>
                    <a:noFill/>
                    <a:ln>
                      <a:noFill/>
                    </a:ln>
                    <a:effectLst/>
                  </c:spPr>
                  <c:showLegendKey val="0"/>
                  <c:showVal val="1"/>
                  <c:showCatName val="0"/>
                  <c:showSerName val="0"/>
                  <c:showPercent val="0"/>
                  <c:showBubbleSize val="0"/>
                  <c:showLeaderLines val="0"/>
                  <c:extLst>
                    <c:ext uri="{CE6537A1-D6FC-4f65-9D91-7224C49458BB}">
                      <c15:showLeaderLines val="1"/>
                    </c:ext>
                  </c:extLst>
                </c:dLbls>
                <c:yVal>
                  <c:numRef>
                    <c:extLst>
                      <c:ext uri="{02D57815-91ED-43cb-92C2-25804820EDAC}">
                        <c15:formulaRef>
                          <c15:sqref>SiteE!$AT$6:$AU$6</c15:sqref>
                        </c15:formulaRef>
                      </c:ext>
                    </c:extLst>
                    <c:numCache>
                      <c:formatCode>_(* #,##0_);_(* \(#,##0\);_(* "-"??_);_(@_)</c:formatCode>
                      <c:ptCount val="2"/>
                      <c:pt idx="0">
                        <c:v>0</c:v>
                      </c:pt>
                      <c:pt idx="1">
                        <c:v>0</c:v>
                      </c:pt>
                    </c:numCache>
                  </c:numRef>
                </c:yVal>
                <c:smooth val="0"/>
                <c:extLst>
                  <c:ext xmlns:c16="http://schemas.microsoft.com/office/drawing/2014/chart" uri="{C3380CC4-5D6E-409C-BE32-E72D297353CC}">
                    <c16:uniqueId val="{0000001A-0696-4059-9CA3-ECA31CA0C6F4}"/>
                  </c:ext>
                </c:extLst>
              </c15:ser>
            </c15:filteredScatterSeries>
            <c15:filteredScatterSeries>
              <c15:ser>
                <c:idx val="21"/>
                <c:order val="21"/>
                <c:tx>
                  <c:strRef>
                    <c:extLst xmlns:c15="http://schemas.microsoft.com/office/drawing/2012/chart">
                      <c:ext xmlns:c15="http://schemas.microsoft.com/office/drawing/2012/chart" uri="{02D57815-91ED-43cb-92C2-25804820EDAC}">
                        <c15:formulaRef>
                          <c15:sqref>SiteE!$AS$7</c15:sqref>
                        </c15:formulaRef>
                      </c:ext>
                    </c:extLst>
                    <c:strCache>
                      <c:ptCount val="1"/>
                      <c:pt idx="0">
                        <c:v>#VALUE!</c:v>
                      </c:pt>
                    </c:strCache>
                  </c:strRef>
                </c:tx>
                <c:spPr>
                  <a:ln>
                    <a:solidFill>
                      <a:schemeClr val="tx2"/>
                    </a:solidFill>
                    <a:prstDash val="sysDash"/>
                  </a:ln>
                </c:spPr>
                <c:marker>
                  <c:symbol val="none"/>
                </c:marker>
                <c:dLbls>
                  <c:dLbl>
                    <c:idx val="0"/>
                    <c:delete val="1"/>
                    <c:extLst xmlns:c15="http://schemas.microsoft.com/office/drawing/2012/chart">
                      <c:ext xmlns:c15="http://schemas.microsoft.com/office/drawing/2012/chart" uri="{CE6537A1-D6FC-4f65-9D91-7224C49458BB}"/>
                      <c:ext xmlns:c16="http://schemas.microsoft.com/office/drawing/2014/chart" uri="{C3380CC4-5D6E-409C-BE32-E72D297353CC}">
                        <c16:uniqueId val="{0000001B-0696-4059-9CA3-ECA31CA0C6F4}"/>
                      </c:ext>
                    </c:extLst>
                  </c:dLbl>
                  <c:dLbl>
                    <c:idx val="1"/>
                    <c:spPr>
                      <a:noFill/>
                      <a:ln>
                        <a:noFill/>
                      </a:ln>
                      <a:effectLst/>
                    </c:spPr>
                    <c:txPr>
                      <a:bodyPr wrap="square" lIns="38100" tIns="19050" rIns="38100" bIns="19050" anchor="ctr">
                        <a:spAutoFit/>
                      </a:bodyPr>
                      <a:lstStyle/>
                      <a:p>
                        <a:pPr>
                          <a:defRPr sz="800">
                            <a:latin typeface="Franklin Gothic Book" panose="020B0503020102020204" pitchFamily="34" charset="0"/>
                          </a:defRPr>
                        </a:pPr>
                        <a:endParaRPr lang="en-US"/>
                      </a:p>
                    </c:txPr>
                    <c:dLblPos val="t"/>
                    <c:showLegendKey val="0"/>
                    <c:showVal val="0"/>
                    <c:showCatName val="0"/>
                    <c:showSerName val="1"/>
                    <c:showPercent val="0"/>
                    <c:showBubbleSize val="0"/>
                    <c:extLst xmlns:c15="http://schemas.microsoft.com/office/drawing/2012/chart">
                      <c:ext xmlns:c16="http://schemas.microsoft.com/office/drawing/2014/chart" uri="{C3380CC4-5D6E-409C-BE32-E72D297353CC}">
                        <c16:uniqueId val="{0000001C-0696-4059-9CA3-ECA31CA0C6F4}"/>
                      </c:ext>
                    </c:extLst>
                  </c:dLbl>
                  <c:spPr>
                    <a:noFill/>
                    <a:ln>
                      <a:noFill/>
                    </a:ln>
                    <a:effectLst/>
                  </c:spPr>
                  <c:dLblPos val="t"/>
                  <c:showLegendKey val="0"/>
                  <c:showVal val="0"/>
                  <c:showCatName val="0"/>
                  <c:showSerName val="1"/>
                  <c:showPercent val="0"/>
                  <c:showBubbleSize val="0"/>
                  <c:showLeaderLines val="0"/>
                  <c:extLst xmlns:c15="http://schemas.microsoft.com/office/drawing/2012/chart">
                    <c:ext xmlns:c15="http://schemas.microsoft.com/office/drawing/2012/chart" uri="{CE6537A1-D6FC-4f65-9D91-7224C49458BB}">
                      <c15:showLeaderLines val="0"/>
                    </c:ext>
                  </c:extLst>
                </c:dLbls>
                <c:yVal>
                  <c:numRef>
                    <c:extLst xmlns:c15="http://schemas.microsoft.com/office/drawing/2012/chart">
                      <c:ext xmlns:c15="http://schemas.microsoft.com/office/drawing/2012/chart" uri="{02D57815-91ED-43cb-92C2-25804820EDAC}">
                        <c15:formulaRef>
                          <c15:sqref>SiteE!$AT$7:$AU$7</c15:sqref>
                        </c15:formulaRef>
                      </c:ext>
                    </c:extLst>
                    <c:numCache>
                      <c:formatCode>_(* #,##0_);_(* \(#,##0\);_(* "-"??_);_(@_)</c:formatCode>
                      <c:ptCount val="2"/>
                      <c:pt idx="0">
                        <c:v>0</c:v>
                      </c:pt>
                      <c:pt idx="1">
                        <c:v>0</c:v>
                      </c:pt>
                    </c:numCache>
                  </c:numRef>
                </c:yVal>
                <c:smooth val="0"/>
                <c:extLst xmlns:c15="http://schemas.microsoft.com/office/drawing/2012/chart">
                  <c:ext xmlns:c16="http://schemas.microsoft.com/office/drawing/2014/chart" uri="{C3380CC4-5D6E-409C-BE32-E72D297353CC}">
                    <c16:uniqueId val="{0000001D-0696-4059-9CA3-ECA31CA0C6F4}"/>
                  </c:ext>
                </c:extLst>
              </c15:ser>
            </c15:filteredScatterSeries>
          </c:ext>
        </c:extLst>
      </c:scatterChart>
      <c:catAx>
        <c:axId val="453735448"/>
        <c:scaling>
          <c:orientation val="minMax"/>
        </c:scaling>
        <c:delete val="0"/>
        <c:axPos val="b"/>
        <c:numFmt formatCode="General" sourceLinked="0"/>
        <c:majorTickMark val="out"/>
        <c:minorTickMark val="none"/>
        <c:tickLblPos val="nextTo"/>
        <c:txPr>
          <a:bodyPr/>
          <a:lstStyle/>
          <a:p>
            <a:pPr>
              <a:defRPr sz="800">
                <a:solidFill>
                  <a:schemeClr val="bg1">
                    <a:lumMod val="50000"/>
                  </a:schemeClr>
                </a:solidFill>
                <a:latin typeface="Franklin Gothic Book" panose="020B0503020102020204" pitchFamily="34" charset="0"/>
                <a:cs typeface="Arial" panose="020B0604020202020204" pitchFamily="34" charset="0"/>
              </a:defRPr>
            </a:pPr>
            <a:endParaRPr lang="en-US"/>
          </a:p>
        </c:txPr>
        <c:crossAx val="453733880"/>
        <c:crosses val="autoZero"/>
        <c:auto val="1"/>
        <c:lblAlgn val="ctr"/>
        <c:lblOffset val="100"/>
        <c:tickMarkSkip val="1"/>
        <c:noMultiLvlLbl val="0"/>
      </c:catAx>
      <c:valAx>
        <c:axId val="453733880"/>
        <c:scaling>
          <c:orientation val="minMax"/>
        </c:scaling>
        <c:delete val="0"/>
        <c:axPos val="l"/>
        <c:majorGridlines>
          <c:spPr>
            <a:ln>
              <a:solidFill>
                <a:schemeClr val="bg1">
                  <a:lumMod val="85000"/>
                </a:schemeClr>
              </a:solidFill>
            </a:ln>
          </c:spPr>
        </c:majorGridlines>
        <c:title>
          <c:tx>
            <c:strRef>
              <c:f>SiteE!$S$5</c:f>
              <c:strCache>
                <c:ptCount val="1"/>
                <c:pt idx="0">
                  <c:v>Energy Use (kBtu)</c:v>
                </c:pt>
              </c:strCache>
            </c:strRef>
          </c:tx>
          <c:overlay val="0"/>
          <c:txPr>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sz="1000" b="1" i="0" u="none" strike="noStrike" kern="1200" baseline="0">
                  <a:solidFill>
                    <a:schemeClr val="bg1">
                      <a:lumMod val="50000"/>
                    </a:schemeClr>
                  </a:solidFill>
                  <a:latin typeface="Franklin Gothic Book" panose="020B0503020102020204" pitchFamily="34" charset="0"/>
                  <a:ea typeface="+mn-ea"/>
                  <a:cs typeface="+mn-cs"/>
                </a:defRPr>
              </a:pPr>
              <a:endParaRPr lang="en-US"/>
            </a:p>
          </c:txPr>
        </c:title>
        <c:numFmt formatCode="#,##0" sourceLinked="0"/>
        <c:majorTickMark val="out"/>
        <c:minorTickMark val="none"/>
        <c:tickLblPos val="nextTo"/>
        <c:spPr>
          <a:ln>
            <a:tailEnd type="triangle"/>
          </a:ln>
        </c:spPr>
        <c:txPr>
          <a:bodyPr/>
          <a:lstStyle/>
          <a:p>
            <a:pPr>
              <a:defRPr sz="800">
                <a:solidFill>
                  <a:schemeClr val="bg1">
                    <a:lumMod val="50000"/>
                  </a:schemeClr>
                </a:solidFill>
                <a:latin typeface="Franklin Gothic Book" panose="020B0503020102020204" pitchFamily="34" charset="0"/>
                <a:cs typeface="Arial" panose="020B0604020202020204" pitchFamily="34" charset="0"/>
              </a:defRPr>
            </a:pPr>
            <a:endParaRPr lang="en-US"/>
          </a:p>
        </c:txPr>
        <c:crossAx val="453735448"/>
        <c:crosses val="autoZero"/>
        <c:crossBetween val="between"/>
      </c:valAx>
      <c:valAx>
        <c:axId val="408372319"/>
        <c:scaling>
          <c:orientation val="minMax"/>
        </c:scaling>
        <c:delete val="1"/>
        <c:axPos val="r"/>
        <c:numFmt formatCode="_(* #,##0_);_(* \(#,##0\);_(* &quot;-&quot;??_);_(@_)" sourceLinked="1"/>
        <c:majorTickMark val="out"/>
        <c:minorTickMark val="none"/>
        <c:tickLblPos val="nextTo"/>
        <c:crossAx val="408371823"/>
        <c:crosses val="max"/>
        <c:crossBetween val="midCat"/>
      </c:valAx>
      <c:valAx>
        <c:axId val="408371823"/>
        <c:scaling>
          <c:orientation val="minMax"/>
          <c:max val="2"/>
          <c:min val="1"/>
        </c:scaling>
        <c:delete val="1"/>
        <c:axPos val="t"/>
        <c:majorTickMark val="out"/>
        <c:minorTickMark val="none"/>
        <c:tickLblPos val="nextTo"/>
        <c:crossAx val="408372319"/>
        <c:crosses val="max"/>
        <c:crossBetween val="midCat"/>
      </c:valAx>
    </c:plotArea>
    <c:legend>
      <c:legendPos val="t"/>
      <c:overlay val="0"/>
      <c:txPr>
        <a:bodyPr/>
        <a:lstStyle/>
        <a:p>
          <a:pPr>
            <a:defRPr sz="800">
              <a:latin typeface="Franklin Gothic Book" panose="020B0503020102020204" pitchFamily="34" charset="0"/>
              <a:cs typeface="Arial" panose="020B0604020202020204" pitchFamily="34" charset="0"/>
            </a:defRPr>
          </a:pPr>
          <a:endParaRPr lang="en-US"/>
        </a:p>
      </c:txPr>
    </c:legend>
    <c:plotVisOnly val="1"/>
    <c:dispBlanksAs val="gap"/>
    <c:showDLblsOverMax val="0"/>
  </c:chart>
  <c:spPr>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stacked"/>
        <c:varyColors val="0"/>
        <c:ser>
          <c:idx val="1"/>
          <c:order val="0"/>
          <c:tx>
            <c:strRef>
              <c:f>SiteE!$U$3</c:f>
              <c:strCache>
                <c:ptCount val="1"/>
                <c:pt idx="0">
                  <c:v>Heating</c:v>
                </c:pt>
              </c:strCache>
            </c:strRef>
          </c:tx>
          <c:spPr>
            <a:solidFill>
              <a:srgbClr val="EE3524"/>
            </a:solidFill>
          </c:spPr>
          <c:invertIfNegative val="0"/>
          <c:cat>
            <c:strRef>
              <c:f>SiteE!Case_Names</c:f>
              <c:strCache>
                <c:ptCount val="1"/>
                <c:pt idx="0">
                  <c:v> Proposed Design </c:v>
                </c:pt>
              </c:strCache>
            </c:strRef>
          </c:cat>
          <c:val>
            <c:numRef>
              <c:f>SiteE!I_01</c:f>
              <c:numCache>
                <c:formatCode>_(* #,##0.0_);_(* \(#,##0.0\);_(* "-"??_);_(@_)</c:formatCode>
                <c:ptCount val="1"/>
                <c:pt idx="0">
                  <c:v>2.8081769704072661</c:v>
                </c:pt>
              </c:numCache>
            </c:numRef>
          </c:val>
          <c:extLst>
            <c:ext xmlns:c16="http://schemas.microsoft.com/office/drawing/2014/chart" uri="{C3380CC4-5D6E-409C-BE32-E72D297353CC}">
              <c16:uniqueId val="{00000000-410F-444C-835E-1179C95E31CF}"/>
            </c:ext>
          </c:extLst>
        </c:ser>
        <c:ser>
          <c:idx val="2"/>
          <c:order val="1"/>
          <c:tx>
            <c:strRef>
              <c:f>SiteE!$V$3</c:f>
              <c:strCache>
                <c:ptCount val="1"/>
                <c:pt idx="0">
                  <c:v>Cooling</c:v>
                </c:pt>
              </c:strCache>
            </c:strRef>
          </c:tx>
          <c:spPr>
            <a:solidFill>
              <a:srgbClr val="00B4ED"/>
            </a:solidFill>
          </c:spPr>
          <c:invertIfNegative val="0"/>
          <c:cat>
            <c:strRef>
              <c:f>SiteE!Case_Names</c:f>
              <c:strCache>
                <c:ptCount val="1"/>
                <c:pt idx="0">
                  <c:v> Proposed Design </c:v>
                </c:pt>
              </c:strCache>
            </c:strRef>
          </c:cat>
          <c:val>
            <c:numRef>
              <c:f>SiteE!I_02</c:f>
              <c:numCache>
                <c:formatCode>_(* #,##0.0_);_(* \(#,##0.0\);_(* "-"??_);_(@_)</c:formatCode>
                <c:ptCount val="1"/>
                <c:pt idx="0">
                  <c:v>10.466057573981836</c:v>
                </c:pt>
              </c:numCache>
            </c:numRef>
          </c:val>
          <c:extLst>
            <c:ext xmlns:c16="http://schemas.microsoft.com/office/drawing/2014/chart" uri="{C3380CC4-5D6E-409C-BE32-E72D297353CC}">
              <c16:uniqueId val="{00000001-410F-444C-835E-1179C95E31CF}"/>
            </c:ext>
          </c:extLst>
        </c:ser>
        <c:ser>
          <c:idx val="10"/>
          <c:order val="2"/>
          <c:tx>
            <c:strRef>
              <c:f>SiteE!$W$3</c:f>
              <c:strCache>
                <c:ptCount val="1"/>
                <c:pt idx="0">
                  <c:v>Lighting</c:v>
                </c:pt>
              </c:strCache>
            </c:strRef>
          </c:tx>
          <c:spPr>
            <a:solidFill>
              <a:srgbClr val="FFD334"/>
            </a:solidFill>
          </c:spPr>
          <c:invertIfNegative val="0"/>
          <c:cat>
            <c:strRef>
              <c:f>SiteE!Case_Names</c:f>
              <c:strCache>
                <c:ptCount val="1"/>
                <c:pt idx="0">
                  <c:v> Proposed Design </c:v>
                </c:pt>
              </c:strCache>
            </c:strRef>
          </c:cat>
          <c:val>
            <c:numRef>
              <c:f>SiteE!I_03</c:f>
              <c:numCache>
                <c:formatCode>_(* #,##0.0_);_(* \(#,##0.0\);_(* "-"??_);_(@_)</c:formatCode>
                <c:ptCount val="1"/>
                <c:pt idx="0">
                  <c:v>11.23445736888368</c:v>
                </c:pt>
              </c:numCache>
            </c:numRef>
          </c:val>
          <c:extLst>
            <c:ext xmlns:c16="http://schemas.microsoft.com/office/drawing/2014/chart" uri="{C3380CC4-5D6E-409C-BE32-E72D297353CC}">
              <c16:uniqueId val="{00000002-410F-444C-835E-1179C95E31CF}"/>
            </c:ext>
          </c:extLst>
        </c:ser>
        <c:ser>
          <c:idx val="3"/>
          <c:order val="4"/>
          <c:tx>
            <c:strRef>
              <c:f>SiteE!$Y$3</c:f>
              <c:strCache>
                <c:ptCount val="1"/>
                <c:pt idx="0">
                  <c:v>Equipment</c:v>
                </c:pt>
              </c:strCache>
            </c:strRef>
          </c:tx>
          <c:spPr>
            <a:solidFill>
              <a:srgbClr val="E4E1DC"/>
            </a:solidFill>
          </c:spPr>
          <c:invertIfNegative val="0"/>
          <c:cat>
            <c:strRef>
              <c:f>SiteE!Case_Names</c:f>
              <c:strCache>
                <c:ptCount val="1"/>
                <c:pt idx="0">
                  <c:v> Proposed Design </c:v>
                </c:pt>
              </c:strCache>
            </c:strRef>
          </c:cat>
          <c:val>
            <c:numRef>
              <c:f>SiteE!I_05</c:f>
              <c:numCache>
                <c:formatCode>_(* #,##0.0_);_(* \(#,##0.0\);_(* "-"??_);_(@_)</c:formatCode>
                <c:ptCount val="1"/>
                <c:pt idx="0">
                  <c:v>13.190883973044244</c:v>
                </c:pt>
              </c:numCache>
            </c:numRef>
          </c:val>
          <c:extLst>
            <c:ext xmlns:c16="http://schemas.microsoft.com/office/drawing/2014/chart" uri="{C3380CC4-5D6E-409C-BE32-E72D297353CC}">
              <c16:uniqueId val="{00000004-410F-444C-835E-1179C95E31CF}"/>
            </c:ext>
          </c:extLst>
        </c:ser>
        <c:ser>
          <c:idx val="4"/>
          <c:order val="6"/>
          <c:tx>
            <c:strRef>
              <c:f>SiteE!$AA$3</c:f>
              <c:strCache>
                <c:ptCount val="1"/>
                <c:pt idx="0">
                  <c:v>Fans</c:v>
                </c:pt>
              </c:strCache>
            </c:strRef>
          </c:tx>
          <c:spPr>
            <a:solidFill>
              <a:srgbClr val="322110"/>
            </a:solidFill>
          </c:spPr>
          <c:invertIfNegative val="0"/>
          <c:cat>
            <c:strRef>
              <c:f>SiteE!Case_Names</c:f>
              <c:strCache>
                <c:ptCount val="1"/>
                <c:pt idx="0">
                  <c:v> Proposed Design </c:v>
                </c:pt>
              </c:strCache>
            </c:strRef>
          </c:cat>
          <c:val>
            <c:numRef>
              <c:f>SiteE!I_07</c:f>
              <c:numCache>
                <c:formatCode>_(* #,##0.0_);_(* \(#,##0.0\);_(* "-"??_);_(@_)</c:formatCode>
                <c:ptCount val="1"/>
                <c:pt idx="0">
                  <c:v>12.803684954585409</c:v>
                </c:pt>
              </c:numCache>
            </c:numRef>
          </c:val>
          <c:extLst>
            <c:ext xmlns:c16="http://schemas.microsoft.com/office/drawing/2014/chart" uri="{C3380CC4-5D6E-409C-BE32-E72D297353CC}">
              <c16:uniqueId val="{00000006-410F-444C-835E-1179C95E31CF}"/>
            </c:ext>
          </c:extLst>
        </c:ser>
        <c:dLbls>
          <c:showLegendKey val="0"/>
          <c:showVal val="0"/>
          <c:showCatName val="0"/>
          <c:showSerName val="0"/>
          <c:showPercent val="0"/>
          <c:showBubbleSize val="0"/>
        </c:dLbls>
        <c:gapWidth val="150"/>
        <c:overlap val="100"/>
        <c:axId val="208880192"/>
        <c:axId val="208882936"/>
        <c:extLst>
          <c:ext xmlns:c15="http://schemas.microsoft.com/office/drawing/2012/chart" uri="{02D57815-91ED-43cb-92C2-25804820EDAC}">
            <c15:filteredBarSeries>
              <c15:ser>
                <c:idx val="0"/>
                <c:order val="3"/>
                <c:tx>
                  <c:strRef>
                    <c:extLst>
                      <c:ext uri="{02D57815-91ED-43cb-92C2-25804820EDAC}">
                        <c15:formulaRef>
                          <c15:sqref>SiteE!$X$3</c15:sqref>
                        </c15:formulaRef>
                      </c:ext>
                    </c:extLst>
                    <c:strCache>
                      <c:ptCount val="1"/>
                      <c:pt idx="0">
                        <c:v>Exterior Lighting</c:v>
                      </c:pt>
                    </c:strCache>
                  </c:strRef>
                </c:tx>
                <c:spPr>
                  <a:solidFill>
                    <a:srgbClr val="F9A01B"/>
                  </a:solidFill>
                </c:spPr>
                <c:invertIfNegative val="0"/>
                <c:cat>
                  <c:strRef>
                    <c:extLst>
                      <c:ext uri="{02D57815-91ED-43cb-92C2-25804820EDAC}">
                        <c15:formulaRef>
                          <c15:sqref>SiteE!Case_Names</c15:sqref>
                        </c15:formulaRef>
                      </c:ext>
                    </c:extLst>
                    <c:strCache>
                      <c:ptCount val="1"/>
                      <c:pt idx="0">
                        <c:v> Proposed Design </c:v>
                      </c:pt>
                    </c:strCache>
                  </c:strRef>
                </c:cat>
                <c:val>
                  <c:numRef>
                    <c:extLst>
                      <c:ext uri="{02D57815-91ED-43cb-92C2-25804820EDAC}">
                        <c15:formulaRef>
                          <c15:sqref>SiteE!I_04</c15:sqref>
                        </c15:formulaRef>
                      </c:ext>
                    </c:extLst>
                    <c:numCache>
                      <c:formatCode>_(* #,##0.0_);_(* \(#,##0.0\);_(* "-"??_);_(@_)</c:formatCode>
                      <c:ptCount val="1"/>
                      <c:pt idx="0">
                        <c:v>0</c:v>
                      </c:pt>
                    </c:numCache>
                  </c:numRef>
                </c:val>
                <c:extLst>
                  <c:ext xmlns:c16="http://schemas.microsoft.com/office/drawing/2014/chart" uri="{C3380CC4-5D6E-409C-BE32-E72D297353CC}">
                    <c16:uniqueId val="{00000003-410F-444C-835E-1179C95E31CF}"/>
                  </c:ext>
                </c:extLst>
              </c15:ser>
            </c15:filteredBarSeries>
            <c15:filteredBarSeries>
              <c15:ser>
                <c:idx val="9"/>
                <c:order val="5"/>
                <c:tx>
                  <c:strRef>
                    <c:extLst>
                      <c:ext xmlns:c15="http://schemas.microsoft.com/office/drawing/2012/chart" uri="{02D57815-91ED-43cb-92C2-25804820EDAC}">
                        <c15:formulaRef>
                          <c15:sqref>SiteE!$Z$3</c15:sqref>
                        </c15:formulaRef>
                      </c:ext>
                    </c:extLst>
                    <c:strCache>
                      <c:ptCount val="1"/>
                      <c:pt idx="0">
                        <c:v>Exterior Equipment</c:v>
                      </c:pt>
                    </c:strCache>
                  </c:strRef>
                </c:tx>
                <c:spPr>
                  <a:solidFill>
                    <a:srgbClr val="D4CFCB"/>
                  </a:solidFill>
                </c:spPr>
                <c:invertIfNegative val="0"/>
                <c:cat>
                  <c:strRef>
                    <c:extLst>
                      <c:ext xmlns:c15="http://schemas.microsoft.com/office/drawing/2012/chart" uri="{02D57815-91ED-43cb-92C2-25804820EDAC}">
                        <c15:formulaRef>
                          <c15:sqref>SiteE!Case_Names</c15:sqref>
                        </c15:formulaRef>
                      </c:ext>
                    </c:extLst>
                    <c:strCache>
                      <c:ptCount val="1"/>
                      <c:pt idx="0">
                        <c:v> Proposed Design </c:v>
                      </c:pt>
                    </c:strCache>
                  </c:strRef>
                </c:cat>
                <c:val>
                  <c:numRef>
                    <c:extLst>
                      <c:ext xmlns:c15="http://schemas.microsoft.com/office/drawing/2012/chart" uri="{02D57815-91ED-43cb-92C2-25804820EDAC}">
                        <c15:formulaRef>
                          <c15:sqref>SiteE!I_06</c15:sqref>
                        </c15:formulaRef>
                      </c:ext>
                    </c:extLst>
                    <c:numCache>
                      <c:formatCode>_(* #,##0.0_);_(* \(#,##0.0\);_(* "-"??_);_(@_)</c:formatCode>
                      <c:ptCount val="1"/>
                      <c:pt idx="0">
                        <c:v>0</c:v>
                      </c:pt>
                    </c:numCache>
                  </c:numRef>
                </c:val>
                <c:extLst>
                  <c:ext xmlns:c16="http://schemas.microsoft.com/office/drawing/2014/chart" uri="{C3380CC4-5D6E-409C-BE32-E72D297353CC}">
                    <c16:uniqueId val="{00000005-410F-444C-835E-1179C95E31CF}"/>
                  </c:ext>
                </c:extLst>
              </c15:ser>
            </c15:filteredBarSeries>
            <c15:filteredBarSeries>
              <c15:ser>
                <c:idx val="5"/>
                <c:order val="7"/>
                <c:tx>
                  <c:strRef>
                    <c:extLst>
                      <c:ext xmlns:c15="http://schemas.microsoft.com/office/drawing/2012/chart" uri="{02D57815-91ED-43cb-92C2-25804820EDAC}">
                        <c15:formulaRef>
                          <c15:sqref>SiteE!$AB$3</c15:sqref>
                        </c15:formulaRef>
                      </c:ext>
                    </c:extLst>
                    <c:strCache>
                      <c:ptCount val="1"/>
                      <c:pt idx="0">
                        <c:v>Pumps</c:v>
                      </c:pt>
                    </c:strCache>
                  </c:strRef>
                </c:tx>
                <c:spPr>
                  <a:solidFill>
                    <a:srgbClr val="4E4540"/>
                  </a:solidFill>
                </c:spPr>
                <c:invertIfNegative val="0"/>
                <c:cat>
                  <c:strRef>
                    <c:extLst>
                      <c:ext xmlns:c15="http://schemas.microsoft.com/office/drawing/2012/chart" uri="{02D57815-91ED-43cb-92C2-25804820EDAC}">
                        <c15:formulaRef>
                          <c15:sqref>SiteE!Case_Names</c15:sqref>
                        </c15:formulaRef>
                      </c:ext>
                    </c:extLst>
                    <c:strCache>
                      <c:ptCount val="1"/>
                      <c:pt idx="0">
                        <c:v> Proposed Design </c:v>
                      </c:pt>
                    </c:strCache>
                  </c:strRef>
                </c:cat>
                <c:val>
                  <c:numRef>
                    <c:extLst>
                      <c:ext xmlns:c15="http://schemas.microsoft.com/office/drawing/2012/chart" uri="{02D57815-91ED-43cb-92C2-25804820EDAC}">
                        <c15:formulaRef>
                          <c15:sqref>SiteE!I_08</c15:sqref>
                        </c15:formulaRef>
                      </c:ext>
                    </c:extLst>
                    <c:numCache>
                      <c:formatCode>_(* #,##0.0_);_(* \(#,##0.0\);_(* "-"??_);_(@_)</c:formatCode>
                      <c:ptCount val="1"/>
                      <c:pt idx="0">
                        <c:v>0</c:v>
                      </c:pt>
                    </c:numCache>
                  </c:numRef>
                </c:val>
                <c:extLst>
                  <c:ext xmlns:c16="http://schemas.microsoft.com/office/drawing/2014/chart" uri="{C3380CC4-5D6E-409C-BE32-E72D297353CC}">
                    <c16:uniqueId val="{00000007-410F-444C-835E-1179C95E31CF}"/>
                  </c:ext>
                </c:extLst>
              </c15:ser>
            </c15:filteredBarSeries>
            <c15:filteredBarSeries>
              <c15:ser>
                <c:idx val="8"/>
                <c:order val="8"/>
                <c:tx>
                  <c:strRef>
                    <c:extLst>
                      <c:ext xmlns:c15="http://schemas.microsoft.com/office/drawing/2012/chart" uri="{02D57815-91ED-43cb-92C2-25804820EDAC}">
                        <c15:formulaRef>
                          <c15:sqref>SiteE!$AC$3</c15:sqref>
                        </c15:formulaRef>
                      </c:ext>
                    </c:extLst>
                    <c:strCache>
                      <c:ptCount val="1"/>
                      <c:pt idx="0">
                        <c:v>Heat Rejection</c:v>
                      </c:pt>
                    </c:strCache>
                  </c:strRef>
                </c:tx>
                <c:spPr>
                  <a:solidFill>
                    <a:srgbClr val="F05D77"/>
                  </a:solidFill>
                </c:spPr>
                <c:invertIfNegative val="0"/>
                <c:dPt>
                  <c:idx val="0"/>
                  <c:invertIfNegative val="0"/>
                  <c:bubble3D val="0"/>
                  <c:extLst>
                    <c:ext xmlns:c16="http://schemas.microsoft.com/office/drawing/2014/chart" uri="{C3380CC4-5D6E-409C-BE32-E72D297353CC}">
                      <c16:uniqueId val="{00000008-410F-444C-835E-1179C95E31CF}"/>
                    </c:ext>
                  </c:extLst>
                </c:dPt>
                <c:cat>
                  <c:strRef>
                    <c:extLst>
                      <c:ext xmlns:c15="http://schemas.microsoft.com/office/drawing/2012/chart" uri="{02D57815-91ED-43cb-92C2-25804820EDAC}">
                        <c15:formulaRef>
                          <c15:sqref>SiteE!Case_Names</c15:sqref>
                        </c15:formulaRef>
                      </c:ext>
                    </c:extLst>
                    <c:strCache>
                      <c:ptCount val="1"/>
                      <c:pt idx="0">
                        <c:v> Proposed Design </c:v>
                      </c:pt>
                    </c:strCache>
                  </c:strRef>
                </c:cat>
                <c:val>
                  <c:numRef>
                    <c:extLst>
                      <c:ext xmlns:c15="http://schemas.microsoft.com/office/drawing/2012/chart" uri="{02D57815-91ED-43cb-92C2-25804820EDAC}">
                        <c15:formulaRef>
                          <c15:sqref>SiteE!I_09</c15:sqref>
                        </c15:formulaRef>
                      </c:ext>
                    </c:extLst>
                    <c:numCache>
                      <c:formatCode>_(* #,##0.0_);_(* \(#,##0.0\);_(* "-"??_);_(@_)</c:formatCode>
                      <c:ptCount val="1"/>
                      <c:pt idx="0">
                        <c:v>0</c:v>
                      </c:pt>
                    </c:numCache>
                  </c:numRef>
                </c:val>
                <c:extLst xmlns:c15="http://schemas.microsoft.com/office/drawing/2012/chart">
                  <c:ext xmlns:c16="http://schemas.microsoft.com/office/drawing/2014/chart" uri="{C3380CC4-5D6E-409C-BE32-E72D297353CC}">
                    <c16:uniqueId val="{00000009-410F-444C-835E-1179C95E31CF}"/>
                  </c:ext>
                </c:extLst>
              </c15:ser>
            </c15:filteredBarSeries>
            <c15:filteredBarSeries>
              <c15:ser>
                <c:idx val="7"/>
                <c:order val="9"/>
                <c:tx>
                  <c:strRef>
                    <c:extLst xmlns:c15="http://schemas.microsoft.com/office/drawing/2012/chart">
                      <c:ext xmlns:c15="http://schemas.microsoft.com/office/drawing/2012/chart" uri="{02D57815-91ED-43cb-92C2-25804820EDAC}">
                        <c15:formulaRef>
                          <c15:sqref>SiteE!$AD$3</c15:sqref>
                        </c15:formulaRef>
                      </c:ext>
                    </c:extLst>
                    <c:strCache>
                      <c:ptCount val="1"/>
                      <c:pt idx="0">
                        <c:v>Humidification</c:v>
                      </c:pt>
                    </c:strCache>
                  </c:strRef>
                </c:tx>
                <c:spPr>
                  <a:solidFill>
                    <a:srgbClr val="0058A4"/>
                  </a:solidFill>
                </c:spPr>
                <c:invertIfNegative val="0"/>
                <c:cat>
                  <c:strRef>
                    <c:extLst xmlns:c15="http://schemas.microsoft.com/office/drawing/2012/chart">
                      <c:ext xmlns:c15="http://schemas.microsoft.com/office/drawing/2012/chart" uri="{02D57815-91ED-43cb-92C2-25804820EDAC}">
                        <c15:formulaRef>
                          <c15:sqref>SiteE!Case_Names</c15:sqref>
                        </c15:formulaRef>
                      </c:ext>
                    </c:extLst>
                    <c:strCache>
                      <c:ptCount val="1"/>
                      <c:pt idx="0">
                        <c:v> Proposed Design </c:v>
                      </c:pt>
                    </c:strCache>
                  </c:strRef>
                </c:cat>
                <c:val>
                  <c:numRef>
                    <c:extLst xmlns:c15="http://schemas.microsoft.com/office/drawing/2012/chart">
                      <c:ext xmlns:c15="http://schemas.microsoft.com/office/drawing/2012/chart" uri="{02D57815-91ED-43cb-92C2-25804820EDAC}">
                        <c15:formulaRef>
                          <c15:sqref>SiteE!I_10</c15:sqref>
                        </c15:formulaRef>
                      </c:ext>
                    </c:extLst>
                    <c:numCache>
                      <c:formatCode>_(* #,##0.0_);_(* \(#,##0.0\);_(* "-"??_);_(@_)</c:formatCode>
                      <c:ptCount val="1"/>
                      <c:pt idx="0">
                        <c:v>0</c:v>
                      </c:pt>
                    </c:numCache>
                  </c:numRef>
                </c:val>
                <c:extLst xmlns:c15="http://schemas.microsoft.com/office/drawing/2012/chart">
                  <c:ext xmlns:c16="http://schemas.microsoft.com/office/drawing/2014/chart" uri="{C3380CC4-5D6E-409C-BE32-E72D297353CC}">
                    <c16:uniqueId val="{0000000A-410F-444C-835E-1179C95E31CF}"/>
                  </c:ext>
                </c:extLst>
              </c15:ser>
            </c15:filteredBarSeries>
            <c15:filteredBarSeries>
              <c15:ser>
                <c:idx val="19"/>
                <c:order val="10"/>
                <c:tx>
                  <c:strRef>
                    <c:extLst xmlns:c15="http://schemas.microsoft.com/office/drawing/2012/chart">
                      <c:ext xmlns:c15="http://schemas.microsoft.com/office/drawing/2012/chart" uri="{02D57815-91ED-43cb-92C2-25804820EDAC}">
                        <c15:formulaRef>
                          <c15:sqref>SiteE!$AE$3</c15:sqref>
                        </c15:formulaRef>
                      </c:ext>
                    </c:extLst>
                    <c:strCache>
                      <c:ptCount val="1"/>
                      <c:pt idx="0">
                        <c:v>Heat Recovery</c:v>
                      </c:pt>
                    </c:strCache>
                  </c:strRef>
                </c:tx>
                <c:spPr>
                  <a:solidFill>
                    <a:srgbClr val="F8B1AA"/>
                  </a:solidFill>
                </c:spPr>
                <c:invertIfNegative val="0"/>
                <c:cat>
                  <c:strRef>
                    <c:extLst xmlns:c15="http://schemas.microsoft.com/office/drawing/2012/chart">
                      <c:ext xmlns:c15="http://schemas.microsoft.com/office/drawing/2012/chart" uri="{02D57815-91ED-43cb-92C2-25804820EDAC}">
                        <c15:formulaRef>
                          <c15:sqref>SiteE!Case_Names</c15:sqref>
                        </c15:formulaRef>
                      </c:ext>
                    </c:extLst>
                    <c:strCache>
                      <c:ptCount val="1"/>
                      <c:pt idx="0">
                        <c:v> Proposed Design </c:v>
                      </c:pt>
                    </c:strCache>
                  </c:strRef>
                </c:cat>
                <c:val>
                  <c:numRef>
                    <c:extLst xmlns:c15="http://schemas.microsoft.com/office/drawing/2012/chart">
                      <c:ext xmlns:c15="http://schemas.microsoft.com/office/drawing/2012/chart" uri="{02D57815-91ED-43cb-92C2-25804820EDAC}">
                        <c15:formulaRef>
                          <c15:sqref>SiteE!I_11</c15:sqref>
                        </c15:formulaRef>
                      </c:ext>
                    </c:extLst>
                    <c:numCache>
                      <c:formatCode>_(* #,##0.0_);_(* \(#,##0.0\);_(* "-"??_);_(@_)</c:formatCode>
                      <c:ptCount val="1"/>
                      <c:pt idx="0">
                        <c:v>0</c:v>
                      </c:pt>
                    </c:numCache>
                  </c:numRef>
                </c:val>
                <c:extLst xmlns:c15="http://schemas.microsoft.com/office/drawing/2012/chart">
                  <c:ext xmlns:c16="http://schemas.microsoft.com/office/drawing/2014/chart" uri="{C3380CC4-5D6E-409C-BE32-E72D297353CC}">
                    <c16:uniqueId val="{0000000B-410F-444C-835E-1179C95E31CF}"/>
                  </c:ext>
                </c:extLst>
              </c15:ser>
            </c15:filteredBarSeries>
            <c15:filteredBarSeries>
              <c15:ser>
                <c:idx val="14"/>
                <c:order val="11"/>
                <c:tx>
                  <c:strRef>
                    <c:extLst>
                      <c:ext xmlns:c15="http://schemas.microsoft.com/office/drawing/2012/chart" uri="{02D57815-91ED-43cb-92C2-25804820EDAC}">
                        <c15:formulaRef>
                          <c15:sqref>SiteE!$AF$3</c15:sqref>
                        </c15:formulaRef>
                      </c:ext>
                    </c:extLst>
                    <c:strCache>
                      <c:ptCount val="1"/>
                      <c:pt idx="0">
                        <c:v>Water Systems</c:v>
                      </c:pt>
                    </c:strCache>
                  </c:strRef>
                </c:tx>
                <c:spPr>
                  <a:solidFill>
                    <a:srgbClr val="A71C0D"/>
                  </a:solidFill>
                </c:spPr>
                <c:invertIfNegative val="0"/>
                <c:cat>
                  <c:strRef>
                    <c:extLst>
                      <c:ext xmlns:c15="http://schemas.microsoft.com/office/drawing/2012/chart" uri="{02D57815-91ED-43cb-92C2-25804820EDAC}">
                        <c15:formulaRef>
                          <c15:sqref>SiteE!Case_Names</c15:sqref>
                        </c15:formulaRef>
                      </c:ext>
                    </c:extLst>
                    <c:strCache>
                      <c:ptCount val="1"/>
                      <c:pt idx="0">
                        <c:v> Proposed Design </c:v>
                      </c:pt>
                    </c:strCache>
                  </c:strRef>
                </c:cat>
                <c:val>
                  <c:numRef>
                    <c:extLst>
                      <c:ext xmlns:c15="http://schemas.microsoft.com/office/drawing/2012/chart" uri="{02D57815-91ED-43cb-92C2-25804820EDAC}">
                        <c15:formulaRef>
                          <c15:sqref>SiteE!I_12</c15:sqref>
                        </c15:formulaRef>
                      </c:ext>
                    </c:extLst>
                    <c:numCache>
                      <c:formatCode>_(* #,##0.0_);_(* \(#,##0.0\);_(* "-"??_);_(@_)</c:formatCode>
                      <c:ptCount val="1"/>
                      <c:pt idx="0">
                        <c:v>0</c:v>
                      </c:pt>
                    </c:numCache>
                  </c:numRef>
                </c:val>
                <c:extLst xmlns:c15="http://schemas.microsoft.com/office/drawing/2012/chart">
                  <c:ext xmlns:c16="http://schemas.microsoft.com/office/drawing/2014/chart" uri="{C3380CC4-5D6E-409C-BE32-E72D297353CC}">
                    <c16:uniqueId val="{0000000C-410F-444C-835E-1179C95E31CF}"/>
                  </c:ext>
                </c:extLst>
              </c15:ser>
            </c15:filteredBarSeries>
            <c15:filteredBarSeries>
              <c15:ser>
                <c:idx val="15"/>
                <c:order val="12"/>
                <c:tx>
                  <c:strRef>
                    <c:extLst xmlns:c15="http://schemas.microsoft.com/office/drawing/2012/chart">
                      <c:ext xmlns:c15="http://schemas.microsoft.com/office/drawing/2012/chart" uri="{02D57815-91ED-43cb-92C2-25804820EDAC}">
                        <c15:formulaRef>
                          <c15:sqref>SiteE!$AG$3</c15:sqref>
                        </c15:formulaRef>
                      </c:ext>
                    </c:extLst>
                    <c:strCache>
                      <c:ptCount val="1"/>
                      <c:pt idx="0">
                        <c:v>Refrigeration</c:v>
                      </c:pt>
                    </c:strCache>
                  </c:strRef>
                </c:tx>
                <c:spPr>
                  <a:solidFill>
                    <a:srgbClr val="A1ABB2"/>
                  </a:solidFill>
                </c:spPr>
                <c:invertIfNegative val="0"/>
                <c:cat>
                  <c:strRef>
                    <c:extLst xmlns:c15="http://schemas.microsoft.com/office/drawing/2012/chart">
                      <c:ext xmlns:c15="http://schemas.microsoft.com/office/drawing/2012/chart" uri="{02D57815-91ED-43cb-92C2-25804820EDAC}">
                        <c15:formulaRef>
                          <c15:sqref>SiteE!Case_Names</c15:sqref>
                        </c15:formulaRef>
                      </c:ext>
                    </c:extLst>
                    <c:strCache>
                      <c:ptCount val="1"/>
                      <c:pt idx="0">
                        <c:v> Proposed Design </c:v>
                      </c:pt>
                    </c:strCache>
                  </c:strRef>
                </c:cat>
                <c:val>
                  <c:numRef>
                    <c:extLst xmlns:c15="http://schemas.microsoft.com/office/drawing/2012/chart">
                      <c:ext xmlns:c15="http://schemas.microsoft.com/office/drawing/2012/chart" uri="{02D57815-91ED-43cb-92C2-25804820EDAC}">
                        <c15:formulaRef>
                          <c15:sqref>SiteE!I_13</c15:sqref>
                        </c15:formulaRef>
                      </c:ext>
                    </c:extLst>
                    <c:numCache>
                      <c:formatCode>_(* #,##0.0_);_(* \(#,##0.0\);_(* "-"??_);_(@_)</c:formatCode>
                      <c:ptCount val="1"/>
                      <c:pt idx="0">
                        <c:v>0</c:v>
                      </c:pt>
                    </c:numCache>
                  </c:numRef>
                </c:val>
                <c:extLst xmlns:c15="http://schemas.microsoft.com/office/drawing/2012/chart">
                  <c:ext xmlns:c16="http://schemas.microsoft.com/office/drawing/2014/chart" uri="{C3380CC4-5D6E-409C-BE32-E72D297353CC}">
                    <c16:uniqueId val="{0000000D-410F-444C-835E-1179C95E31CF}"/>
                  </c:ext>
                </c:extLst>
              </c15:ser>
            </c15:filteredBarSeries>
            <c15:filteredBarSeries>
              <c15:ser>
                <c:idx val="11"/>
                <c:order val="13"/>
                <c:tx>
                  <c:strRef>
                    <c:extLst xmlns:c15="http://schemas.microsoft.com/office/drawing/2012/chart">
                      <c:ext xmlns:c15="http://schemas.microsoft.com/office/drawing/2012/chart" uri="{02D57815-91ED-43cb-92C2-25804820EDAC}">
                        <c15:formulaRef>
                          <c15:sqref>SiteE!$AH$3</c15:sqref>
                        </c15:formulaRef>
                      </c:ext>
                    </c:extLst>
                    <c:strCache>
                      <c:ptCount val="1"/>
                      <c:pt idx="0">
                        <c:v>Generators</c:v>
                      </c:pt>
                    </c:strCache>
                  </c:strRef>
                </c:tx>
                <c:spPr>
                  <a:solidFill>
                    <a:srgbClr val="89AF5B"/>
                  </a:solidFill>
                </c:spPr>
                <c:invertIfNegative val="0"/>
                <c:cat>
                  <c:strRef>
                    <c:extLst xmlns:c15="http://schemas.microsoft.com/office/drawing/2012/chart">
                      <c:ext xmlns:c15="http://schemas.microsoft.com/office/drawing/2012/chart" uri="{02D57815-91ED-43cb-92C2-25804820EDAC}">
                        <c15:formulaRef>
                          <c15:sqref>SiteE!Case_Names</c15:sqref>
                        </c15:formulaRef>
                      </c:ext>
                    </c:extLst>
                    <c:strCache>
                      <c:ptCount val="1"/>
                      <c:pt idx="0">
                        <c:v> Proposed Design </c:v>
                      </c:pt>
                    </c:strCache>
                  </c:strRef>
                </c:cat>
                <c:val>
                  <c:numRef>
                    <c:extLst xmlns:c15="http://schemas.microsoft.com/office/drawing/2012/chart">
                      <c:ext xmlns:c15="http://schemas.microsoft.com/office/drawing/2012/chart" uri="{02D57815-91ED-43cb-92C2-25804820EDAC}">
                        <c15:formulaRef>
                          <c15:sqref>SiteE!I_14</c15:sqref>
                        </c15:formulaRef>
                      </c:ext>
                    </c:extLst>
                    <c:numCache>
                      <c:formatCode>_(* #,##0.0_);_(* \(#,##0.0\);_(* "-"??_);_(@_)</c:formatCode>
                      <c:ptCount val="1"/>
                      <c:pt idx="0">
                        <c:v>0</c:v>
                      </c:pt>
                    </c:numCache>
                  </c:numRef>
                </c:val>
                <c:extLst xmlns:c15="http://schemas.microsoft.com/office/drawing/2012/chart">
                  <c:ext xmlns:c16="http://schemas.microsoft.com/office/drawing/2014/chart" uri="{C3380CC4-5D6E-409C-BE32-E72D297353CC}">
                    <c16:uniqueId val="{0000000E-410F-444C-835E-1179C95E31CF}"/>
                  </c:ext>
                </c:extLst>
              </c15:ser>
            </c15:filteredBarSeries>
            <c15:filteredBarSeries>
              <c15:ser>
                <c:idx val="16"/>
                <c:order val="14"/>
                <c:tx>
                  <c:strRef>
                    <c:extLst xmlns:c15="http://schemas.microsoft.com/office/drawing/2012/chart">
                      <c:ext xmlns:c15="http://schemas.microsoft.com/office/drawing/2012/chart" uri="{02D57815-91ED-43cb-92C2-25804820EDAC}">
                        <c15:formulaRef>
                          <c15:sqref>SiteE!$AI$3</c15:sqref>
                        </c15:formulaRef>
                      </c:ext>
                    </c:extLst>
                    <c:strCache>
                      <c:ptCount val="1"/>
                      <c:pt idx="0">
                        <c:v> </c:v>
                      </c:pt>
                    </c:strCache>
                  </c:strRef>
                </c:tx>
                <c:spPr>
                  <a:solidFill>
                    <a:srgbClr val="64696F"/>
                  </a:solidFill>
                </c:spPr>
                <c:invertIfNegative val="0"/>
                <c:cat>
                  <c:strRef>
                    <c:extLst xmlns:c15="http://schemas.microsoft.com/office/drawing/2012/chart">
                      <c:ext xmlns:c15="http://schemas.microsoft.com/office/drawing/2012/chart" uri="{02D57815-91ED-43cb-92C2-25804820EDAC}">
                        <c15:formulaRef>
                          <c15:sqref>SiteE!Case_Names</c15:sqref>
                        </c15:formulaRef>
                      </c:ext>
                    </c:extLst>
                    <c:strCache>
                      <c:ptCount val="1"/>
                      <c:pt idx="0">
                        <c:v> Proposed Design </c:v>
                      </c:pt>
                    </c:strCache>
                  </c:strRef>
                </c:cat>
                <c:val>
                  <c:numRef>
                    <c:extLst xmlns:c15="http://schemas.microsoft.com/office/drawing/2012/chart">
                      <c:ext xmlns:c15="http://schemas.microsoft.com/office/drawing/2012/chart" uri="{02D57815-91ED-43cb-92C2-25804820EDAC}">
                        <c15:formulaRef>
                          <c15:sqref>SiteE!I_15</c15:sqref>
                        </c15:formulaRef>
                      </c:ext>
                    </c:extLst>
                    <c:numCache>
                      <c:formatCode>_(* #,##0.0_);_(* \(#,##0.0\);_(* "-"??_);_(@_)</c:formatCode>
                      <c:ptCount val="1"/>
                      <c:pt idx="0">
                        <c:v>0</c:v>
                      </c:pt>
                    </c:numCache>
                  </c:numRef>
                </c:val>
                <c:extLst xmlns:c15="http://schemas.microsoft.com/office/drawing/2012/chart">
                  <c:ext xmlns:c16="http://schemas.microsoft.com/office/drawing/2014/chart" uri="{C3380CC4-5D6E-409C-BE32-E72D297353CC}">
                    <c16:uniqueId val="{0000000F-410F-444C-835E-1179C95E31CF}"/>
                  </c:ext>
                </c:extLst>
              </c15:ser>
            </c15:filteredBarSeries>
            <c15:filteredBarSeries>
              <c15:ser>
                <c:idx val="18"/>
                <c:order val="15"/>
                <c:tx>
                  <c:strRef>
                    <c:extLst xmlns:c15="http://schemas.microsoft.com/office/drawing/2012/chart">
                      <c:ext xmlns:c15="http://schemas.microsoft.com/office/drawing/2012/chart" uri="{02D57815-91ED-43cb-92C2-25804820EDAC}">
                        <c15:formulaRef>
                          <c15:sqref>SiteE!$AJ$3</c15:sqref>
                        </c15:formulaRef>
                      </c:ext>
                    </c:extLst>
                    <c:strCache>
                      <c:ptCount val="1"/>
                      <c:pt idx="0">
                        <c:v> </c:v>
                      </c:pt>
                    </c:strCache>
                  </c:strRef>
                </c:tx>
                <c:spPr>
                  <a:solidFill>
                    <a:srgbClr val="3C393C"/>
                  </a:solidFill>
                </c:spPr>
                <c:invertIfNegative val="0"/>
                <c:cat>
                  <c:strRef>
                    <c:extLst xmlns:c15="http://schemas.microsoft.com/office/drawing/2012/chart">
                      <c:ext xmlns:c15="http://schemas.microsoft.com/office/drawing/2012/chart" uri="{02D57815-91ED-43cb-92C2-25804820EDAC}">
                        <c15:formulaRef>
                          <c15:sqref>SiteE!Case_Names</c15:sqref>
                        </c15:formulaRef>
                      </c:ext>
                    </c:extLst>
                    <c:strCache>
                      <c:ptCount val="1"/>
                      <c:pt idx="0">
                        <c:v> Proposed Design </c:v>
                      </c:pt>
                    </c:strCache>
                  </c:strRef>
                </c:cat>
                <c:val>
                  <c:numRef>
                    <c:extLst xmlns:c15="http://schemas.microsoft.com/office/drawing/2012/chart">
                      <c:ext xmlns:c15="http://schemas.microsoft.com/office/drawing/2012/chart" uri="{02D57815-91ED-43cb-92C2-25804820EDAC}">
                        <c15:formulaRef>
                          <c15:sqref>SiteE!I_16</c15:sqref>
                        </c15:formulaRef>
                      </c:ext>
                    </c:extLst>
                    <c:numCache>
                      <c:formatCode>_(* #,##0.0_);_(* \(#,##0.0\);_(* "-"??_);_(@_)</c:formatCode>
                      <c:ptCount val="1"/>
                      <c:pt idx="0">
                        <c:v>0</c:v>
                      </c:pt>
                    </c:numCache>
                  </c:numRef>
                </c:val>
                <c:extLst xmlns:c15="http://schemas.microsoft.com/office/drawing/2012/chart">
                  <c:ext xmlns:c16="http://schemas.microsoft.com/office/drawing/2014/chart" uri="{C3380CC4-5D6E-409C-BE32-E72D297353CC}">
                    <c16:uniqueId val="{00000010-410F-444C-835E-1179C95E31CF}"/>
                  </c:ext>
                </c:extLst>
              </c15:ser>
            </c15:filteredBarSeries>
            <c15:filteredBarSeries>
              <c15:ser>
                <c:idx val="17"/>
                <c:order val="16"/>
                <c:tx>
                  <c:strRef>
                    <c:extLst xmlns:c15="http://schemas.microsoft.com/office/drawing/2012/chart">
                      <c:ext xmlns:c15="http://schemas.microsoft.com/office/drawing/2012/chart" uri="{02D57815-91ED-43cb-92C2-25804820EDAC}">
                        <c15:formulaRef>
                          <c15:sqref>SiteE!$AK$3</c15:sqref>
                        </c15:formulaRef>
                      </c:ext>
                    </c:extLst>
                    <c:strCache>
                      <c:ptCount val="1"/>
                      <c:pt idx="0">
                        <c:v>Uncertainty</c:v>
                      </c:pt>
                    </c:strCache>
                  </c:strRef>
                </c:tx>
                <c:spPr>
                  <a:noFill/>
                  <a:ln>
                    <a:solidFill>
                      <a:schemeClr val="bg1">
                        <a:lumMod val="50000"/>
                      </a:schemeClr>
                    </a:solidFill>
                    <a:prstDash val="dash"/>
                  </a:ln>
                </c:spPr>
                <c:invertIfNegative val="0"/>
                <c:cat>
                  <c:strRef>
                    <c:extLst xmlns:c15="http://schemas.microsoft.com/office/drawing/2012/chart">
                      <c:ext xmlns:c15="http://schemas.microsoft.com/office/drawing/2012/chart" uri="{02D57815-91ED-43cb-92C2-25804820EDAC}">
                        <c15:formulaRef>
                          <c15:sqref>SiteE!Case_Names</c15:sqref>
                        </c15:formulaRef>
                      </c:ext>
                    </c:extLst>
                    <c:strCache>
                      <c:ptCount val="1"/>
                      <c:pt idx="0">
                        <c:v> Proposed Design </c:v>
                      </c:pt>
                    </c:strCache>
                  </c:strRef>
                </c:cat>
                <c:val>
                  <c:numRef>
                    <c:extLst xmlns:c15="http://schemas.microsoft.com/office/drawing/2012/chart">
                      <c:ext xmlns:c15="http://schemas.microsoft.com/office/drawing/2012/chart" uri="{02D57815-91ED-43cb-92C2-25804820EDAC}">
                        <c15:formulaRef>
                          <c15:sqref>SiteE!I_17</c15:sqref>
                        </c15:formulaRef>
                      </c:ext>
                    </c:extLst>
                    <c:numCache>
                      <c:formatCode>_(* #,##0.0_);_(* \(#,##0.0\);_(* "-"??_);_(@_)</c:formatCode>
                      <c:ptCount val="1"/>
                      <c:pt idx="0">
                        <c:v>0</c:v>
                      </c:pt>
                    </c:numCache>
                  </c:numRef>
                </c:val>
                <c:extLst xmlns:c15="http://schemas.microsoft.com/office/drawing/2012/chart">
                  <c:ext xmlns:c16="http://schemas.microsoft.com/office/drawing/2014/chart" uri="{C3380CC4-5D6E-409C-BE32-E72D297353CC}">
                    <c16:uniqueId val="{00000011-410F-444C-835E-1179C95E31CF}"/>
                  </c:ext>
                </c:extLst>
              </c15:ser>
            </c15:filteredBarSeries>
            <c15:filteredBarSeries>
              <c15:ser>
                <c:idx val="6"/>
                <c:order val="17"/>
                <c:tx>
                  <c:strRef>
                    <c:extLst xmlns:c15="http://schemas.microsoft.com/office/drawing/2012/chart">
                      <c:ext xmlns:c15="http://schemas.microsoft.com/office/drawing/2012/chart" uri="{02D57815-91ED-43cb-92C2-25804820EDAC}">
                        <c15:formulaRef>
                          <c15:sqref>SiteE!$AL$3</c15:sqref>
                        </c15:formulaRef>
                      </c:ext>
                    </c:extLst>
                    <c:strCache>
                      <c:ptCount val="1"/>
                      <c:pt idx="0">
                        <c:v>PV</c:v>
                      </c:pt>
                    </c:strCache>
                  </c:strRef>
                </c:tx>
                <c:invertIfNegative val="0"/>
                <c:cat>
                  <c:strRef>
                    <c:extLst xmlns:c15="http://schemas.microsoft.com/office/drawing/2012/chart">
                      <c:ext xmlns:c15="http://schemas.microsoft.com/office/drawing/2012/chart" uri="{02D57815-91ED-43cb-92C2-25804820EDAC}">
                        <c15:formulaRef>
                          <c15:sqref>SiteE!Case_Names</c15:sqref>
                        </c15:formulaRef>
                      </c:ext>
                    </c:extLst>
                    <c:strCache>
                      <c:ptCount val="1"/>
                      <c:pt idx="0">
                        <c:v> Proposed Design </c:v>
                      </c:pt>
                    </c:strCache>
                  </c:strRef>
                </c:cat>
                <c:val>
                  <c:numRef>
                    <c:extLst xmlns:c15="http://schemas.microsoft.com/office/drawing/2012/chart">
                      <c:ext xmlns:c15="http://schemas.microsoft.com/office/drawing/2012/chart" uri="{02D57815-91ED-43cb-92C2-25804820EDAC}">
                        <c15:formulaRef>
                          <c15:sqref>SiteE!I_18</c15:sqref>
                        </c15:formulaRef>
                      </c:ext>
                    </c:extLst>
                    <c:numCache>
                      <c:formatCode>_(* #,##0.0_);_(* \(#,##0.0\);_(* "-"??_);_(@_)</c:formatCode>
                      <c:ptCount val="1"/>
                      <c:pt idx="0">
                        <c:v>0</c:v>
                      </c:pt>
                    </c:numCache>
                  </c:numRef>
                </c:val>
                <c:extLst xmlns:c15="http://schemas.microsoft.com/office/drawing/2012/chart">
                  <c:ext xmlns:c16="http://schemas.microsoft.com/office/drawing/2014/chart" uri="{C3380CC4-5D6E-409C-BE32-E72D297353CC}">
                    <c16:uniqueId val="{00000012-410F-444C-835E-1179C95E31CF}"/>
                  </c:ext>
                </c:extLst>
              </c15:ser>
            </c15:filteredBarSeries>
            <c15:filteredBarSeries>
              <c15:ser>
                <c:idx val="12"/>
                <c:order val="18"/>
                <c:tx>
                  <c:strRef>
                    <c:extLst xmlns:c15="http://schemas.microsoft.com/office/drawing/2012/chart">
                      <c:ext xmlns:c15="http://schemas.microsoft.com/office/drawing/2012/chart" uri="{02D57815-91ED-43cb-92C2-25804820EDAC}">
                        <c15:formulaRef>
                          <c15:sqref>SiteE!$AM$3</c15:sqref>
                        </c15:formulaRef>
                      </c:ext>
                    </c:extLst>
                    <c:strCache>
                      <c:ptCount val="1"/>
                      <c:pt idx="0">
                        <c:v>Wind</c:v>
                      </c:pt>
                    </c:strCache>
                  </c:strRef>
                </c:tx>
                <c:invertIfNegative val="0"/>
                <c:cat>
                  <c:strRef>
                    <c:extLst xmlns:c15="http://schemas.microsoft.com/office/drawing/2012/chart">
                      <c:ext xmlns:c15="http://schemas.microsoft.com/office/drawing/2012/chart" uri="{02D57815-91ED-43cb-92C2-25804820EDAC}">
                        <c15:formulaRef>
                          <c15:sqref>SiteE!Case_Names</c15:sqref>
                        </c15:formulaRef>
                      </c:ext>
                    </c:extLst>
                    <c:strCache>
                      <c:ptCount val="1"/>
                      <c:pt idx="0">
                        <c:v> Proposed Design </c:v>
                      </c:pt>
                    </c:strCache>
                  </c:strRef>
                </c:cat>
                <c:val>
                  <c:numRef>
                    <c:extLst xmlns:c15="http://schemas.microsoft.com/office/drawing/2012/chart">
                      <c:ext xmlns:c15="http://schemas.microsoft.com/office/drawing/2012/chart" uri="{02D57815-91ED-43cb-92C2-25804820EDAC}">
                        <c15:formulaRef>
                          <c15:sqref>SiteE!I_19</c15:sqref>
                        </c15:formulaRef>
                      </c:ext>
                    </c:extLst>
                    <c:numCache>
                      <c:formatCode>_(* #,##0.0_);_(* \(#,##0.0\);_(* "-"??_);_(@_)</c:formatCode>
                      <c:ptCount val="1"/>
                      <c:pt idx="0">
                        <c:v>0</c:v>
                      </c:pt>
                    </c:numCache>
                  </c:numRef>
                </c:val>
                <c:extLst xmlns:c15="http://schemas.microsoft.com/office/drawing/2012/chart">
                  <c:ext xmlns:c16="http://schemas.microsoft.com/office/drawing/2014/chart" uri="{C3380CC4-5D6E-409C-BE32-E72D297353CC}">
                    <c16:uniqueId val="{00000013-410F-444C-835E-1179C95E31CF}"/>
                  </c:ext>
                </c:extLst>
              </c15:ser>
            </c15:filteredBarSeries>
            <c15:filteredBarSeries>
              <c15:ser>
                <c:idx val="13"/>
                <c:order val="19"/>
                <c:tx>
                  <c:strRef>
                    <c:extLst>
                      <c:ext xmlns:c15="http://schemas.microsoft.com/office/drawing/2012/chart" uri="{02D57815-91ED-43cb-92C2-25804820EDAC}">
                        <c15:formulaRef>
                          <c15:sqref>SiteE!$AN$3</c15:sqref>
                        </c15:formulaRef>
                      </c:ext>
                    </c:extLst>
                    <c:strCache>
                      <c:ptCount val="1"/>
                      <c:pt idx="0">
                        <c:v>SHW</c:v>
                      </c:pt>
                    </c:strCache>
                  </c:strRef>
                </c:tx>
                <c:invertIfNegative val="0"/>
                <c:cat>
                  <c:strRef>
                    <c:extLst>
                      <c:ext xmlns:c15="http://schemas.microsoft.com/office/drawing/2012/chart" uri="{02D57815-91ED-43cb-92C2-25804820EDAC}">
                        <c15:formulaRef>
                          <c15:sqref>SiteE!Case_Names</c15:sqref>
                        </c15:formulaRef>
                      </c:ext>
                    </c:extLst>
                    <c:strCache>
                      <c:ptCount val="1"/>
                      <c:pt idx="0">
                        <c:v> Proposed Design </c:v>
                      </c:pt>
                    </c:strCache>
                  </c:strRef>
                </c:cat>
                <c:val>
                  <c:numRef>
                    <c:extLst>
                      <c:ext xmlns:c15="http://schemas.microsoft.com/office/drawing/2012/chart" uri="{02D57815-91ED-43cb-92C2-25804820EDAC}">
                        <c15:formulaRef>
                          <c15:sqref>SiteE!I_20</c15:sqref>
                        </c15:formulaRef>
                      </c:ext>
                    </c:extLst>
                    <c:numCache>
                      <c:formatCode>_(* #,##0.0_);_(* \(#,##0.0\);_(* "-"??_);_(@_)</c:formatCode>
                      <c:ptCount val="1"/>
                      <c:pt idx="0">
                        <c:v>0</c:v>
                      </c:pt>
                    </c:numCache>
                  </c:numRef>
                </c:val>
                <c:extLst xmlns:c15="http://schemas.microsoft.com/office/drawing/2012/chart">
                  <c:ext xmlns:c16="http://schemas.microsoft.com/office/drawing/2014/chart" uri="{C3380CC4-5D6E-409C-BE32-E72D297353CC}">
                    <c16:uniqueId val="{00000014-410F-444C-835E-1179C95E31CF}"/>
                  </c:ext>
                </c:extLst>
              </c15:ser>
            </c15:filteredBarSeries>
          </c:ext>
        </c:extLst>
      </c:barChart>
      <c:scatterChart>
        <c:scatterStyle val="lineMarker"/>
        <c:varyColors val="0"/>
        <c:dLbls>
          <c:showLegendKey val="0"/>
          <c:showVal val="0"/>
          <c:showCatName val="0"/>
          <c:showSerName val="0"/>
          <c:showPercent val="0"/>
          <c:showBubbleSize val="0"/>
        </c:dLbls>
        <c:axId val="496616111"/>
        <c:axId val="496618591"/>
        <c:extLst>
          <c:ext xmlns:c15="http://schemas.microsoft.com/office/drawing/2012/chart" uri="{02D57815-91ED-43cb-92C2-25804820EDAC}">
            <c15:filteredScatterSeries>
              <c15:ser>
                <c:idx val="20"/>
                <c:order val="20"/>
                <c:tx>
                  <c:strRef>
                    <c:extLst>
                      <c:ext uri="{02D57815-91ED-43cb-92C2-25804820EDAC}">
                        <c15:formulaRef>
                          <c15:sqref>SiteE!$AS$20</c15:sqref>
                        </c15:formulaRef>
                      </c:ext>
                    </c:extLst>
                    <c:strCache>
                      <c:ptCount val="1"/>
                      <c:pt idx="0">
                        <c:v>#VALUE!</c:v>
                      </c:pt>
                    </c:strCache>
                  </c:strRef>
                </c:tx>
                <c:spPr>
                  <a:ln>
                    <a:solidFill>
                      <a:srgbClr val="C00000"/>
                    </a:solidFill>
                    <a:prstDash val="sysDash"/>
                  </a:ln>
                </c:spPr>
                <c:marker>
                  <c:symbol val="none"/>
                </c:marker>
                <c:dLbls>
                  <c:dLbl>
                    <c:idx val="0"/>
                    <c:delete val="1"/>
                    <c:extLst>
                      <c:ext uri="{CE6537A1-D6FC-4f65-9D91-7224C49458BB}"/>
                      <c:ext xmlns:c16="http://schemas.microsoft.com/office/drawing/2014/chart" uri="{C3380CC4-5D6E-409C-BE32-E72D297353CC}">
                        <c16:uniqueId val="{00000015-410F-444C-835E-1179C95E31CF}"/>
                      </c:ext>
                    </c:extLst>
                  </c:dLbl>
                  <c:dLbl>
                    <c:idx val="1"/>
                    <c:spPr>
                      <a:noFill/>
                      <a:ln>
                        <a:noFill/>
                      </a:ln>
                      <a:effectLst/>
                    </c:spPr>
                    <c:txPr>
                      <a:bodyPr wrap="square" lIns="38100" tIns="19050" rIns="38100" bIns="19050" anchor="ctr">
                        <a:spAutoFit/>
                      </a:bodyPr>
                      <a:lstStyle/>
                      <a:p>
                        <a:pPr>
                          <a:defRPr sz="800">
                            <a:latin typeface="Franklin Gothic Book" panose="020B0503020102020204" pitchFamily="34" charset="0"/>
                          </a:defRPr>
                        </a:pPr>
                        <a:endParaRPr lang="en-US"/>
                      </a:p>
                    </c:txPr>
                    <c:dLblPos val="t"/>
                    <c:showLegendKey val="0"/>
                    <c:showVal val="0"/>
                    <c:showCatName val="0"/>
                    <c:showSerName val="1"/>
                    <c:showPercent val="0"/>
                    <c:showBubbleSize val="0"/>
                    <c:extLst>
                      <c:ext xmlns:c16="http://schemas.microsoft.com/office/drawing/2014/chart" uri="{C3380CC4-5D6E-409C-BE32-E72D297353CC}">
                        <c16:uniqueId val="{00000016-410F-444C-835E-1179C95E31CF}"/>
                      </c:ext>
                    </c:extLst>
                  </c:dLbl>
                  <c:spPr>
                    <a:noFill/>
                    <a:ln>
                      <a:noFill/>
                    </a:ln>
                    <a:effectLst/>
                  </c:spPr>
                  <c:dLblPos val="t"/>
                  <c:showLegendKey val="0"/>
                  <c:showVal val="0"/>
                  <c:showCatName val="0"/>
                  <c:showSerName val="1"/>
                  <c:showPercent val="0"/>
                  <c:showBubbleSize val="0"/>
                  <c:showLeaderLines val="0"/>
                  <c:extLst>
                    <c:ext uri="{CE6537A1-D6FC-4f65-9D91-7224C49458BB}">
                      <c15:showLeaderLines val="0"/>
                    </c:ext>
                  </c:extLst>
                </c:dLbls>
                <c:yVal>
                  <c:numRef>
                    <c:extLst>
                      <c:ext uri="{02D57815-91ED-43cb-92C2-25804820EDAC}">
                        <c15:formulaRef>
                          <c15:sqref>SiteE!$AT$20:$AU$20</c15:sqref>
                        </c15:formulaRef>
                      </c:ext>
                    </c:extLst>
                    <c:numCache>
                      <c:formatCode>_(* #,##0.0_);_(* \(#,##0.0\);_(* "-"??_);_(@_)</c:formatCode>
                      <c:ptCount val="2"/>
                      <c:pt idx="0">
                        <c:v>0</c:v>
                      </c:pt>
                      <c:pt idx="1">
                        <c:v>0</c:v>
                      </c:pt>
                    </c:numCache>
                  </c:numRef>
                </c:yVal>
                <c:smooth val="0"/>
                <c:extLst>
                  <c:ext xmlns:c16="http://schemas.microsoft.com/office/drawing/2014/chart" uri="{C3380CC4-5D6E-409C-BE32-E72D297353CC}">
                    <c16:uniqueId val="{00000017-410F-444C-835E-1179C95E31CF}"/>
                  </c:ext>
                </c:extLst>
              </c15:ser>
            </c15:filteredScatterSeries>
            <c15:filteredScatterSeries>
              <c15:ser>
                <c:idx val="21"/>
                <c:order val="21"/>
                <c:tx>
                  <c:strRef>
                    <c:extLst xmlns:c15="http://schemas.microsoft.com/office/drawing/2012/chart">
                      <c:ext xmlns:c15="http://schemas.microsoft.com/office/drawing/2012/chart" uri="{02D57815-91ED-43cb-92C2-25804820EDAC}">
                        <c15:formulaRef>
                          <c15:sqref>SiteE!$AS$21</c15:sqref>
                        </c15:formulaRef>
                      </c:ext>
                    </c:extLst>
                    <c:strCache>
                      <c:ptCount val="1"/>
                      <c:pt idx="0">
                        <c:v>#VALUE!</c:v>
                      </c:pt>
                    </c:strCache>
                  </c:strRef>
                </c:tx>
                <c:spPr>
                  <a:ln>
                    <a:solidFill>
                      <a:schemeClr val="tx2"/>
                    </a:solidFill>
                    <a:prstDash val="sysDash"/>
                  </a:ln>
                </c:spPr>
                <c:marker>
                  <c:symbol val="none"/>
                </c:marker>
                <c:dLbls>
                  <c:dLbl>
                    <c:idx val="0"/>
                    <c:delete val="1"/>
                    <c:extLst xmlns:c15="http://schemas.microsoft.com/office/drawing/2012/chart">
                      <c:ext xmlns:c15="http://schemas.microsoft.com/office/drawing/2012/chart" uri="{CE6537A1-D6FC-4f65-9D91-7224C49458BB}"/>
                      <c:ext xmlns:c16="http://schemas.microsoft.com/office/drawing/2014/chart" uri="{C3380CC4-5D6E-409C-BE32-E72D297353CC}">
                        <c16:uniqueId val="{00000018-410F-444C-835E-1179C95E31CF}"/>
                      </c:ext>
                    </c:extLst>
                  </c:dLbl>
                  <c:dLbl>
                    <c:idx val="1"/>
                    <c:tx>
                      <c:rich>
                        <a:bodyPr/>
                        <a:lstStyle/>
                        <a:p>
                          <a:fld id="{6E826609-AAFE-4FC1-BB89-D61F787E5C5A}" type="SERIESNAME">
                            <a:rPr lang="en-US" sz="800">
                              <a:latin typeface="Franklin Gothic Book" panose="020B0503020102020204" pitchFamily="34" charset="0"/>
                            </a:rPr>
                            <a:pPr/>
                            <a:t>[SERIES NAME]</a:t>
                          </a:fld>
                          <a:endParaRPr lang="en-US"/>
                        </a:p>
                      </c:rich>
                    </c:tx>
                    <c:dLblPos val="t"/>
                    <c:showLegendKey val="0"/>
                    <c:showVal val="0"/>
                    <c:showCatName val="0"/>
                    <c:showSerName val="1"/>
                    <c:showPercent val="0"/>
                    <c:showBubbleSize val="0"/>
                    <c:extLst xmlns:c15="http://schemas.microsoft.com/office/drawing/2012/chart">
                      <c:ext xmlns:c15="http://schemas.microsoft.com/office/drawing/2012/chart" uri="{CE6537A1-D6FC-4f65-9D91-7224C49458BB}">
                        <c15:dlblFieldTable/>
                        <c15:showDataLabelsRange val="0"/>
                      </c:ext>
                      <c:ext xmlns:c16="http://schemas.microsoft.com/office/drawing/2014/chart" uri="{C3380CC4-5D6E-409C-BE32-E72D297353CC}">
                        <c16:uniqueId val="{00000019-410F-444C-835E-1179C95E31CF}"/>
                      </c:ext>
                    </c:extLst>
                  </c:dLbl>
                  <c:spPr>
                    <a:noFill/>
                    <a:ln>
                      <a:noFill/>
                    </a:ln>
                    <a:effectLst/>
                  </c:spPr>
                  <c:dLblPos val="t"/>
                  <c:showLegendKey val="0"/>
                  <c:showVal val="0"/>
                  <c:showCatName val="0"/>
                  <c:showSerName val="1"/>
                  <c:showPercent val="0"/>
                  <c:showBubbleSize val="0"/>
                  <c:showLeaderLines val="0"/>
                  <c:extLst xmlns:c15="http://schemas.microsoft.com/office/drawing/2012/chart">
                    <c:ext xmlns:c15="http://schemas.microsoft.com/office/drawing/2012/chart" uri="{CE6537A1-D6FC-4f65-9D91-7224C49458BB}">
                      <c15:showLeaderLines val="0"/>
                    </c:ext>
                  </c:extLst>
                </c:dLbls>
                <c:yVal>
                  <c:numRef>
                    <c:extLst xmlns:c15="http://schemas.microsoft.com/office/drawing/2012/chart">
                      <c:ext xmlns:c15="http://schemas.microsoft.com/office/drawing/2012/chart" uri="{02D57815-91ED-43cb-92C2-25804820EDAC}">
                        <c15:formulaRef>
                          <c15:sqref>SiteE!$AT$21:$AU$21</c15:sqref>
                        </c15:formulaRef>
                      </c:ext>
                    </c:extLst>
                    <c:numCache>
                      <c:formatCode>_(* #,##0.0_);_(* \(#,##0.0\);_(* "-"??_);_(@_)</c:formatCode>
                      <c:ptCount val="2"/>
                      <c:pt idx="0">
                        <c:v>0</c:v>
                      </c:pt>
                      <c:pt idx="1">
                        <c:v>0</c:v>
                      </c:pt>
                    </c:numCache>
                  </c:numRef>
                </c:yVal>
                <c:smooth val="0"/>
                <c:extLst xmlns:c15="http://schemas.microsoft.com/office/drawing/2012/chart">
                  <c:ext xmlns:c16="http://schemas.microsoft.com/office/drawing/2014/chart" uri="{C3380CC4-5D6E-409C-BE32-E72D297353CC}">
                    <c16:uniqueId val="{0000001A-410F-444C-835E-1179C95E31CF}"/>
                  </c:ext>
                </c:extLst>
              </c15:ser>
            </c15:filteredScatterSeries>
          </c:ext>
        </c:extLst>
      </c:scatterChart>
      <c:catAx>
        <c:axId val="208880192"/>
        <c:scaling>
          <c:orientation val="minMax"/>
        </c:scaling>
        <c:delete val="0"/>
        <c:axPos val="b"/>
        <c:numFmt formatCode="General" sourceLinked="0"/>
        <c:majorTickMark val="out"/>
        <c:minorTickMark val="none"/>
        <c:tickLblPos val="nextTo"/>
        <c:txPr>
          <a:bodyPr/>
          <a:lstStyle/>
          <a:p>
            <a:pPr>
              <a:defRPr sz="800">
                <a:solidFill>
                  <a:schemeClr val="bg1">
                    <a:lumMod val="50000"/>
                  </a:schemeClr>
                </a:solidFill>
                <a:latin typeface="Franklin Gothic Book" panose="020B0503020102020204" pitchFamily="34" charset="0"/>
                <a:cs typeface="Arial" panose="020B0604020202020204" pitchFamily="34" charset="0"/>
              </a:defRPr>
            </a:pPr>
            <a:endParaRPr lang="en-US"/>
          </a:p>
        </c:txPr>
        <c:crossAx val="208882936"/>
        <c:crosses val="autoZero"/>
        <c:auto val="1"/>
        <c:lblAlgn val="ctr"/>
        <c:lblOffset val="100"/>
        <c:noMultiLvlLbl val="0"/>
      </c:catAx>
      <c:valAx>
        <c:axId val="208882936"/>
        <c:scaling>
          <c:orientation val="minMax"/>
        </c:scaling>
        <c:delete val="0"/>
        <c:axPos val="l"/>
        <c:majorGridlines>
          <c:spPr>
            <a:ln>
              <a:solidFill>
                <a:schemeClr val="bg1">
                  <a:lumMod val="85000"/>
                </a:schemeClr>
              </a:solidFill>
            </a:ln>
          </c:spPr>
        </c:majorGridlines>
        <c:title>
          <c:tx>
            <c:strRef>
              <c:f>SiteE!$S$19</c:f>
              <c:strCache>
                <c:ptCount val="1"/>
                <c:pt idx="0">
                  <c:v>Energy Use Intensity (kBtu/ft²)</c:v>
                </c:pt>
              </c:strCache>
            </c:strRef>
          </c:tx>
          <c:overlay val="0"/>
          <c:txPr>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sz="1000" b="1" i="0" u="none" strike="noStrike" kern="1200" baseline="0">
                  <a:solidFill>
                    <a:schemeClr val="bg1">
                      <a:lumMod val="50000"/>
                    </a:schemeClr>
                  </a:solidFill>
                  <a:latin typeface="Franklin Gothic Book" panose="020B0503020102020204" pitchFamily="34" charset="0"/>
                  <a:ea typeface="+mn-ea"/>
                  <a:cs typeface="+mn-cs"/>
                </a:defRPr>
              </a:pPr>
              <a:endParaRPr lang="en-US"/>
            </a:p>
          </c:txPr>
        </c:title>
        <c:numFmt formatCode="#,##0" sourceLinked="0"/>
        <c:majorTickMark val="out"/>
        <c:minorTickMark val="none"/>
        <c:tickLblPos val="nextTo"/>
        <c:spPr>
          <a:ln>
            <a:tailEnd type="triangle"/>
          </a:ln>
        </c:spPr>
        <c:txPr>
          <a:bodyPr/>
          <a:lstStyle/>
          <a:p>
            <a:pPr>
              <a:defRPr sz="800">
                <a:solidFill>
                  <a:schemeClr val="bg1">
                    <a:lumMod val="50000"/>
                  </a:schemeClr>
                </a:solidFill>
                <a:latin typeface="Franklin Gothic Book" panose="020B0503020102020204" pitchFamily="34" charset="0"/>
                <a:cs typeface="Arial" panose="020B0604020202020204" pitchFamily="34" charset="0"/>
              </a:defRPr>
            </a:pPr>
            <a:endParaRPr lang="en-US"/>
          </a:p>
        </c:txPr>
        <c:crossAx val="208880192"/>
        <c:crosses val="autoZero"/>
        <c:crossBetween val="between"/>
      </c:valAx>
      <c:valAx>
        <c:axId val="496618591"/>
        <c:scaling>
          <c:orientation val="minMax"/>
        </c:scaling>
        <c:delete val="1"/>
        <c:axPos val="r"/>
        <c:numFmt formatCode="_(* #,##0.0_);_(* \(#,##0.0\);_(* &quot;-&quot;??_);_(@_)" sourceLinked="1"/>
        <c:majorTickMark val="out"/>
        <c:minorTickMark val="none"/>
        <c:tickLblPos val="nextTo"/>
        <c:crossAx val="496616111"/>
        <c:crosses val="max"/>
        <c:crossBetween val="midCat"/>
      </c:valAx>
      <c:valAx>
        <c:axId val="496616111"/>
        <c:scaling>
          <c:orientation val="minMax"/>
          <c:max val="2"/>
          <c:min val="1"/>
        </c:scaling>
        <c:delete val="1"/>
        <c:axPos val="t"/>
        <c:majorTickMark val="out"/>
        <c:minorTickMark val="none"/>
        <c:tickLblPos val="nextTo"/>
        <c:crossAx val="496618591"/>
        <c:crosses val="max"/>
        <c:crossBetween val="midCat"/>
      </c:valAx>
    </c:plotArea>
    <c:legend>
      <c:legendPos val="t"/>
      <c:overlay val="0"/>
      <c:txPr>
        <a:bodyPr/>
        <a:lstStyle/>
        <a:p>
          <a:pPr>
            <a:defRPr sz="800">
              <a:latin typeface="Franklin Gothic Book" panose="020B0503020102020204" pitchFamily="34" charset="0"/>
              <a:cs typeface="Arial" panose="020B0604020202020204" pitchFamily="34" charset="0"/>
            </a:defRPr>
          </a:pPr>
          <a:endParaRPr lang="en-US"/>
        </a:p>
      </c:txPr>
    </c:legend>
    <c:plotVisOnly val="1"/>
    <c:dispBlanksAs val="gap"/>
    <c:showDLblsOverMax val="0"/>
  </c:chart>
  <c:spPr>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stacked"/>
        <c:varyColors val="0"/>
        <c:ser>
          <c:idx val="1"/>
          <c:order val="0"/>
          <c:tx>
            <c:strRef>
              <c:f>SourceE!$U$3</c:f>
              <c:strCache>
                <c:ptCount val="1"/>
                <c:pt idx="0">
                  <c:v>Heating</c:v>
                </c:pt>
              </c:strCache>
            </c:strRef>
          </c:tx>
          <c:spPr>
            <a:solidFill>
              <a:srgbClr val="EE3524"/>
            </a:solidFill>
          </c:spPr>
          <c:invertIfNegative val="0"/>
          <c:cat>
            <c:strRef>
              <c:f>SourceE!$S$6:$S$12</c:f>
              <c:strCache>
                <c:ptCount val="7"/>
                <c:pt idx="0">
                  <c:v> Proposed Design </c:v>
                </c:pt>
                <c:pt idx="1">
                  <c:v>   </c:v>
                </c:pt>
                <c:pt idx="2">
                  <c:v>   </c:v>
                </c:pt>
                <c:pt idx="3">
                  <c:v>   </c:v>
                </c:pt>
                <c:pt idx="4">
                  <c:v>   </c:v>
                </c:pt>
                <c:pt idx="5">
                  <c:v>   </c:v>
                </c:pt>
                <c:pt idx="6">
                  <c:v>   </c:v>
                </c:pt>
              </c:strCache>
            </c:strRef>
          </c:cat>
          <c:val>
            <c:numRef>
              <c:f>SourceE!SourceE_01</c:f>
              <c:numCache>
                <c:formatCode>_(* #,##0_);_(* \(#,##0\);_(* "-"??_);_(@_)</c:formatCode>
                <c:ptCount val="1"/>
                <c:pt idx="0">
                  <c:v>107344.24959999998</c:v>
                </c:pt>
              </c:numCache>
            </c:numRef>
          </c:val>
          <c:extLst>
            <c:ext xmlns:c16="http://schemas.microsoft.com/office/drawing/2014/chart" uri="{C3380CC4-5D6E-409C-BE32-E72D297353CC}">
              <c16:uniqueId val="{00000000-2EB3-469D-A6B6-618BE5E2F8F9}"/>
            </c:ext>
          </c:extLst>
        </c:ser>
        <c:ser>
          <c:idx val="2"/>
          <c:order val="1"/>
          <c:tx>
            <c:strRef>
              <c:f>SourceE!$V$3</c:f>
              <c:strCache>
                <c:ptCount val="1"/>
                <c:pt idx="0">
                  <c:v>Cooling</c:v>
                </c:pt>
              </c:strCache>
            </c:strRef>
          </c:tx>
          <c:spPr>
            <a:solidFill>
              <a:srgbClr val="00B4ED"/>
            </a:solidFill>
            <a:ln>
              <a:noFill/>
            </a:ln>
          </c:spPr>
          <c:invertIfNegative val="0"/>
          <c:cat>
            <c:strRef>
              <c:f>SourceE!$S$6:$S$12</c:f>
              <c:strCache>
                <c:ptCount val="7"/>
                <c:pt idx="0">
                  <c:v> Proposed Design </c:v>
                </c:pt>
                <c:pt idx="1">
                  <c:v>   </c:v>
                </c:pt>
                <c:pt idx="2">
                  <c:v>   </c:v>
                </c:pt>
                <c:pt idx="3">
                  <c:v>   </c:v>
                </c:pt>
                <c:pt idx="4">
                  <c:v>   </c:v>
                </c:pt>
                <c:pt idx="5">
                  <c:v>   </c:v>
                </c:pt>
                <c:pt idx="6">
                  <c:v>   </c:v>
                </c:pt>
              </c:strCache>
            </c:strRef>
          </c:cat>
          <c:val>
            <c:numRef>
              <c:f>SourceE!SourceE_02</c:f>
              <c:numCache>
                <c:formatCode>_(* #,##0_);_(* \(#,##0\);_(* "-"??_);_(@_)</c:formatCode>
                <c:ptCount val="1"/>
                <c:pt idx="0">
                  <c:v>400071.33040000004</c:v>
                </c:pt>
              </c:numCache>
            </c:numRef>
          </c:val>
          <c:extLst>
            <c:ext xmlns:c16="http://schemas.microsoft.com/office/drawing/2014/chart" uri="{C3380CC4-5D6E-409C-BE32-E72D297353CC}">
              <c16:uniqueId val="{00000001-2EB3-469D-A6B6-618BE5E2F8F9}"/>
            </c:ext>
          </c:extLst>
        </c:ser>
        <c:ser>
          <c:idx val="10"/>
          <c:order val="2"/>
          <c:tx>
            <c:strRef>
              <c:f>SourceE!$W$3</c:f>
              <c:strCache>
                <c:ptCount val="1"/>
                <c:pt idx="0">
                  <c:v>Lighting</c:v>
                </c:pt>
              </c:strCache>
            </c:strRef>
          </c:tx>
          <c:spPr>
            <a:solidFill>
              <a:srgbClr val="FFD334"/>
            </a:solidFill>
          </c:spPr>
          <c:invertIfNegative val="0"/>
          <c:cat>
            <c:strRef>
              <c:f>SourceE!$S$6:$S$12</c:f>
              <c:strCache>
                <c:ptCount val="7"/>
                <c:pt idx="0">
                  <c:v> Proposed Design </c:v>
                </c:pt>
                <c:pt idx="1">
                  <c:v>   </c:v>
                </c:pt>
                <c:pt idx="2">
                  <c:v>   </c:v>
                </c:pt>
                <c:pt idx="3">
                  <c:v>   </c:v>
                </c:pt>
                <c:pt idx="4">
                  <c:v>   </c:v>
                </c:pt>
                <c:pt idx="5">
                  <c:v>   </c:v>
                </c:pt>
                <c:pt idx="6">
                  <c:v>   </c:v>
                </c:pt>
              </c:strCache>
            </c:strRef>
          </c:cat>
          <c:val>
            <c:numRef>
              <c:f>SourceE!SourceE_03</c:f>
              <c:numCache>
                <c:formatCode>_(* #,##0_);_(* \(#,##0\);_(* "-"??_);_(@_)</c:formatCode>
                <c:ptCount val="1"/>
                <c:pt idx="0">
                  <c:v>429443.87359999999</c:v>
                </c:pt>
              </c:numCache>
            </c:numRef>
          </c:val>
          <c:extLst>
            <c:ext xmlns:c16="http://schemas.microsoft.com/office/drawing/2014/chart" uri="{C3380CC4-5D6E-409C-BE32-E72D297353CC}">
              <c16:uniqueId val="{00000002-2EB3-469D-A6B6-618BE5E2F8F9}"/>
            </c:ext>
          </c:extLst>
        </c:ser>
        <c:ser>
          <c:idx val="3"/>
          <c:order val="4"/>
          <c:tx>
            <c:strRef>
              <c:f>SourceE!$Y$3</c:f>
              <c:strCache>
                <c:ptCount val="1"/>
                <c:pt idx="0">
                  <c:v>Equipment</c:v>
                </c:pt>
              </c:strCache>
            </c:strRef>
          </c:tx>
          <c:spPr>
            <a:solidFill>
              <a:srgbClr val="E4E1DC"/>
            </a:solidFill>
          </c:spPr>
          <c:invertIfNegative val="0"/>
          <c:cat>
            <c:strRef>
              <c:f>SourceE!$S$6:$S$12</c:f>
              <c:strCache>
                <c:ptCount val="7"/>
                <c:pt idx="0">
                  <c:v> Proposed Design </c:v>
                </c:pt>
                <c:pt idx="1">
                  <c:v>   </c:v>
                </c:pt>
                <c:pt idx="2">
                  <c:v>   </c:v>
                </c:pt>
                <c:pt idx="3">
                  <c:v>   </c:v>
                </c:pt>
                <c:pt idx="4">
                  <c:v>   </c:v>
                </c:pt>
                <c:pt idx="5">
                  <c:v>   </c:v>
                </c:pt>
                <c:pt idx="6">
                  <c:v>   </c:v>
                </c:pt>
              </c:strCache>
            </c:strRef>
          </c:cat>
          <c:val>
            <c:numRef>
              <c:f>SourceE!SourceE_05</c:f>
              <c:numCache>
                <c:formatCode>_(* #,##0_);_(* \(#,##0\);_(* "-"??_);_(@_)</c:formatCode>
                <c:ptCount val="1"/>
                <c:pt idx="0">
                  <c:v>504229.45439999999</c:v>
                </c:pt>
              </c:numCache>
            </c:numRef>
          </c:val>
          <c:extLst>
            <c:ext xmlns:c16="http://schemas.microsoft.com/office/drawing/2014/chart" uri="{C3380CC4-5D6E-409C-BE32-E72D297353CC}">
              <c16:uniqueId val="{00000004-2EB3-469D-A6B6-618BE5E2F8F9}"/>
            </c:ext>
          </c:extLst>
        </c:ser>
        <c:ser>
          <c:idx val="4"/>
          <c:order val="6"/>
          <c:tx>
            <c:strRef>
              <c:f>SourceE!$AA$3</c:f>
              <c:strCache>
                <c:ptCount val="1"/>
                <c:pt idx="0">
                  <c:v>Fans</c:v>
                </c:pt>
              </c:strCache>
            </c:strRef>
          </c:tx>
          <c:spPr>
            <a:solidFill>
              <a:srgbClr val="322110"/>
            </a:solidFill>
          </c:spPr>
          <c:invertIfNegative val="0"/>
          <c:cat>
            <c:strRef>
              <c:f>SourceE!$S$6:$S$12</c:f>
              <c:strCache>
                <c:ptCount val="7"/>
                <c:pt idx="0">
                  <c:v> Proposed Design </c:v>
                </c:pt>
                <c:pt idx="1">
                  <c:v>   </c:v>
                </c:pt>
                <c:pt idx="2">
                  <c:v>   </c:v>
                </c:pt>
                <c:pt idx="3">
                  <c:v>   </c:v>
                </c:pt>
                <c:pt idx="4">
                  <c:v>   </c:v>
                </c:pt>
                <c:pt idx="5">
                  <c:v>   </c:v>
                </c:pt>
                <c:pt idx="6">
                  <c:v>   </c:v>
                </c:pt>
              </c:strCache>
            </c:strRef>
          </c:cat>
          <c:val>
            <c:numRef>
              <c:f>SourceE!SourceE_07</c:f>
              <c:numCache>
                <c:formatCode>_(* #,##0_);_(* \(#,##0\);_(* "-"??_);_(@_)</c:formatCode>
                <c:ptCount val="1"/>
                <c:pt idx="0">
                  <c:v>489428.53959999996</c:v>
                </c:pt>
              </c:numCache>
            </c:numRef>
          </c:val>
          <c:extLst>
            <c:ext xmlns:c16="http://schemas.microsoft.com/office/drawing/2014/chart" uri="{C3380CC4-5D6E-409C-BE32-E72D297353CC}">
              <c16:uniqueId val="{00000006-2EB3-469D-A6B6-618BE5E2F8F9}"/>
            </c:ext>
          </c:extLst>
        </c:ser>
        <c:dLbls>
          <c:showLegendKey val="0"/>
          <c:showVal val="0"/>
          <c:showCatName val="0"/>
          <c:showSerName val="0"/>
          <c:showPercent val="0"/>
          <c:showBubbleSize val="0"/>
        </c:dLbls>
        <c:gapWidth val="150"/>
        <c:overlap val="100"/>
        <c:axId val="453735448"/>
        <c:axId val="453733880"/>
        <c:extLst>
          <c:ext xmlns:c15="http://schemas.microsoft.com/office/drawing/2012/chart" uri="{02D57815-91ED-43cb-92C2-25804820EDAC}">
            <c15:filteredBarSeries>
              <c15:ser>
                <c:idx val="0"/>
                <c:order val="3"/>
                <c:tx>
                  <c:strRef>
                    <c:extLst>
                      <c:ext uri="{02D57815-91ED-43cb-92C2-25804820EDAC}">
                        <c15:formulaRef>
                          <c15:sqref>SourceE!$X$3</c15:sqref>
                        </c15:formulaRef>
                      </c:ext>
                    </c:extLst>
                    <c:strCache>
                      <c:ptCount val="1"/>
                      <c:pt idx="0">
                        <c:v>Exterior Lighting</c:v>
                      </c:pt>
                    </c:strCache>
                  </c:strRef>
                </c:tx>
                <c:spPr>
                  <a:solidFill>
                    <a:srgbClr val="F9A01B"/>
                  </a:solidFill>
                </c:spPr>
                <c:invertIfNegative val="0"/>
                <c:cat>
                  <c:strRef>
                    <c:extLst>
                      <c:ext uri="{02D57815-91ED-43cb-92C2-25804820EDAC}">
                        <c15:formulaRef>
                          <c15:sqref>SourceE!$S$6:$S$12</c15:sqref>
                        </c15:formulaRef>
                      </c:ext>
                    </c:extLst>
                    <c:strCache>
                      <c:ptCount val="7"/>
                      <c:pt idx="0">
                        <c:v> Proposed Design </c:v>
                      </c:pt>
                      <c:pt idx="1">
                        <c:v>   </c:v>
                      </c:pt>
                      <c:pt idx="2">
                        <c:v>   </c:v>
                      </c:pt>
                      <c:pt idx="3">
                        <c:v>   </c:v>
                      </c:pt>
                      <c:pt idx="4">
                        <c:v>   </c:v>
                      </c:pt>
                      <c:pt idx="5">
                        <c:v>   </c:v>
                      </c:pt>
                      <c:pt idx="6">
                        <c:v>   </c:v>
                      </c:pt>
                    </c:strCache>
                  </c:strRef>
                </c:cat>
                <c:val>
                  <c:numRef>
                    <c:extLst>
                      <c:ext uri="{02D57815-91ED-43cb-92C2-25804820EDAC}">
                        <c15:formulaRef>
                          <c15:sqref>SourceE!SourceE_04</c15:sqref>
                        </c15:formulaRef>
                      </c:ext>
                    </c:extLst>
                    <c:numCache>
                      <c:formatCode>_(* #,##0_);_(* \(#,##0\);_(* "-"??_);_(@_)</c:formatCode>
                      <c:ptCount val="1"/>
                      <c:pt idx="0">
                        <c:v>0</c:v>
                      </c:pt>
                    </c:numCache>
                  </c:numRef>
                </c:val>
                <c:extLst>
                  <c:ext xmlns:c16="http://schemas.microsoft.com/office/drawing/2014/chart" uri="{C3380CC4-5D6E-409C-BE32-E72D297353CC}">
                    <c16:uniqueId val="{00000003-2EB3-469D-A6B6-618BE5E2F8F9}"/>
                  </c:ext>
                </c:extLst>
              </c15:ser>
            </c15:filteredBarSeries>
            <c15:filteredBarSeries>
              <c15:ser>
                <c:idx val="9"/>
                <c:order val="5"/>
                <c:tx>
                  <c:strRef>
                    <c:extLst>
                      <c:ext xmlns:c15="http://schemas.microsoft.com/office/drawing/2012/chart" uri="{02D57815-91ED-43cb-92C2-25804820EDAC}">
                        <c15:formulaRef>
                          <c15:sqref>SourceE!$Z$3</c15:sqref>
                        </c15:formulaRef>
                      </c:ext>
                    </c:extLst>
                    <c:strCache>
                      <c:ptCount val="1"/>
                      <c:pt idx="0">
                        <c:v>Exterior Equipment</c:v>
                      </c:pt>
                    </c:strCache>
                  </c:strRef>
                </c:tx>
                <c:spPr>
                  <a:solidFill>
                    <a:srgbClr val="D4CFCB"/>
                  </a:solidFill>
                </c:spPr>
                <c:invertIfNegative val="0"/>
                <c:cat>
                  <c:strRef>
                    <c:extLst>
                      <c:ext xmlns:c15="http://schemas.microsoft.com/office/drawing/2012/chart" uri="{02D57815-91ED-43cb-92C2-25804820EDAC}">
                        <c15:formulaRef>
                          <c15:sqref>SourceE!$S$6:$S$12</c15:sqref>
                        </c15:formulaRef>
                      </c:ext>
                    </c:extLst>
                    <c:strCache>
                      <c:ptCount val="7"/>
                      <c:pt idx="0">
                        <c:v> Proposed Design </c:v>
                      </c:pt>
                      <c:pt idx="1">
                        <c:v>   </c:v>
                      </c:pt>
                      <c:pt idx="2">
                        <c:v>   </c:v>
                      </c:pt>
                      <c:pt idx="3">
                        <c:v>   </c:v>
                      </c:pt>
                      <c:pt idx="4">
                        <c:v>   </c:v>
                      </c:pt>
                      <c:pt idx="5">
                        <c:v>   </c:v>
                      </c:pt>
                      <c:pt idx="6">
                        <c:v>   </c:v>
                      </c:pt>
                    </c:strCache>
                  </c:strRef>
                </c:cat>
                <c:val>
                  <c:numRef>
                    <c:extLst>
                      <c:ext xmlns:c15="http://schemas.microsoft.com/office/drawing/2012/chart" uri="{02D57815-91ED-43cb-92C2-25804820EDAC}">
                        <c15:formulaRef>
                          <c15:sqref>SourceE!SourceE_06</c15:sqref>
                        </c15:formulaRef>
                      </c:ext>
                    </c:extLst>
                    <c:numCache>
                      <c:formatCode>_(* #,##0_);_(* \(#,##0\);_(* "-"??_);_(@_)</c:formatCode>
                      <c:ptCount val="1"/>
                      <c:pt idx="0">
                        <c:v>0</c:v>
                      </c:pt>
                    </c:numCache>
                  </c:numRef>
                </c:val>
                <c:extLst>
                  <c:ext xmlns:c16="http://schemas.microsoft.com/office/drawing/2014/chart" uri="{C3380CC4-5D6E-409C-BE32-E72D297353CC}">
                    <c16:uniqueId val="{00000005-2EB3-469D-A6B6-618BE5E2F8F9}"/>
                  </c:ext>
                </c:extLst>
              </c15:ser>
            </c15:filteredBarSeries>
            <c15:filteredBarSeries>
              <c15:ser>
                <c:idx val="5"/>
                <c:order val="7"/>
                <c:tx>
                  <c:strRef>
                    <c:extLst>
                      <c:ext xmlns:c15="http://schemas.microsoft.com/office/drawing/2012/chart" uri="{02D57815-91ED-43cb-92C2-25804820EDAC}">
                        <c15:formulaRef>
                          <c15:sqref>SourceE!$AB$3</c15:sqref>
                        </c15:formulaRef>
                      </c:ext>
                    </c:extLst>
                    <c:strCache>
                      <c:ptCount val="1"/>
                      <c:pt idx="0">
                        <c:v>Pumps</c:v>
                      </c:pt>
                    </c:strCache>
                  </c:strRef>
                </c:tx>
                <c:spPr>
                  <a:solidFill>
                    <a:srgbClr val="4E4540"/>
                  </a:solidFill>
                </c:spPr>
                <c:invertIfNegative val="0"/>
                <c:cat>
                  <c:strRef>
                    <c:extLst>
                      <c:ext xmlns:c15="http://schemas.microsoft.com/office/drawing/2012/chart" uri="{02D57815-91ED-43cb-92C2-25804820EDAC}">
                        <c15:formulaRef>
                          <c15:sqref>SourceE!$S$6:$S$12</c15:sqref>
                        </c15:formulaRef>
                      </c:ext>
                    </c:extLst>
                    <c:strCache>
                      <c:ptCount val="7"/>
                      <c:pt idx="0">
                        <c:v> Proposed Design </c:v>
                      </c:pt>
                      <c:pt idx="1">
                        <c:v>   </c:v>
                      </c:pt>
                      <c:pt idx="2">
                        <c:v>   </c:v>
                      </c:pt>
                      <c:pt idx="3">
                        <c:v>   </c:v>
                      </c:pt>
                      <c:pt idx="4">
                        <c:v>   </c:v>
                      </c:pt>
                      <c:pt idx="5">
                        <c:v>   </c:v>
                      </c:pt>
                      <c:pt idx="6">
                        <c:v>   </c:v>
                      </c:pt>
                    </c:strCache>
                  </c:strRef>
                </c:cat>
                <c:val>
                  <c:numRef>
                    <c:extLst>
                      <c:ext xmlns:c15="http://schemas.microsoft.com/office/drawing/2012/chart" uri="{02D57815-91ED-43cb-92C2-25804820EDAC}">
                        <c15:formulaRef>
                          <c15:sqref>SourceE!SourceE_08</c15:sqref>
                        </c15:formulaRef>
                      </c:ext>
                    </c:extLst>
                    <c:numCache>
                      <c:formatCode>_(* #,##0_);_(* \(#,##0\);_(* "-"??_);_(@_)</c:formatCode>
                      <c:ptCount val="1"/>
                      <c:pt idx="0">
                        <c:v>0</c:v>
                      </c:pt>
                    </c:numCache>
                  </c:numRef>
                </c:val>
                <c:extLst>
                  <c:ext xmlns:c16="http://schemas.microsoft.com/office/drawing/2014/chart" uri="{C3380CC4-5D6E-409C-BE32-E72D297353CC}">
                    <c16:uniqueId val="{00000007-2EB3-469D-A6B6-618BE5E2F8F9}"/>
                  </c:ext>
                </c:extLst>
              </c15:ser>
            </c15:filteredBarSeries>
            <c15:filteredBarSeries>
              <c15:ser>
                <c:idx val="8"/>
                <c:order val="8"/>
                <c:tx>
                  <c:strRef>
                    <c:extLst>
                      <c:ext xmlns:c15="http://schemas.microsoft.com/office/drawing/2012/chart" uri="{02D57815-91ED-43cb-92C2-25804820EDAC}">
                        <c15:formulaRef>
                          <c15:sqref>SourceE!$AC$3</c15:sqref>
                        </c15:formulaRef>
                      </c:ext>
                    </c:extLst>
                    <c:strCache>
                      <c:ptCount val="1"/>
                      <c:pt idx="0">
                        <c:v>Heat Rejection</c:v>
                      </c:pt>
                    </c:strCache>
                  </c:strRef>
                </c:tx>
                <c:spPr>
                  <a:solidFill>
                    <a:srgbClr val="F05D77"/>
                  </a:solidFill>
                </c:spPr>
                <c:invertIfNegative val="0"/>
                <c:cat>
                  <c:strRef>
                    <c:extLst>
                      <c:ext xmlns:c15="http://schemas.microsoft.com/office/drawing/2012/chart" uri="{02D57815-91ED-43cb-92C2-25804820EDAC}">
                        <c15:formulaRef>
                          <c15:sqref>SourceE!$S$6:$S$12</c15:sqref>
                        </c15:formulaRef>
                      </c:ext>
                    </c:extLst>
                    <c:strCache>
                      <c:ptCount val="7"/>
                      <c:pt idx="0">
                        <c:v> Proposed Design </c:v>
                      </c:pt>
                      <c:pt idx="1">
                        <c:v>   </c:v>
                      </c:pt>
                      <c:pt idx="2">
                        <c:v>   </c:v>
                      </c:pt>
                      <c:pt idx="3">
                        <c:v>   </c:v>
                      </c:pt>
                      <c:pt idx="4">
                        <c:v>   </c:v>
                      </c:pt>
                      <c:pt idx="5">
                        <c:v>   </c:v>
                      </c:pt>
                      <c:pt idx="6">
                        <c:v>   </c:v>
                      </c:pt>
                    </c:strCache>
                  </c:strRef>
                </c:cat>
                <c:val>
                  <c:numRef>
                    <c:extLst>
                      <c:ext xmlns:c15="http://schemas.microsoft.com/office/drawing/2012/chart" uri="{02D57815-91ED-43cb-92C2-25804820EDAC}">
                        <c15:formulaRef>
                          <c15:sqref>SourceE!SourceE_09</c15:sqref>
                        </c15:formulaRef>
                      </c:ext>
                    </c:extLst>
                    <c:numCache>
                      <c:formatCode>_(* #,##0_);_(* \(#,##0\);_(* "-"??_);_(@_)</c:formatCode>
                      <c:ptCount val="1"/>
                      <c:pt idx="0">
                        <c:v>0</c:v>
                      </c:pt>
                    </c:numCache>
                  </c:numRef>
                </c:val>
                <c:extLst>
                  <c:ext xmlns:c16="http://schemas.microsoft.com/office/drawing/2014/chart" uri="{C3380CC4-5D6E-409C-BE32-E72D297353CC}">
                    <c16:uniqueId val="{00000008-2EB3-469D-A6B6-618BE5E2F8F9}"/>
                  </c:ext>
                </c:extLst>
              </c15:ser>
            </c15:filteredBarSeries>
            <c15:filteredBarSeries>
              <c15:ser>
                <c:idx val="7"/>
                <c:order val="9"/>
                <c:tx>
                  <c:strRef>
                    <c:extLst>
                      <c:ext xmlns:c15="http://schemas.microsoft.com/office/drawing/2012/chart" uri="{02D57815-91ED-43cb-92C2-25804820EDAC}">
                        <c15:formulaRef>
                          <c15:sqref>SourceE!$AD$3</c15:sqref>
                        </c15:formulaRef>
                      </c:ext>
                    </c:extLst>
                    <c:strCache>
                      <c:ptCount val="1"/>
                      <c:pt idx="0">
                        <c:v>Humidification</c:v>
                      </c:pt>
                    </c:strCache>
                  </c:strRef>
                </c:tx>
                <c:spPr>
                  <a:solidFill>
                    <a:srgbClr val="0058A4"/>
                  </a:solidFill>
                </c:spPr>
                <c:invertIfNegative val="0"/>
                <c:cat>
                  <c:strRef>
                    <c:extLst>
                      <c:ext xmlns:c15="http://schemas.microsoft.com/office/drawing/2012/chart" uri="{02D57815-91ED-43cb-92C2-25804820EDAC}">
                        <c15:formulaRef>
                          <c15:sqref>SourceE!$S$6:$S$12</c15:sqref>
                        </c15:formulaRef>
                      </c:ext>
                    </c:extLst>
                    <c:strCache>
                      <c:ptCount val="7"/>
                      <c:pt idx="0">
                        <c:v> Proposed Design </c:v>
                      </c:pt>
                      <c:pt idx="1">
                        <c:v>   </c:v>
                      </c:pt>
                      <c:pt idx="2">
                        <c:v>   </c:v>
                      </c:pt>
                      <c:pt idx="3">
                        <c:v>   </c:v>
                      </c:pt>
                      <c:pt idx="4">
                        <c:v>   </c:v>
                      </c:pt>
                      <c:pt idx="5">
                        <c:v>   </c:v>
                      </c:pt>
                      <c:pt idx="6">
                        <c:v>   </c:v>
                      </c:pt>
                    </c:strCache>
                  </c:strRef>
                </c:cat>
                <c:val>
                  <c:numRef>
                    <c:extLst>
                      <c:ext xmlns:c15="http://schemas.microsoft.com/office/drawing/2012/chart" uri="{02D57815-91ED-43cb-92C2-25804820EDAC}">
                        <c15:formulaRef>
                          <c15:sqref>SourceE!SourceE_10</c15:sqref>
                        </c15:formulaRef>
                      </c:ext>
                    </c:extLst>
                    <c:numCache>
                      <c:formatCode>_(* #,##0_);_(* \(#,##0\);_(* "-"??_);_(@_)</c:formatCode>
                      <c:ptCount val="1"/>
                      <c:pt idx="0">
                        <c:v>0</c:v>
                      </c:pt>
                    </c:numCache>
                  </c:numRef>
                </c:val>
                <c:extLst>
                  <c:ext xmlns:c16="http://schemas.microsoft.com/office/drawing/2014/chart" uri="{C3380CC4-5D6E-409C-BE32-E72D297353CC}">
                    <c16:uniqueId val="{00000009-2EB3-469D-A6B6-618BE5E2F8F9}"/>
                  </c:ext>
                </c:extLst>
              </c15:ser>
            </c15:filteredBarSeries>
            <c15:filteredBarSeries>
              <c15:ser>
                <c:idx val="19"/>
                <c:order val="10"/>
                <c:tx>
                  <c:strRef>
                    <c:extLst>
                      <c:ext xmlns:c15="http://schemas.microsoft.com/office/drawing/2012/chart" uri="{02D57815-91ED-43cb-92C2-25804820EDAC}">
                        <c15:formulaRef>
                          <c15:sqref>SourceE!$AE$3</c15:sqref>
                        </c15:formulaRef>
                      </c:ext>
                    </c:extLst>
                    <c:strCache>
                      <c:ptCount val="1"/>
                      <c:pt idx="0">
                        <c:v>Heat Recovery</c:v>
                      </c:pt>
                    </c:strCache>
                  </c:strRef>
                </c:tx>
                <c:spPr>
                  <a:solidFill>
                    <a:srgbClr val="F8B1AA"/>
                  </a:solidFill>
                </c:spPr>
                <c:invertIfNegative val="0"/>
                <c:cat>
                  <c:strRef>
                    <c:extLst>
                      <c:ext xmlns:c15="http://schemas.microsoft.com/office/drawing/2012/chart" uri="{02D57815-91ED-43cb-92C2-25804820EDAC}">
                        <c15:formulaRef>
                          <c15:sqref>SourceE!$S$6:$S$12</c15:sqref>
                        </c15:formulaRef>
                      </c:ext>
                    </c:extLst>
                    <c:strCache>
                      <c:ptCount val="7"/>
                      <c:pt idx="0">
                        <c:v> Proposed Design </c:v>
                      </c:pt>
                      <c:pt idx="1">
                        <c:v>   </c:v>
                      </c:pt>
                      <c:pt idx="2">
                        <c:v>   </c:v>
                      </c:pt>
                      <c:pt idx="3">
                        <c:v>   </c:v>
                      </c:pt>
                      <c:pt idx="4">
                        <c:v>   </c:v>
                      </c:pt>
                      <c:pt idx="5">
                        <c:v>   </c:v>
                      </c:pt>
                      <c:pt idx="6">
                        <c:v>   </c:v>
                      </c:pt>
                    </c:strCache>
                  </c:strRef>
                </c:cat>
                <c:val>
                  <c:numRef>
                    <c:extLst>
                      <c:ext xmlns:c15="http://schemas.microsoft.com/office/drawing/2012/chart" uri="{02D57815-91ED-43cb-92C2-25804820EDAC}">
                        <c15:formulaRef>
                          <c15:sqref>SourceE!SourceE_11</c15:sqref>
                        </c15:formulaRef>
                      </c:ext>
                    </c:extLst>
                    <c:numCache>
                      <c:formatCode>_(* #,##0_);_(* \(#,##0\);_(* "-"??_);_(@_)</c:formatCode>
                      <c:ptCount val="1"/>
                      <c:pt idx="0">
                        <c:v>0</c:v>
                      </c:pt>
                    </c:numCache>
                  </c:numRef>
                </c:val>
                <c:extLst>
                  <c:ext xmlns:c16="http://schemas.microsoft.com/office/drawing/2014/chart" uri="{C3380CC4-5D6E-409C-BE32-E72D297353CC}">
                    <c16:uniqueId val="{0000000A-2EB3-469D-A6B6-618BE5E2F8F9}"/>
                  </c:ext>
                </c:extLst>
              </c15:ser>
            </c15:filteredBarSeries>
            <c15:filteredBarSeries>
              <c15:ser>
                <c:idx val="14"/>
                <c:order val="11"/>
                <c:tx>
                  <c:strRef>
                    <c:extLst>
                      <c:ext xmlns:c15="http://schemas.microsoft.com/office/drawing/2012/chart" uri="{02D57815-91ED-43cb-92C2-25804820EDAC}">
                        <c15:formulaRef>
                          <c15:sqref>SourceE!$AF$3</c15:sqref>
                        </c15:formulaRef>
                      </c:ext>
                    </c:extLst>
                    <c:strCache>
                      <c:ptCount val="1"/>
                      <c:pt idx="0">
                        <c:v>Water Systems</c:v>
                      </c:pt>
                    </c:strCache>
                  </c:strRef>
                </c:tx>
                <c:spPr>
                  <a:solidFill>
                    <a:srgbClr val="A71C0D"/>
                  </a:solidFill>
                </c:spPr>
                <c:invertIfNegative val="0"/>
                <c:cat>
                  <c:strRef>
                    <c:extLst>
                      <c:ext xmlns:c15="http://schemas.microsoft.com/office/drawing/2012/chart" uri="{02D57815-91ED-43cb-92C2-25804820EDAC}">
                        <c15:formulaRef>
                          <c15:sqref>SourceE!$S$6:$S$12</c15:sqref>
                        </c15:formulaRef>
                      </c:ext>
                    </c:extLst>
                    <c:strCache>
                      <c:ptCount val="7"/>
                      <c:pt idx="0">
                        <c:v> Proposed Design </c:v>
                      </c:pt>
                      <c:pt idx="1">
                        <c:v>   </c:v>
                      </c:pt>
                      <c:pt idx="2">
                        <c:v>   </c:v>
                      </c:pt>
                      <c:pt idx="3">
                        <c:v>   </c:v>
                      </c:pt>
                      <c:pt idx="4">
                        <c:v>   </c:v>
                      </c:pt>
                      <c:pt idx="5">
                        <c:v>   </c:v>
                      </c:pt>
                      <c:pt idx="6">
                        <c:v>   </c:v>
                      </c:pt>
                    </c:strCache>
                  </c:strRef>
                </c:cat>
                <c:val>
                  <c:numRef>
                    <c:extLst>
                      <c:ext xmlns:c15="http://schemas.microsoft.com/office/drawing/2012/chart" uri="{02D57815-91ED-43cb-92C2-25804820EDAC}">
                        <c15:formulaRef>
                          <c15:sqref>SourceE!SourceE_12</c15:sqref>
                        </c15:formulaRef>
                      </c:ext>
                    </c:extLst>
                    <c:numCache>
                      <c:formatCode>_(* #,##0_);_(* \(#,##0\);_(* "-"??_);_(@_)</c:formatCode>
                      <c:ptCount val="1"/>
                      <c:pt idx="0">
                        <c:v>0</c:v>
                      </c:pt>
                    </c:numCache>
                  </c:numRef>
                </c:val>
                <c:extLst xmlns:c15="http://schemas.microsoft.com/office/drawing/2012/chart">
                  <c:ext xmlns:c16="http://schemas.microsoft.com/office/drawing/2014/chart" uri="{C3380CC4-5D6E-409C-BE32-E72D297353CC}">
                    <c16:uniqueId val="{0000000B-2EB3-469D-A6B6-618BE5E2F8F9}"/>
                  </c:ext>
                </c:extLst>
              </c15:ser>
            </c15:filteredBarSeries>
            <c15:filteredBarSeries>
              <c15:ser>
                <c:idx val="15"/>
                <c:order val="12"/>
                <c:tx>
                  <c:strRef>
                    <c:extLst>
                      <c:ext xmlns:c15="http://schemas.microsoft.com/office/drawing/2012/chart" uri="{02D57815-91ED-43cb-92C2-25804820EDAC}">
                        <c15:formulaRef>
                          <c15:sqref>SourceE!$AG$3</c15:sqref>
                        </c15:formulaRef>
                      </c:ext>
                    </c:extLst>
                    <c:strCache>
                      <c:ptCount val="1"/>
                      <c:pt idx="0">
                        <c:v>Refrigeration</c:v>
                      </c:pt>
                    </c:strCache>
                  </c:strRef>
                </c:tx>
                <c:spPr>
                  <a:solidFill>
                    <a:srgbClr val="A1ABB2"/>
                  </a:solidFill>
                </c:spPr>
                <c:invertIfNegative val="0"/>
                <c:cat>
                  <c:strRef>
                    <c:extLst>
                      <c:ext xmlns:c15="http://schemas.microsoft.com/office/drawing/2012/chart" uri="{02D57815-91ED-43cb-92C2-25804820EDAC}">
                        <c15:formulaRef>
                          <c15:sqref>SourceE!$S$6:$S$12</c15:sqref>
                        </c15:formulaRef>
                      </c:ext>
                    </c:extLst>
                    <c:strCache>
                      <c:ptCount val="7"/>
                      <c:pt idx="0">
                        <c:v> Proposed Design </c:v>
                      </c:pt>
                      <c:pt idx="1">
                        <c:v>   </c:v>
                      </c:pt>
                      <c:pt idx="2">
                        <c:v>   </c:v>
                      </c:pt>
                      <c:pt idx="3">
                        <c:v>   </c:v>
                      </c:pt>
                      <c:pt idx="4">
                        <c:v>   </c:v>
                      </c:pt>
                      <c:pt idx="5">
                        <c:v>   </c:v>
                      </c:pt>
                      <c:pt idx="6">
                        <c:v>   </c:v>
                      </c:pt>
                    </c:strCache>
                  </c:strRef>
                </c:cat>
                <c:val>
                  <c:numRef>
                    <c:extLst>
                      <c:ext xmlns:c15="http://schemas.microsoft.com/office/drawing/2012/chart" uri="{02D57815-91ED-43cb-92C2-25804820EDAC}">
                        <c15:formulaRef>
                          <c15:sqref>SourceE!SourceE_13</c15:sqref>
                        </c15:formulaRef>
                      </c:ext>
                    </c:extLst>
                    <c:numCache>
                      <c:formatCode>_(* #,##0_);_(* \(#,##0\);_(* "-"??_);_(@_)</c:formatCode>
                      <c:ptCount val="1"/>
                      <c:pt idx="0">
                        <c:v>0</c:v>
                      </c:pt>
                    </c:numCache>
                  </c:numRef>
                </c:val>
                <c:extLst xmlns:c15="http://schemas.microsoft.com/office/drawing/2012/chart">
                  <c:ext xmlns:c16="http://schemas.microsoft.com/office/drawing/2014/chart" uri="{C3380CC4-5D6E-409C-BE32-E72D297353CC}">
                    <c16:uniqueId val="{0000000C-2EB3-469D-A6B6-618BE5E2F8F9}"/>
                  </c:ext>
                </c:extLst>
              </c15:ser>
            </c15:filteredBarSeries>
            <c15:filteredBarSeries>
              <c15:ser>
                <c:idx val="11"/>
                <c:order val="13"/>
                <c:tx>
                  <c:strRef>
                    <c:extLst>
                      <c:ext xmlns:c15="http://schemas.microsoft.com/office/drawing/2012/chart" uri="{02D57815-91ED-43cb-92C2-25804820EDAC}">
                        <c15:formulaRef>
                          <c15:sqref>SourceE!$AH$3</c15:sqref>
                        </c15:formulaRef>
                      </c:ext>
                    </c:extLst>
                    <c:strCache>
                      <c:ptCount val="1"/>
                      <c:pt idx="0">
                        <c:v>Generators</c:v>
                      </c:pt>
                    </c:strCache>
                  </c:strRef>
                </c:tx>
                <c:spPr>
                  <a:solidFill>
                    <a:srgbClr val="A1ABB2"/>
                  </a:solidFill>
                </c:spPr>
                <c:invertIfNegative val="0"/>
                <c:cat>
                  <c:strRef>
                    <c:extLst>
                      <c:ext xmlns:c15="http://schemas.microsoft.com/office/drawing/2012/chart" uri="{02D57815-91ED-43cb-92C2-25804820EDAC}">
                        <c15:formulaRef>
                          <c15:sqref>SourceE!$S$6:$S$12</c15:sqref>
                        </c15:formulaRef>
                      </c:ext>
                    </c:extLst>
                    <c:strCache>
                      <c:ptCount val="7"/>
                      <c:pt idx="0">
                        <c:v> Proposed Design </c:v>
                      </c:pt>
                      <c:pt idx="1">
                        <c:v>   </c:v>
                      </c:pt>
                      <c:pt idx="2">
                        <c:v>   </c:v>
                      </c:pt>
                      <c:pt idx="3">
                        <c:v>   </c:v>
                      </c:pt>
                      <c:pt idx="4">
                        <c:v>   </c:v>
                      </c:pt>
                      <c:pt idx="5">
                        <c:v>   </c:v>
                      </c:pt>
                      <c:pt idx="6">
                        <c:v>   </c:v>
                      </c:pt>
                    </c:strCache>
                  </c:strRef>
                </c:cat>
                <c:val>
                  <c:numRef>
                    <c:extLst>
                      <c:ext xmlns:c15="http://schemas.microsoft.com/office/drawing/2012/chart" uri="{02D57815-91ED-43cb-92C2-25804820EDAC}">
                        <c15:formulaRef>
                          <c15:sqref>SourceE!SourceE_14</c15:sqref>
                        </c15:formulaRef>
                      </c:ext>
                    </c:extLst>
                    <c:numCache>
                      <c:formatCode>_(* #,##0_);_(* \(#,##0\);_(* "-"??_);_(@_)</c:formatCode>
                      <c:ptCount val="1"/>
                      <c:pt idx="0">
                        <c:v>0</c:v>
                      </c:pt>
                    </c:numCache>
                  </c:numRef>
                </c:val>
                <c:extLst>
                  <c:ext xmlns:c16="http://schemas.microsoft.com/office/drawing/2014/chart" uri="{C3380CC4-5D6E-409C-BE32-E72D297353CC}">
                    <c16:uniqueId val="{0000000F-2EB3-469D-A6B6-618BE5E2F8F9}"/>
                  </c:ext>
                </c:extLst>
              </c15:ser>
            </c15:filteredBarSeries>
            <c15:filteredBarSeries>
              <c15:ser>
                <c:idx val="16"/>
                <c:order val="14"/>
                <c:tx>
                  <c:strRef>
                    <c:extLst>
                      <c:ext xmlns:c15="http://schemas.microsoft.com/office/drawing/2012/chart" uri="{02D57815-91ED-43cb-92C2-25804820EDAC}">
                        <c15:formulaRef>
                          <c15:sqref>SourceE!$AI$3</c15:sqref>
                        </c15:formulaRef>
                      </c:ext>
                    </c:extLst>
                    <c:strCache>
                      <c:ptCount val="1"/>
                      <c:pt idx="0">
                        <c:v> </c:v>
                      </c:pt>
                    </c:strCache>
                  </c:strRef>
                </c:tx>
                <c:invertIfNegative val="0"/>
                <c:cat>
                  <c:strRef>
                    <c:extLst>
                      <c:ext xmlns:c15="http://schemas.microsoft.com/office/drawing/2012/chart" uri="{02D57815-91ED-43cb-92C2-25804820EDAC}">
                        <c15:formulaRef>
                          <c15:sqref>SourceE!$S$6:$S$12</c15:sqref>
                        </c15:formulaRef>
                      </c:ext>
                    </c:extLst>
                    <c:strCache>
                      <c:ptCount val="7"/>
                      <c:pt idx="0">
                        <c:v> Proposed Design </c:v>
                      </c:pt>
                      <c:pt idx="1">
                        <c:v>   </c:v>
                      </c:pt>
                      <c:pt idx="2">
                        <c:v>   </c:v>
                      </c:pt>
                      <c:pt idx="3">
                        <c:v>   </c:v>
                      </c:pt>
                      <c:pt idx="4">
                        <c:v>   </c:v>
                      </c:pt>
                      <c:pt idx="5">
                        <c:v>   </c:v>
                      </c:pt>
                      <c:pt idx="6">
                        <c:v>   </c:v>
                      </c:pt>
                    </c:strCache>
                  </c:strRef>
                </c:cat>
                <c:val>
                  <c:numRef>
                    <c:extLst>
                      <c:ext xmlns:c15="http://schemas.microsoft.com/office/drawing/2012/chart" uri="{02D57815-91ED-43cb-92C2-25804820EDAC}">
                        <c15:formulaRef>
                          <c15:sqref>SourceE!SourceE_15</c15:sqref>
                        </c15:formulaRef>
                      </c:ext>
                    </c:extLst>
                    <c:numCache>
                      <c:formatCode>_(* #,##0_);_(* \(#,##0\);_(* "-"??_);_(@_)</c:formatCode>
                      <c:ptCount val="1"/>
                      <c:pt idx="0">
                        <c:v>0</c:v>
                      </c:pt>
                    </c:numCache>
                  </c:numRef>
                </c:val>
                <c:extLst xmlns:c15="http://schemas.microsoft.com/office/drawing/2012/chart">
                  <c:ext xmlns:c16="http://schemas.microsoft.com/office/drawing/2014/chart" uri="{C3380CC4-5D6E-409C-BE32-E72D297353CC}">
                    <c16:uniqueId val="{00000012-2EB3-469D-A6B6-618BE5E2F8F9}"/>
                  </c:ext>
                </c:extLst>
              </c15:ser>
            </c15:filteredBarSeries>
            <c15:filteredBarSeries>
              <c15:ser>
                <c:idx val="18"/>
                <c:order val="15"/>
                <c:tx>
                  <c:strRef>
                    <c:extLst>
                      <c:ext xmlns:c15="http://schemas.microsoft.com/office/drawing/2012/chart" uri="{02D57815-91ED-43cb-92C2-25804820EDAC}">
                        <c15:formulaRef>
                          <c15:sqref>SourceE!$AJ$3</c15:sqref>
                        </c15:formulaRef>
                      </c:ext>
                    </c:extLst>
                    <c:strCache>
                      <c:ptCount val="1"/>
                      <c:pt idx="0">
                        <c:v> </c:v>
                      </c:pt>
                    </c:strCache>
                  </c:strRef>
                </c:tx>
                <c:spPr>
                  <a:solidFill>
                    <a:srgbClr val="3C393C"/>
                  </a:solidFill>
                </c:spPr>
                <c:invertIfNegative val="0"/>
                <c:cat>
                  <c:strRef>
                    <c:extLst>
                      <c:ext xmlns:c15="http://schemas.microsoft.com/office/drawing/2012/chart" uri="{02D57815-91ED-43cb-92C2-25804820EDAC}">
                        <c15:formulaRef>
                          <c15:sqref>SourceE!$S$6:$S$12</c15:sqref>
                        </c15:formulaRef>
                      </c:ext>
                    </c:extLst>
                    <c:strCache>
                      <c:ptCount val="7"/>
                      <c:pt idx="0">
                        <c:v> Proposed Design </c:v>
                      </c:pt>
                      <c:pt idx="1">
                        <c:v>   </c:v>
                      </c:pt>
                      <c:pt idx="2">
                        <c:v>   </c:v>
                      </c:pt>
                      <c:pt idx="3">
                        <c:v>   </c:v>
                      </c:pt>
                      <c:pt idx="4">
                        <c:v>   </c:v>
                      </c:pt>
                      <c:pt idx="5">
                        <c:v>   </c:v>
                      </c:pt>
                      <c:pt idx="6">
                        <c:v>   </c:v>
                      </c:pt>
                    </c:strCache>
                  </c:strRef>
                </c:cat>
                <c:val>
                  <c:numRef>
                    <c:extLst>
                      <c:ext xmlns:c15="http://schemas.microsoft.com/office/drawing/2012/chart" uri="{02D57815-91ED-43cb-92C2-25804820EDAC}">
                        <c15:formulaRef>
                          <c15:sqref>SourceE!SourceE_16</c15:sqref>
                        </c15:formulaRef>
                      </c:ext>
                    </c:extLst>
                    <c:numCache>
                      <c:formatCode>_(* #,##0_);_(* \(#,##0\);_(* "-"??_);_(@_)</c:formatCode>
                      <c:ptCount val="1"/>
                      <c:pt idx="0">
                        <c:v>0</c:v>
                      </c:pt>
                    </c:numCache>
                  </c:numRef>
                </c:val>
                <c:extLst>
                  <c:ext xmlns:c16="http://schemas.microsoft.com/office/drawing/2014/chart" uri="{C3380CC4-5D6E-409C-BE32-E72D297353CC}">
                    <c16:uniqueId val="{00000013-2EB3-469D-A6B6-618BE5E2F8F9}"/>
                  </c:ext>
                </c:extLst>
              </c15:ser>
            </c15:filteredBarSeries>
            <c15:filteredBarSeries>
              <c15:ser>
                <c:idx val="17"/>
                <c:order val="16"/>
                <c:tx>
                  <c:strRef>
                    <c:extLst>
                      <c:ext xmlns:c15="http://schemas.microsoft.com/office/drawing/2012/chart" uri="{02D57815-91ED-43cb-92C2-25804820EDAC}">
                        <c15:formulaRef>
                          <c15:sqref>SourceE!$AK$3</c15:sqref>
                        </c15:formulaRef>
                      </c:ext>
                    </c:extLst>
                    <c:strCache>
                      <c:ptCount val="1"/>
                      <c:pt idx="0">
                        <c:v>Uncertainty</c:v>
                      </c:pt>
                    </c:strCache>
                  </c:strRef>
                </c:tx>
                <c:spPr>
                  <a:noFill/>
                  <a:ln w="12700">
                    <a:solidFill>
                      <a:schemeClr val="bg1">
                        <a:lumMod val="50000"/>
                      </a:schemeClr>
                    </a:solidFill>
                    <a:prstDash val="dash"/>
                  </a:ln>
                </c:spPr>
                <c:invertIfNegative val="0"/>
                <c:cat>
                  <c:strRef>
                    <c:extLst>
                      <c:ext xmlns:c15="http://schemas.microsoft.com/office/drawing/2012/chart" uri="{02D57815-91ED-43cb-92C2-25804820EDAC}">
                        <c15:formulaRef>
                          <c15:sqref>SourceE!$S$6:$S$12</c15:sqref>
                        </c15:formulaRef>
                      </c:ext>
                    </c:extLst>
                    <c:strCache>
                      <c:ptCount val="7"/>
                      <c:pt idx="0">
                        <c:v> Proposed Design </c:v>
                      </c:pt>
                      <c:pt idx="1">
                        <c:v>   </c:v>
                      </c:pt>
                      <c:pt idx="2">
                        <c:v>   </c:v>
                      </c:pt>
                      <c:pt idx="3">
                        <c:v>   </c:v>
                      </c:pt>
                      <c:pt idx="4">
                        <c:v>   </c:v>
                      </c:pt>
                      <c:pt idx="5">
                        <c:v>   </c:v>
                      </c:pt>
                      <c:pt idx="6">
                        <c:v>   </c:v>
                      </c:pt>
                    </c:strCache>
                  </c:strRef>
                </c:cat>
                <c:val>
                  <c:numRef>
                    <c:extLst>
                      <c:ext xmlns:c15="http://schemas.microsoft.com/office/drawing/2012/chart" uri="{02D57815-91ED-43cb-92C2-25804820EDAC}">
                        <c15:formulaRef>
                          <c15:sqref>SourceE!SourceE_17</c15:sqref>
                        </c15:formulaRef>
                      </c:ext>
                    </c:extLst>
                    <c:numCache>
                      <c:formatCode>_(* #,##0_);_(* \(#,##0\);_(* "-"??_);_(@_)</c:formatCode>
                      <c:ptCount val="1"/>
                      <c:pt idx="0">
                        <c:v>0</c:v>
                      </c:pt>
                    </c:numCache>
                  </c:numRef>
                </c:val>
                <c:extLst xmlns:c15="http://schemas.microsoft.com/office/drawing/2012/chart">
                  <c:ext xmlns:c16="http://schemas.microsoft.com/office/drawing/2014/chart" uri="{C3380CC4-5D6E-409C-BE32-E72D297353CC}">
                    <c16:uniqueId val="{00000014-2EB3-469D-A6B6-618BE5E2F8F9}"/>
                  </c:ext>
                </c:extLst>
              </c15:ser>
            </c15:filteredBarSeries>
            <c15:filteredBarSeries>
              <c15:ser>
                <c:idx val="6"/>
                <c:order val="17"/>
                <c:tx>
                  <c:strRef>
                    <c:extLst>
                      <c:ext xmlns:c15="http://schemas.microsoft.com/office/drawing/2012/chart" uri="{02D57815-91ED-43cb-92C2-25804820EDAC}">
                        <c15:formulaRef>
                          <c15:sqref>SourceE!$AL$3</c15:sqref>
                        </c15:formulaRef>
                      </c:ext>
                    </c:extLst>
                    <c:strCache>
                      <c:ptCount val="1"/>
                      <c:pt idx="0">
                        <c:v>PV</c:v>
                      </c:pt>
                    </c:strCache>
                  </c:strRef>
                </c:tx>
                <c:invertIfNegative val="0"/>
                <c:cat>
                  <c:strRef>
                    <c:extLst>
                      <c:ext xmlns:c15="http://schemas.microsoft.com/office/drawing/2012/chart" uri="{02D57815-91ED-43cb-92C2-25804820EDAC}">
                        <c15:formulaRef>
                          <c15:sqref>SourceE!$S$6:$S$12</c15:sqref>
                        </c15:formulaRef>
                      </c:ext>
                    </c:extLst>
                    <c:strCache>
                      <c:ptCount val="7"/>
                      <c:pt idx="0">
                        <c:v> Proposed Design </c:v>
                      </c:pt>
                      <c:pt idx="1">
                        <c:v>   </c:v>
                      </c:pt>
                      <c:pt idx="2">
                        <c:v>   </c:v>
                      </c:pt>
                      <c:pt idx="3">
                        <c:v>   </c:v>
                      </c:pt>
                      <c:pt idx="4">
                        <c:v>   </c:v>
                      </c:pt>
                      <c:pt idx="5">
                        <c:v>   </c:v>
                      </c:pt>
                      <c:pt idx="6">
                        <c:v>   </c:v>
                      </c:pt>
                    </c:strCache>
                  </c:strRef>
                </c:cat>
                <c:val>
                  <c:numRef>
                    <c:extLst>
                      <c:ext xmlns:c15="http://schemas.microsoft.com/office/drawing/2012/chart" uri="{02D57815-91ED-43cb-92C2-25804820EDAC}">
                        <c15:formulaRef>
                          <c15:sqref>SourceE!SourceE_18</c15:sqref>
                        </c15:formulaRef>
                      </c:ext>
                    </c:extLst>
                    <c:numCache>
                      <c:formatCode>_(* #,##0_);_(* \(#,##0\);_(* "-"??_);_(@_)</c:formatCode>
                      <c:ptCount val="1"/>
                      <c:pt idx="0">
                        <c:v>0</c:v>
                      </c:pt>
                    </c:numCache>
                  </c:numRef>
                </c:val>
                <c:extLst xmlns:c15="http://schemas.microsoft.com/office/drawing/2012/chart">
                  <c:ext xmlns:c16="http://schemas.microsoft.com/office/drawing/2014/chart" uri="{C3380CC4-5D6E-409C-BE32-E72D297353CC}">
                    <c16:uniqueId val="{00000015-2EB3-469D-A6B6-618BE5E2F8F9}"/>
                  </c:ext>
                </c:extLst>
              </c15:ser>
            </c15:filteredBarSeries>
            <c15:filteredBarSeries>
              <c15:ser>
                <c:idx val="12"/>
                <c:order val="18"/>
                <c:tx>
                  <c:strRef>
                    <c:extLst>
                      <c:ext xmlns:c15="http://schemas.microsoft.com/office/drawing/2012/chart" uri="{02D57815-91ED-43cb-92C2-25804820EDAC}">
                        <c15:formulaRef>
                          <c15:sqref>SourceE!$AM$3</c15:sqref>
                        </c15:formulaRef>
                      </c:ext>
                    </c:extLst>
                    <c:strCache>
                      <c:ptCount val="1"/>
                      <c:pt idx="0">
                        <c:v>Wind</c:v>
                      </c:pt>
                    </c:strCache>
                  </c:strRef>
                </c:tx>
                <c:invertIfNegative val="0"/>
                <c:cat>
                  <c:strRef>
                    <c:extLst>
                      <c:ext xmlns:c15="http://schemas.microsoft.com/office/drawing/2012/chart" uri="{02D57815-91ED-43cb-92C2-25804820EDAC}">
                        <c15:formulaRef>
                          <c15:sqref>SourceE!$S$6:$S$12</c15:sqref>
                        </c15:formulaRef>
                      </c:ext>
                    </c:extLst>
                    <c:strCache>
                      <c:ptCount val="7"/>
                      <c:pt idx="0">
                        <c:v> Proposed Design </c:v>
                      </c:pt>
                      <c:pt idx="1">
                        <c:v>   </c:v>
                      </c:pt>
                      <c:pt idx="2">
                        <c:v>   </c:v>
                      </c:pt>
                      <c:pt idx="3">
                        <c:v>   </c:v>
                      </c:pt>
                      <c:pt idx="4">
                        <c:v>   </c:v>
                      </c:pt>
                      <c:pt idx="5">
                        <c:v>   </c:v>
                      </c:pt>
                      <c:pt idx="6">
                        <c:v>   </c:v>
                      </c:pt>
                    </c:strCache>
                  </c:strRef>
                </c:cat>
                <c:val>
                  <c:numRef>
                    <c:extLst>
                      <c:ext xmlns:c15="http://schemas.microsoft.com/office/drawing/2012/chart" uri="{02D57815-91ED-43cb-92C2-25804820EDAC}">
                        <c15:formulaRef>
                          <c15:sqref>SourceE!SourceE_19</c15:sqref>
                        </c15:formulaRef>
                      </c:ext>
                    </c:extLst>
                    <c:numCache>
                      <c:formatCode>_(* #,##0_);_(* \(#,##0\);_(* "-"??_);_(@_)</c:formatCode>
                      <c:ptCount val="1"/>
                      <c:pt idx="0">
                        <c:v>0</c:v>
                      </c:pt>
                    </c:numCache>
                  </c:numRef>
                </c:val>
                <c:extLst xmlns:c15="http://schemas.microsoft.com/office/drawing/2012/chart">
                  <c:ext xmlns:c16="http://schemas.microsoft.com/office/drawing/2014/chart" uri="{C3380CC4-5D6E-409C-BE32-E72D297353CC}">
                    <c16:uniqueId val="{00000016-2EB3-469D-A6B6-618BE5E2F8F9}"/>
                  </c:ext>
                </c:extLst>
              </c15:ser>
            </c15:filteredBarSeries>
            <c15:filteredBarSeries>
              <c15:ser>
                <c:idx val="13"/>
                <c:order val="19"/>
                <c:tx>
                  <c:strRef>
                    <c:extLst>
                      <c:ext xmlns:c15="http://schemas.microsoft.com/office/drawing/2012/chart" uri="{02D57815-91ED-43cb-92C2-25804820EDAC}">
                        <c15:formulaRef>
                          <c15:sqref>SourceE!$AN$3</c15:sqref>
                        </c15:formulaRef>
                      </c:ext>
                    </c:extLst>
                    <c:strCache>
                      <c:ptCount val="1"/>
                      <c:pt idx="0">
                        <c:v>SHW</c:v>
                      </c:pt>
                    </c:strCache>
                  </c:strRef>
                </c:tx>
                <c:invertIfNegative val="0"/>
                <c:cat>
                  <c:strRef>
                    <c:extLst>
                      <c:ext xmlns:c15="http://schemas.microsoft.com/office/drawing/2012/chart" uri="{02D57815-91ED-43cb-92C2-25804820EDAC}">
                        <c15:formulaRef>
                          <c15:sqref>SourceE!$S$6:$S$12</c15:sqref>
                        </c15:formulaRef>
                      </c:ext>
                    </c:extLst>
                    <c:strCache>
                      <c:ptCount val="7"/>
                      <c:pt idx="0">
                        <c:v> Proposed Design </c:v>
                      </c:pt>
                      <c:pt idx="1">
                        <c:v>   </c:v>
                      </c:pt>
                      <c:pt idx="2">
                        <c:v>   </c:v>
                      </c:pt>
                      <c:pt idx="3">
                        <c:v>   </c:v>
                      </c:pt>
                      <c:pt idx="4">
                        <c:v>   </c:v>
                      </c:pt>
                      <c:pt idx="5">
                        <c:v>   </c:v>
                      </c:pt>
                      <c:pt idx="6">
                        <c:v>   </c:v>
                      </c:pt>
                    </c:strCache>
                  </c:strRef>
                </c:cat>
                <c:val>
                  <c:numRef>
                    <c:extLst>
                      <c:ext xmlns:c15="http://schemas.microsoft.com/office/drawing/2012/chart" uri="{02D57815-91ED-43cb-92C2-25804820EDAC}">
                        <c15:formulaRef>
                          <c15:sqref>SourceE!SourceE_20</c15:sqref>
                        </c15:formulaRef>
                      </c:ext>
                    </c:extLst>
                    <c:numCache>
                      <c:formatCode>_(* #,##0_);_(* \(#,##0\);_(* "-"??_);_(@_)</c:formatCode>
                      <c:ptCount val="1"/>
                      <c:pt idx="0">
                        <c:v>0</c:v>
                      </c:pt>
                    </c:numCache>
                  </c:numRef>
                </c:val>
                <c:extLst xmlns:c15="http://schemas.microsoft.com/office/drawing/2012/chart">
                  <c:ext xmlns:c16="http://schemas.microsoft.com/office/drawing/2014/chart" uri="{C3380CC4-5D6E-409C-BE32-E72D297353CC}">
                    <c16:uniqueId val="{00000017-2EB3-469D-A6B6-618BE5E2F8F9}"/>
                  </c:ext>
                </c:extLst>
              </c15:ser>
            </c15:filteredBarSeries>
          </c:ext>
        </c:extLst>
      </c:barChart>
      <c:scatterChart>
        <c:scatterStyle val="lineMarker"/>
        <c:varyColors val="0"/>
        <c:dLbls>
          <c:showLegendKey val="0"/>
          <c:showVal val="0"/>
          <c:showCatName val="0"/>
          <c:showSerName val="0"/>
          <c:showPercent val="0"/>
          <c:showBubbleSize val="0"/>
        </c:dLbls>
        <c:axId val="408371823"/>
        <c:axId val="408372319"/>
        <c:extLst>
          <c:ext xmlns:c15="http://schemas.microsoft.com/office/drawing/2012/chart" uri="{02D57815-91ED-43cb-92C2-25804820EDAC}">
            <c15:filteredScatterSeries>
              <c15:ser>
                <c:idx val="20"/>
                <c:order val="20"/>
                <c:tx>
                  <c:strRef>
                    <c:extLst>
                      <c:ext uri="{02D57815-91ED-43cb-92C2-25804820EDAC}">
                        <c15:formulaRef>
                          <c15:sqref>SourceE!$AS$6</c15:sqref>
                        </c15:formulaRef>
                      </c:ext>
                    </c:extLst>
                    <c:strCache>
                      <c:ptCount val="1"/>
                      <c:pt idx="0">
                        <c:v>#VALUE!</c:v>
                      </c:pt>
                    </c:strCache>
                  </c:strRef>
                </c:tx>
                <c:spPr>
                  <a:ln>
                    <a:solidFill>
                      <a:srgbClr val="C00000"/>
                    </a:solidFill>
                    <a:prstDash val="sysDash"/>
                  </a:ln>
                </c:spPr>
                <c:marker>
                  <c:symbol val="none"/>
                </c:marker>
                <c:dLbls>
                  <c:dLbl>
                    <c:idx val="0"/>
                    <c:delete val="1"/>
                    <c:extLst>
                      <c:ext uri="{CE6537A1-D6FC-4f65-9D91-7224C49458BB}"/>
                      <c:ext xmlns:c16="http://schemas.microsoft.com/office/drawing/2014/chart" uri="{C3380CC4-5D6E-409C-BE32-E72D297353CC}">
                        <c16:uniqueId val="{00000018-2EB3-469D-A6B6-618BE5E2F8F9}"/>
                      </c:ext>
                    </c:extLst>
                  </c:dLbl>
                  <c:dLbl>
                    <c:idx val="1"/>
                    <c:spPr>
                      <a:noFill/>
                      <a:ln>
                        <a:noFill/>
                      </a:ln>
                      <a:effectLst/>
                    </c:spPr>
                    <c:txPr>
                      <a:bodyPr wrap="square" lIns="38100" tIns="19050" rIns="38100" bIns="19050" anchor="ctr">
                        <a:spAutoFit/>
                      </a:bodyPr>
                      <a:lstStyle/>
                      <a:p>
                        <a:pPr>
                          <a:defRPr sz="800">
                            <a:latin typeface="Franklin Gothic Book" panose="020B0503020102020204" pitchFamily="34" charset="0"/>
                          </a:defRPr>
                        </a:pPr>
                        <a:endParaRPr lang="en-US"/>
                      </a:p>
                    </c:txPr>
                    <c:dLblPos val="t"/>
                    <c:showLegendKey val="0"/>
                    <c:showVal val="0"/>
                    <c:showCatName val="0"/>
                    <c:showSerName val="1"/>
                    <c:showPercent val="0"/>
                    <c:showBubbleSize val="0"/>
                    <c:extLst>
                      <c:ext uri="{CE6537A1-D6FC-4f65-9D91-7224C49458BB}"/>
                      <c:ext xmlns:c16="http://schemas.microsoft.com/office/drawing/2014/chart" uri="{C3380CC4-5D6E-409C-BE32-E72D297353CC}">
                        <c16:uniqueId val="{00000019-2EB3-469D-A6B6-618BE5E2F8F9}"/>
                      </c:ext>
                    </c:extLst>
                  </c:dLbl>
                  <c:spPr>
                    <a:noFill/>
                    <a:ln>
                      <a:noFill/>
                    </a:ln>
                    <a:effectLst/>
                  </c:spPr>
                  <c:showLegendKey val="0"/>
                  <c:showVal val="1"/>
                  <c:showCatName val="0"/>
                  <c:showSerName val="0"/>
                  <c:showPercent val="0"/>
                  <c:showBubbleSize val="0"/>
                  <c:showLeaderLines val="0"/>
                  <c:extLst>
                    <c:ext uri="{CE6537A1-D6FC-4f65-9D91-7224C49458BB}">
                      <c15:showLeaderLines val="1"/>
                    </c:ext>
                  </c:extLst>
                </c:dLbls>
                <c:yVal>
                  <c:numRef>
                    <c:extLst>
                      <c:ext uri="{02D57815-91ED-43cb-92C2-25804820EDAC}">
                        <c15:formulaRef>
                          <c15:sqref>SourceE!$AT$6:$AU$6</c15:sqref>
                        </c15:formulaRef>
                      </c:ext>
                    </c:extLst>
                    <c:numCache>
                      <c:formatCode>_(* #,##0_);_(* \(#,##0\);_(* "-"??_);_(@_)</c:formatCode>
                      <c:ptCount val="2"/>
                      <c:pt idx="0">
                        <c:v>0</c:v>
                      </c:pt>
                      <c:pt idx="1">
                        <c:v>0</c:v>
                      </c:pt>
                    </c:numCache>
                  </c:numRef>
                </c:yVal>
                <c:smooth val="0"/>
                <c:extLst>
                  <c:ext xmlns:c16="http://schemas.microsoft.com/office/drawing/2014/chart" uri="{C3380CC4-5D6E-409C-BE32-E72D297353CC}">
                    <c16:uniqueId val="{0000001A-2EB3-469D-A6B6-618BE5E2F8F9}"/>
                  </c:ext>
                </c:extLst>
              </c15:ser>
            </c15:filteredScatterSeries>
            <c15:filteredScatterSeries>
              <c15:ser>
                <c:idx val="21"/>
                <c:order val="21"/>
                <c:tx>
                  <c:strRef>
                    <c:extLst xmlns:c15="http://schemas.microsoft.com/office/drawing/2012/chart">
                      <c:ext xmlns:c15="http://schemas.microsoft.com/office/drawing/2012/chart" uri="{02D57815-91ED-43cb-92C2-25804820EDAC}">
                        <c15:formulaRef>
                          <c15:sqref>SourceE!$AS$7</c15:sqref>
                        </c15:formulaRef>
                      </c:ext>
                    </c:extLst>
                    <c:strCache>
                      <c:ptCount val="1"/>
                      <c:pt idx="0">
                        <c:v>#VALUE!</c:v>
                      </c:pt>
                    </c:strCache>
                  </c:strRef>
                </c:tx>
                <c:spPr>
                  <a:ln>
                    <a:solidFill>
                      <a:schemeClr val="tx2"/>
                    </a:solidFill>
                    <a:prstDash val="sysDash"/>
                  </a:ln>
                </c:spPr>
                <c:marker>
                  <c:symbol val="none"/>
                </c:marker>
                <c:dLbls>
                  <c:dLbl>
                    <c:idx val="0"/>
                    <c:delete val="1"/>
                    <c:extLst xmlns:c15="http://schemas.microsoft.com/office/drawing/2012/chart">
                      <c:ext xmlns:c15="http://schemas.microsoft.com/office/drawing/2012/chart" uri="{CE6537A1-D6FC-4f65-9D91-7224C49458BB}"/>
                      <c:ext xmlns:c16="http://schemas.microsoft.com/office/drawing/2014/chart" uri="{C3380CC4-5D6E-409C-BE32-E72D297353CC}">
                        <c16:uniqueId val="{0000001B-2EB3-469D-A6B6-618BE5E2F8F9}"/>
                      </c:ext>
                    </c:extLst>
                  </c:dLbl>
                  <c:dLbl>
                    <c:idx val="1"/>
                    <c:spPr>
                      <a:noFill/>
                      <a:ln>
                        <a:noFill/>
                      </a:ln>
                      <a:effectLst/>
                    </c:spPr>
                    <c:txPr>
                      <a:bodyPr wrap="square" lIns="38100" tIns="19050" rIns="38100" bIns="19050" anchor="ctr">
                        <a:spAutoFit/>
                      </a:bodyPr>
                      <a:lstStyle/>
                      <a:p>
                        <a:pPr>
                          <a:defRPr sz="800">
                            <a:latin typeface="Franklin Gothic Book" panose="020B0503020102020204" pitchFamily="34" charset="0"/>
                          </a:defRPr>
                        </a:pPr>
                        <a:endParaRPr lang="en-US"/>
                      </a:p>
                    </c:txPr>
                    <c:dLblPos val="t"/>
                    <c:showLegendKey val="0"/>
                    <c:showVal val="0"/>
                    <c:showCatName val="0"/>
                    <c:showSerName val="1"/>
                    <c:showPercent val="0"/>
                    <c:showBubbleSize val="0"/>
                    <c:extLst xmlns:c15="http://schemas.microsoft.com/office/drawing/2012/chart">
                      <c:ext xmlns:c16="http://schemas.microsoft.com/office/drawing/2014/chart" uri="{C3380CC4-5D6E-409C-BE32-E72D297353CC}">
                        <c16:uniqueId val="{0000001C-2EB3-469D-A6B6-618BE5E2F8F9}"/>
                      </c:ext>
                    </c:extLst>
                  </c:dLbl>
                  <c:spPr>
                    <a:noFill/>
                    <a:ln>
                      <a:noFill/>
                    </a:ln>
                    <a:effectLst/>
                  </c:spPr>
                  <c:dLblPos val="t"/>
                  <c:showLegendKey val="0"/>
                  <c:showVal val="0"/>
                  <c:showCatName val="0"/>
                  <c:showSerName val="1"/>
                  <c:showPercent val="0"/>
                  <c:showBubbleSize val="0"/>
                  <c:showLeaderLines val="0"/>
                  <c:extLst xmlns:c15="http://schemas.microsoft.com/office/drawing/2012/chart">
                    <c:ext xmlns:c15="http://schemas.microsoft.com/office/drawing/2012/chart" uri="{CE6537A1-D6FC-4f65-9D91-7224C49458BB}">
                      <c15:showLeaderLines val="0"/>
                    </c:ext>
                  </c:extLst>
                </c:dLbls>
                <c:yVal>
                  <c:numRef>
                    <c:extLst xmlns:c15="http://schemas.microsoft.com/office/drawing/2012/chart">
                      <c:ext xmlns:c15="http://schemas.microsoft.com/office/drawing/2012/chart" uri="{02D57815-91ED-43cb-92C2-25804820EDAC}">
                        <c15:formulaRef>
                          <c15:sqref>SourceE!$AT$7:$AU$7</c15:sqref>
                        </c15:formulaRef>
                      </c:ext>
                    </c:extLst>
                    <c:numCache>
                      <c:formatCode>_(* #,##0_);_(* \(#,##0\);_(* "-"??_);_(@_)</c:formatCode>
                      <c:ptCount val="2"/>
                      <c:pt idx="0">
                        <c:v>0</c:v>
                      </c:pt>
                      <c:pt idx="1">
                        <c:v>0</c:v>
                      </c:pt>
                    </c:numCache>
                  </c:numRef>
                </c:yVal>
                <c:smooth val="0"/>
                <c:extLst xmlns:c15="http://schemas.microsoft.com/office/drawing/2012/chart">
                  <c:ext xmlns:c16="http://schemas.microsoft.com/office/drawing/2014/chart" uri="{C3380CC4-5D6E-409C-BE32-E72D297353CC}">
                    <c16:uniqueId val="{0000001D-2EB3-469D-A6B6-618BE5E2F8F9}"/>
                  </c:ext>
                </c:extLst>
              </c15:ser>
            </c15:filteredScatterSeries>
          </c:ext>
        </c:extLst>
      </c:scatterChart>
      <c:catAx>
        <c:axId val="453735448"/>
        <c:scaling>
          <c:orientation val="minMax"/>
        </c:scaling>
        <c:delete val="0"/>
        <c:axPos val="b"/>
        <c:numFmt formatCode="General" sourceLinked="0"/>
        <c:majorTickMark val="out"/>
        <c:minorTickMark val="none"/>
        <c:tickLblPos val="nextTo"/>
        <c:txPr>
          <a:bodyPr/>
          <a:lstStyle/>
          <a:p>
            <a:pPr>
              <a:defRPr sz="800">
                <a:solidFill>
                  <a:schemeClr val="bg1">
                    <a:lumMod val="50000"/>
                  </a:schemeClr>
                </a:solidFill>
                <a:latin typeface="Franklin Gothic Book" panose="020B0503020102020204" pitchFamily="34" charset="0"/>
                <a:cs typeface="Arial" panose="020B0604020202020204" pitchFamily="34" charset="0"/>
              </a:defRPr>
            </a:pPr>
            <a:endParaRPr lang="en-US"/>
          </a:p>
        </c:txPr>
        <c:crossAx val="453733880"/>
        <c:crosses val="autoZero"/>
        <c:auto val="1"/>
        <c:lblAlgn val="ctr"/>
        <c:lblOffset val="100"/>
        <c:tickMarkSkip val="1"/>
        <c:noMultiLvlLbl val="0"/>
      </c:catAx>
      <c:valAx>
        <c:axId val="453733880"/>
        <c:scaling>
          <c:orientation val="minMax"/>
        </c:scaling>
        <c:delete val="0"/>
        <c:axPos val="l"/>
        <c:majorGridlines>
          <c:spPr>
            <a:ln>
              <a:solidFill>
                <a:schemeClr val="bg1">
                  <a:lumMod val="85000"/>
                </a:schemeClr>
              </a:solidFill>
            </a:ln>
          </c:spPr>
        </c:majorGridlines>
        <c:title>
          <c:tx>
            <c:strRef>
              <c:f>SourceE!$S$5</c:f>
              <c:strCache>
                <c:ptCount val="1"/>
                <c:pt idx="0">
                  <c:v>Source Energy Use (kBtu)</c:v>
                </c:pt>
              </c:strCache>
            </c:strRef>
          </c:tx>
          <c:overlay val="0"/>
          <c:txPr>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sz="1000" b="1" i="0" u="none" strike="noStrike" kern="1200" baseline="0">
                  <a:solidFill>
                    <a:schemeClr val="bg1">
                      <a:lumMod val="50000"/>
                    </a:schemeClr>
                  </a:solidFill>
                  <a:latin typeface="Franklin Gothic Book" panose="020B0503020102020204" pitchFamily="34" charset="0"/>
                  <a:ea typeface="+mn-ea"/>
                  <a:cs typeface="+mn-cs"/>
                </a:defRPr>
              </a:pPr>
              <a:endParaRPr lang="en-US"/>
            </a:p>
          </c:txPr>
        </c:title>
        <c:numFmt formatCode="#,##0" sourceLinked="0"/>
        <c:majorTickMark val="out"/>
        <c:minorTickMark val="none"/>
        <c:tickLblPos val="nextTo"/>
        <c:spPr>
          <a:ln>
            <a:tailEnd type="triangle"/>
          </a:ln>
        </c:spPr>
        <c:txPr>
          <a:bodyPr/>
          <a:lstStyle/>
          <a:p>
            <a:pPr>
              <a:defRPr sz="800">
                <a:solidFill>
                  <a:schemeClr val="bg1">
                    <a:lumMod val="50000"/>
                  </a:schemeClr>
                </a:solidFill>
                <a:latin typeface="Franklin Gothic Book" panose="020B0503020102020204" pitchFamily="34" charset="0"/>
                <a:cs typeface="Arial" panose="020B0604020202020204" pitchFamily="34" charset="0"/>
              </a:defRPr>
            </a:pPr>
            <a:endParaRPr lang="en-US"/>
          </a:p>
        </c:txPr>
        <c:crossAx val="453735448"/>
        <c:crosses val="autoZero"/>
        <c:crossBetween val="between"/>
      </c:valAx>
      <c:valAx>
        <c:axId val="408372319"/>
        <c:scaling>
          <c:orientation val="minMax"/>
        </c:scaling>
        <c:delete val="1"/>
        <c:axPos val="r"/>
        <c:numFmt formatCode="_(* #,##0_);_(* \(#,##0\);_(* &quot;-&quot;??_);_(@_)" sourceLinked="1"/>
        <c:majorTickMark val="out"/>
        <c:minorTickMark val="none"/>
        <c:tickLblPos val="nextTo"/>
        <c:crossAx val="408371823"/>
        <c:crosses val="max"/>
        <c:crossBetween val="midCat"/>
      </c:valAx>
      <c:valAx>
        <c:axId val="408371823"/>
        <c:scaling>
          <c:orientation val="minMax"/>
          <c:max val="2"/>
          <c:min val="1"/>
        </c:scaling>
        <c:delete val="1"/>
        <c:axPos val="t"/>
        <c:majorTickMark val="out"/>
        <c:minorTickMark val="none"/>
        <c:tickLblPos val="nextTo"/>
        <c:crossAx val="408372319"/>
        <c:crosses val="max"/>
        <c:crossBetween val="midCat"/>
      </c:valAx>
    </c:plotArea>
    <c:legend>
      <c:legendPos val="t"/>
      <c:overlay val="0"/>
      <c:txPr>
        <a:bodyPr/>
        <a:lstStyle/>
        <a:p>
          <a:pPr>
            <a:defRPr sz="800">
              <a:latin typeface="Franklin Gothic Book" panose="020B0503020102020204" pitchFamily="34" charset="0"/>
              <a:cs typeface="Arial" panose="020B0604020202020204" pitchFamily="34" charset="0"/>
            </a:defRPr>
          </a:pPr>
          <a:endParaRPr lang="en-US"/>
        </a:p>
      </c:txPr>
    </c:legend>
    <c:plotVisOnly val="1"/>
    <c:dispBlanksAs val="gap"/>
    <c:showDLblsOverMax val="0"/>
  </c:chart>
  <c:spPr>
    <a:ln>
      <a:noFill/>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stacked"/>
        <c:varyColors val="0"/>
        <c:ser>
          <c:idx val="1"/>
          <c:order val="0"/>
          <c:tx>
            <c:strRef>
              <c:f>SourceE!$U$3</c:f>
              <c:strCache>
                <c:ptCount val="1"/>
                <c:pt idx="0">
                  <c:v>Heating</c:v>
                </c:pt>
              </c:strCache>
            </c:strRef>
          </c:tx>
          <c:spPr>
            <a:solidFill>
              <a:srgbClr val="EE3524"/>
            </a:solidFill>
          </c:spPr>
          <c:invertIfNegative val="0"/>
          <c:cat>
            <c:strRef>
              <c:f>SourceE!$S$6:$S$12</c:f>
              <c:strCache>
                <c:ptCount val="7"/>
                <c:pt idx="0">
                  <c:v> Proposed Design </c:v>
                </c:pt>
                <c:pt idx="1">
                  <c:v>   </c:v>
                </c:pt>
                <c:pt idx="2">
                  <c:v>   </c:v>
                </c:pt>
                <c:pt idx="3">
                  <c:v>   </c:v>
                </c:pt>
                <c:pt idx="4">
                  <c:v>   </c:v>
                </c:pt>
                <c:pt idx="5">
                  <c:v>   </c:v>
                </c:pt>
                <c:pt idx="6">
                  <c:v>   </c:v>
                </c:pt>
              </c:strCache>
            </c:strRef>
          </c:cat>
          <c:val>
            <c:numRef>
              <c:f>SourceE!SourceEUI_01</c:f>
              <c:numCache>
                <c:formatCode>_(* #,##0.0_);_(* \(#,##0.0\);_(* "-"??_);_(@_)</c:formatCode>
                <c:ptCount val="1"/>
                <c:pt idx="0">
                  <c:v>7.8628955171403447</c:v>
                </c:pt>
              </c:numCache>
            </c:numRef>
          </c:val>
          <c:extLst>
            <c:ext xmlns:c16="http://schemas.microsoft.com/office/drawing/2014/chart" uri="{C3380CC4-5D6E-409C-BE32-E72D297353CC}">
              <c16:uniqueId val="{00000000-6553-4207-9153-7FBA019E6361}"/>
            </c:ext>
          </c:extLst>
        </c:ser>
        <c:ser>
          <c:idx val="2"/>
          <c:order val="1"/>
          <c:tx>
            <c:strRef>
              <c:f>SourceE!$V$3</c:f>
              <c:strCache>
                <c:ptCount val="1"/>
                <c:pt idx="0">
                  <c:v>Cooling</c:v>
                </c:pt>
              </c:strCache>
            </c:strRef>
          </c:tx>
          <c:spPr>
            <a:solidFill>
              <a:srgbClr val="00B4ED"/>
            </a:solidFill>
          </c:spPr>
          <c:invertIfNegative val="0"/>
          <c:cat>
            <c:strRef>
              <c:f>SourceE!$S$6:$S$12</c:f>
              <c:strCache>
                <c:ptCount val="7"/>
                <c:pt idx="0">
                  <c:v> Proposed Design </c:v>
                </c:pt>
                <c:pt idx="1">
                  <c:v>   </c:v>
                </c:pt>
                <c:pt idx="2">
                  <c:v>   </c:v>
                </c:pt>
                <c:pt idx="3">
                  <c:v>   </c:v>
                </c:pt>
                <c:pt idx="4">
                  <c:v>   </c:v>
                </c:pt>
                <c:pt idx="5">
                  <c:v>   </c:v>
                </c:pt>
                <c:pt idx="6">
                  <c:v>   </c:v>
                </c:pt>
              </c:strCache>
            </c:strRef>
          </c:cat>
          <c:val>
            <c:numRef>
              <c:f>SourceE!SourceEUI_02</c:f>
              <c:numCache>
                <c:formatCode>_(* #,##0.0_);_(* \(#,##0.0\);_(* "-"??_);_(@_)</c:formatCode>
                <c:ptCount val="1"/>
                <c:pt idx="0">
                  <c:v>29.304961207149137</c:v>
                </c:pt>
              </c:numCache>
            </c:numRef>
          </c:val>
          <c:extLst>
            <c:ext xmlns:c16="http://schemas.microsoft.com/office/drawing/2014/chart" uri="{C3380CC4-5D6E-409C-BE32-E72D297353CC}">
              <c16:uniqueId val="{00000001-6553-4207-9153-7FBA019E6361}"/>
            </c:ext>
          </c:extLst>
        </c:ser>
        <c:ser>
          <c:idx val="10"/>
          <c:order val="2"/>
          <c:tx>
            <c:strRef>
              <c:f>SourceE!$W$3</c:f>
              <c:strCache>
                <c:ptCount val="1"/>
                <c:pt idx="0">
                  <c:v>Lighting</c:v>
                </c:pt>
              </c:strCache>
            </c:strRef>
          </c:tx>
          <c:spPr>
            <a:solidFill>
              <a:srgbClr val="FFD334"/>
            </a:solidFill>
          </c:spPr>
          <c:invertIfNegative val="0"/>
          <c:cat>
            <c:strRef>
              <c:f>SourceE!$S$6:$S$12</c:f>
              <c:strCache>
                <c:ptCount val="7"/>
                <c:pt idx="0">
                  <c:v> Proposed Design </c:v>
                </c:pt>
                <c:pt idx="1">
                  <c:v>   </c:v>
                </c:pt>
                <c:pt idx="2">
                  <c:v>   </c:v>
                </c:pt>
                <c:pt idx="3">
                  <c:v>   </c:v>
                </c:pt>
                <c:pt idx="4">
                  <c:v>   </c:v>
                </c:pt>
                <c:pt idx="5">
                  <c:v>   </c:v>
                </c:pt>
                <c:pt idx="6">
                  <c:v>   </c:v>
                </c:pt>
              </c:strCache>
            </c:strRef>
          </c:cat>
          <c:val>
            <c:numRef>
              <c:f>SourceE!SourceEUI_03</c:f>
              <c:numCache>
                <c:formatCode>_(* #,##0.0_);_(* \(#,##0.0\);_(* "-"??_);_(@_)</c:formatCode>
                <c:ptCount val="1"/>
                <c:pt idx="0">
                  <c:v>31.456480632874303</c:v>
                </c:pt>
              </c:numCache>
            </c:numRef>
          </c:val>
          <c:extLst>
            <c:ext xmlns:c16="http://schemas.microsoft.com/office/drawing/2014/chart" uri="{C3380CC4-5D6E-409C-BE32-E72D297353CC}">
              <c16:uniqueId val="{00000002-6553-4207-9153-7FBA019E6361}"/>
            </c:ext>
          </c:extLst>
        </c:ser>
        <c:ser>
          <c:idx val="3"/>
          <c:order val="4"/>
          <c:tx>
            <c:strRef>
              <c:f>SourceE!$Y$3</c:f>
              <c:strCache>
                <c:ptCount val="1"/>
                <c:pt idx="0">
                  <c:v>Equipment</c:v>
                </c:pt>
              </c:strCache>
            </c:strRef>
          </c:tx>
          <c:spPr>
            <a:solidFill>
              <a:srgbClr val="E4E1DC"/>
            </a:solidFill>
          </c:spPr>
          <c:invertIfNegative val="0"/>
          <c:cat>
            <c:strRef>
              <c:f>SourceE!$S$6:$S$12</c:f>
              <c:strCache>
                <c:ptCount val="7"/>
                <c:pt idx="0">
                  <c:v> Proposed Design </c:v>
                </c:pt>
                <c:pt idx="1">
                  <c:v>   </c:v>
                </c:pt>
                <c:pt idx="2">
                  <c:v>   </c:v>
                </c:pt>
                <c:pt idx="3">
                  <c:v>   </c:v>
                </c:pt>
                <c:pt idx="4">
                  <c:v>   </c:v>
                </c:pt>
                <c:pt idx="5">
                  <c:v>   </c:v>
                </c:pt>
                <c:pt idx="6">
                  <c:v>   </c:v>
                </c:pt>
              </c:strCache>
            </c:strRef>
          </c:cat>
          <c:val>
            <c:numRef>
              <c:f>SourceE!SourceEUI_05</c:f>
              <c:numCache>
                <c:formatCode>_(* #,##0.0_);_(* \(#,##0.0\);_(* "-"??_);_(@_)</c:formatCode>
                <c:ptCount val="1"/>
                <c:pt idx="0">
                  <c:v>36.934475124523878</c:v>
                </c:pt>
              </c:numCache>
            </c:numRef>
          </c:val>
          <c:extLst>
            <c:ext xmlns:c16="http://schemas.microsoft.com/office/drawing/2014/chart" uri="{C3380CC4-5D6E-409C-BE32-E72D297353CC}">
              <c16:uniqueId val="{00000004-6553-4207-9153-7FBA019E6361}"/>
            </c:ext>
          </c:extLst>
        </c:ser>
        <c:ser>
          <c:idx val="4"/>
          <c:order val="6"/>
          <c:tx>
            <c:strRef>
              <c:f>SourceE!$AA$3</c:f>
              <c:strCache>
                <c:ptCount val="1"/>
                <c:pt idx="0">
                  <c:v>Fans</c:v>
                </c:pt>
              </c:strCache>
            </c:strRef>
          </c:tx>
          <c:spPr>
            <a:solidFill>
              <a:srgbClr val="322110"/>
            </a:solidFill>
          </c:spPr>
          <c:invertIfNegative val="0"/>
          <c:cat>
            <c:strRef>
              <c:f>SourceE!$S$6:$S$12</c:f>
              <c:strCache>
                <c:ptCount val="7"/>
                <c:pt idx="0">
                  <c:v> Proposed Design </c:v>
                </c:pt>
                <c:pt idx="1">
                  <c:v>   </c:v>
                </c:pt>
                <c:pt idx="2">
                  <c:v>   </c:v>
                </c:pt>
                <c:pt idx="3">
                  <c:v>   </c:v>
                </c:pt>
                <c:pt idx="4">
                  <c:v>   </c:v>
                </c:pt>
                <c:pt idx="5">
                  <c:v>   </c:v>
                </c:pt>
                <c:pt idx="6">
                  <c:v>   </c:v>
                </c:pt>
              </c:strCache>
            </c:strRef>
          </c:cat>
          <c:val>
            <c:numRef>
              <c:f>SourceE!SourceEUI_07</c:f>
              <c:numCache>
                <c:formatCode>_(* #,##0.0_);_(* \(#,##0.0\);_(* "-"??_);_(@_)</c:formatCode>
                <c:ptCount val="1"/>
                <c:pt idx="0">
                  <c:v>35.850317872839142</c:v>
                </c:pt>
              </c:numCache>
            </c:numRef>
          </c:val>
          <c:extLst>
            <c:ext xmlns:c16="http://schemas.microsoft.com/office/drawing/2014/chart" uri="{C3380CC4-5D6E-409C-BE32-E72D297353CC}">
              <c16:uniqueId val="{00000006-6553-4207-9153-7FBA019E6361}"/>
            </c:ext>
          </c:extLst>
        </c:ser>
        <c:dLbls>
          <c:showLegendKey val="0"/>
          <c:showVal val="0"/>
          <c:showCatName val="0"/>
          <c:showSerName val="0"/>
          <c:showPercent val="0"/>
          <c:showBubbleSize val="0"/>
        </c:dLbls>
        <c:gapWidth val="150"/>
        <c:overlap val="100"/>
        <c:axId val="208880192"/>
        <c:axId val="208882936"/>
        <c:extLst>
          <c:ext xmlns:c15="http://schemas.microsoft.com/office/drawing/2012/chart" uri="{02D57815-91ED-43cb-92C2-25804820EDAC}">
            <c15:filteredBarSeries>
              <c15:ser>
                <c:idx val="0"/>
                <c:order val="3"/>
                <c:tx>
                  <c:strRef>
                    <c:extLst>
                      <c:ext uri="{02D57815-91ED-43cb-92C2-25804820EDAC}">
                        <c15:formulaRef>
                          <c15:sqref>SourceE!$X$3</c15:sqref>
                        </c15:formulaRef>
                      </c:ext>
                    </c:extLst>
                    <c:strCache>
                      <c:ptCount val="1"/>
                      <c:pt idx="0">
                        <c:v>Exterior Lighting</c:v>
                      </c:pt>
                    </c:strCache>
                  </c:strRef>
                </c:tx>
                <c:spPr>
                  <a:solidFill>
                    <a:srgbClr val="F9A01B"/>
                  </a:solidFill>
                </c:spPr>
                <c:invertIfNegative val="0"/>
                <c:cat>
                  <c:strRef>
                    <c:extLst>
                      <c:ext uri="{02D57815-91ED-43cb-92C2-25804820EDAC}">
                        <c15:formulaRef>
                          <c15:sqref>SourceE!$S$6:$S$12</c15:sqref>
                        </c15:formulaRef>
                      </c:ext>
                    </c:extLst>
                    <c:strCache>
                      <c:ptCount val="7"/>
                      <c:pt idx="0">
                        <c:v> Proposed Design </c:v>
                      </c:pt>
                      <c:pt idx="1">
                        <c:v>   </c:v>
                      </c:pt>
                      <c:pt idx="2">
                        <c:v>   </c:v>
                      </c:pt>
                      <c:pt idx="3">
                        <c:v>   </c:v>
                      </c:pt>
                      <c:pt idx="4">
                        <c:v>   </c:v>
                      </c:pt>
                      <c:pt idx="5">
                        <c:v>   </c:v>
                      </c:pt>
                      <c:pt idx="6">
                        <c:v>   </c:v>
                      </c:pt>
                    </c:strCache>
                  </c:strRef>
                </c:cat>
                <c:val>
                  <c:numRef>
                    <c:extLst>
                      <c:ext uri="{02D57815-91ED-43cb-92C2-25804820EDAC}">
                        <c15:formulaRef>
                          <c15:sqref>SourceE!SourceEUI_04</c15:sqref>
                        </c15:formulaRef>
                      </c:ext>
                    </c:extLst>
                    <c:numCache>
                      <c:formatCode>_(* #,##0.0_);_(* \(#,##0.0\);_(* "-"??_);_(@_)</c:formatCode>
                      <c:ptCount val="1"/>
                      <c:pt idx="0">
                        <c:v>0</c:v>
                      </c:pt>
                    </c:numCache>
                  </c:numRef>
                </c:val>
                <c:extLst>
                  <c:ext xmlns:c16="http://schemas.microsoft.com/office/drawing/2014/chart" uri="{C3380CC4-5D6E-409C-BE32-E72D297353CC}">
                    <c16:uniqueId val="{00000003-6553-4207-9153-7FBA019E6361}"/>
                  </c:ext>
                </c:extLst>
              </c15:ser>
            </c15:filteredBarSeries>
            <c15:filteredBarSeries>
              <c15:ser>
                <c:idx val="9"/>
                <c:order val="5"/>
                <c:tx>
                  <c:strRef>
                    <c:extLst>
                      <c:ext xmlns:c15="http://schemas.microsoft.com/office/drawing/2012/chart" uri="{02D57815-91ED-43cb-92C2-25804820EDAC}">
                        <c15:formulaRef>
                          <c15:sqref>SourceE!$Z$3</c15:sqref>
                        </c15:formulaRef>
                      </c:ext>
                    </c:extLst>
                    <c:strCache>
                      <c:ptCount val="1"/>
                      <c:pt idx="0">
                        <c:v>Exterior Equipment</c:v>
                      </c:pt>
                    </c:strCache>
                  </c:strRef>
                </c:tx>
                <c:spPr>
                  <a:solidFill>
                    <a:srgbClr val="D4CFCB"/>
                  </a:solidFill>
                </c:spPr>
                <c:invertIfNegative val="0"/>
                <c:cat>
                  <c:strRef>
                    <c:extLst>
                      <c:ext xmlns:c15="http://schemas.microsoft.com/office/drawing/2012/chart" uri="{02D57815-91ED-43cb-92C2-25804820EDAC}">
                        <c15:formulaRef>
                          <c15:sqref>SourceE!$S$6:$S$12</c15:sqref>
                        </c15:formulaRef>
                      </c:ext>
                    </c:extLst>
                    <c:strCache>
                      <c:ptCount val="7"/>
                      <c:pt idx="0">
                        <c:v> Proposed Design </c:v>
                      </c:pt>
                      <c:pt idx="1">
                        <c:v>   </c:v>
                      </c:pt>
                      <c:pt idx="2">
                        <c:v>   </c:v>
                      </c:pt>
                      <c:pt idx="3">
                        <c:v>   </c:v>
                      </c:pt>
                      <c:pt idx="4">
                        <c:v>   </c:v>
                      </c:pt>
                      <c:pt idx="5">
                        <c:v>   </c:v>
                      </c:pt>
                      <c:pt idx="6">
                        <c:v>   </c:v>
                      </c:pt>
                    </c:strCache>
                  </c:strRef>
                </c:cat>
                <c:val>
                  <c:numRef>
                    <c:extLst>
                      <c:ext xmlns:c15="http://schemas.microsoft.com/office/drawing/2012/chart" uri="{02D57815-91ED-43cb-92C2-25804820EDAC}">
                        <c15:formulaRef>
                          <c15:sqref>SourceE!SourceEUI_06</c15:sqref>
                        </c15:formulaRef>
                      </c:ext>
                    </c:extLst>
                    <c:numCache>
                      <c:formatCode>_(* #,##0.0_);_(* \(#,##0.0\);_(* "-"??_);_(@_)</c:formatCode>
                      <c:ptCount val="1"/>
                      <c:pt idx="0">
                        <c:v>0</c:v>
                      </c:pt>
                    </c:numCache>
                  </c:numRef>
                </c:val>
                <c:extLst>
                  <c:ext xmlns:c16="http://schemas.microsoft.com/office/drawing/2014/chart" uri="{C3380CC4-5D6E-409C-BE32-E72D297353CC}">
                    <c16:uniqueId val="{00000005-6553-4207-9153-7FBA019E6361}"/>
                  </c:ext>
                </c:extLst>
              </c15:ser>
            </c15:filteredBarSeries>
            <c15:filteredBarSeries>
              <c15:ser>
                <c:idx val="5"/>
                <c:order val="7"/>
                <c:tx>
                  <c:strRef>
                    <c:extLst>
                      <c:ext xmlns:c15="http://schemas.microsoft.com/office/drawing/2012/chart" uri="{02D57815-91ED-43cb-92C2-25804820EDAC}">
                        <c15:formulaRef>
                          <c15:sqref>SourceE!$AB$3</c15:sqref>
                        </c15:formulaRef>
                      </c:ext>
                    </c:extLst>
                    <c:strCache>
                      <c:ptCount val="1"/>
                      <c:pt idx="0">
                        <c:v>Pumps</c:v>
                      </c:pt>
                    </c:strCache>
                  </c:strRef>
                </c:tx>
                <c:spPr>
                  <a:solidFill>
                    <a:srgbClr val="4E4540"/>
                  </a:solidFill>
                </c:spPr>
                <c:invertIfNegative val="0"/>
                <c:cat>
                  <c:strRef>
                    <c:extLst>
                      <c:ext xmlns:c15="http://schemas.microsoft.com/office/drawing/2012/chart" uri="{02D57815-91ED-43cb-92C2-25804820EDAC}">
                        <c15:formulaRef>
                          <c15:sqref>SourceE!$S$6:$S$12</c15:sqref>
                        </c15:formulaRef>
                      </c:ext>
                    </c:extLst>
                    <c:strCache>
                      <c:ptCount val="7"/>
                      <c:pt idx="0">
                        <c:v> Proposed Design </c:v>
                      </c:pt>
                      <c:pt idx="1">
                        <c:v>   </c:v>
                      </c:pt>
                      <c:pt idx="2">
                        <c:v>   </c:v>
                      </c:pt>
                      <c:pt idx="3">
                        <c:v>   </c:v>
                      </c:pt>
                      <c:pt idx="4">
                        <c:v>   </c:v>
                      </c:pt>
                      <c:pt idx="5">
                        <c:v>   </c:v>
                      </c:pt>
                      <c:pt idx="6">
                        <c:v>   </c:v>
                      </c:pt>
                    </c:strCache>
                  </c:strRef>
                </c:cat>
                <c:val>
                  <c:numRef>
                    <c:extLst>
                      <c:ext xmlns:c15="http://schemas.microsoft.com/office/drawing/2012/chart" uri="{02D57815-91ED-43cb-92C2-25804820EDAC}">
                        <c15:formulaRef>
                          <c15:sqref>SourceE!SourceEUI_08</c15:sqref>
                        </c15:formulaRef>
                      </c:ext>
                    </c:extLst>
                    <c:numCache>
                      <c:formatCode>_(* #,##0.0_);_(* \(#,##0.0\);_(* "-"??_);_(@_)</c:formatCode>
                      <c:ptCount val="1"/>
                      <c:pt idx="0">
                        <c:v>0</c:v>
                      </c:pt>
                    </c:numCache>
                  </c:numRef>
                </c:val>
                <c:extLst>
                  <c:ext xmlns:c16="http://schemas.microsoft.com/office/drawing/2014/chart" uri="{C3380CC4-5D6E-409C-BE32-E72D297353CC}">
                    <c16:uniqueId val="{00000007-6553-4207-9153-7FBA019E6361}"/>
                  </c:ext>
                </c:extLst>
              </c15:ser>
            </c15:filteredBarSeries>
            <c15:filteredBarSeries>
              <c15:ser>
                <c:idx val="8"/>
                <c:order val="8"/>
                <c:tx>
                  <c:strRef>
                    <c:extLst>
                      <c:ext xmlns:c15="http://schemas.microsoft.com/office/drawing/2012/chart" uri="{02D57815-91ED-43cb-92C2-25804820EDAC}">
                        <c15:formulaRef>
                          <c15:sqref>SourceE!$AC$3</c15:sqref>
                        </c15:formulaRef>
                      </c:ext>
                    </c:extLst>
                    <c:strCache>
                      <c:ptCount val="1"/>
                      <c:pt idx="0">
                        <c:v>Heat Rejection</c:v>
                      </c:pt>
                    </c:strCache>
                  </c:strRef>
                </c:tx>
                <c:spPr>
                  <a:solidFill>
                    <a:srgbClr val="F05D77"/>
                  </a:solidFill>
                </c:spPr>
                <c:invertIfNegative val="0"/>
                <c:dPt>
                  <c:idx val="0"/>
                  <c:invertIfNegative val="0"/>
                  <c:bubble3D val="0"/>
                  <c:extLst>
                    <c:ext xmlns:c16="http://schemas.microsoft.com/office/drawing/2014/chart" uri="{C3380CC4-5D6E-409C-BE32-E72D297353CC}">
                      <c16:uniqueId val="{00000008-6553-4207-9153-7FBA019E6361}"/>
                    </c:ext>
                  </c:extLst>
                </c:dPt>
                <c:cat>
                  <c:strRef>
                    <c:extLst>
                      <c:ext xmlns:c15="http://schemas.microsoft.com/office/drawing/2012/chart" uri="{02D57815-91ED-43cb-92C2-25804820EDAC}">
                        <c15:formulaRef>
                          <c15:sqref>SourceE!$S$6:$S$12</c15:sqref>
                        </c15:formulaRef>
                      </c:ext>
                    </c:extLst>
                    <c:strCache>
                      <c:ptCount val="7"/>
                      <c:pt idx="0">
                        <c:v> Proposed Design </c:v>
                      </c:pt>
                      <c:pt idx="1">
                        <c:v>   </c:v>
                      </c:pt>
                      <c:pt idx="2">
                        <c:v>   </c:v>
                      </c:pt>
                      <c:pt idx="3">
                        <c:v>   </c:v>
                      </c:pt>
                      <c:pt idx="4">
                        <c:v>   </c:v>
                      </c:pt>
                      <c:pt idx="5">
                        <c:v>   </c:v>
                      </c:pt>
                      <c:pt idx="6">
                        <c:v>   </c:v>
                      </c:pt>
                    </c:strCache>
                  </c:strRef>
                </c:cat>
                <c:val>
                  <c:numRef>
                    <c:extLst>
                      <c:ext xmlns:c15="http://schemas.microsoft.com/office/drawing/2012/chart" uri="{02D57815-91ED-43cb-92C2-25804820EDAC}">
                        <c15:formulaRef>
                          <c15:sqref>SourceE!SourceEUI_09</c15:sqref>
                        </c15:formulaRef>
                      </c:ext>
                    </c:extLst>
                    <c:numCache>
                      <c:formatCode>_(* #,##0.0_);_(* \(#,##0.0\);_(* "-"??_);_(@_)</c:formatCode>
                      <c:ptCount val="1"/>
                      <c:pt idx="0">
                        <c:v>0</c:v>
                      </c:pt>
                    </c:numCache>
                  </c:numRef>
                </c:val>
                <c:extLst xmlns:c15="http://schemas.microsoft.com/office/drawing/2012/chart">
                  <c:ext xmlns:c16="http://schemas.microsoft.com/office/drawing/2014/chart" uri="{C3380CC4-5D6E-409C-BE32-E72D297353CC}">
                    <c16:uniqueId val="{00000009-6553-4207-9153-7FBA019E6361}"/>
                  </c:ext>
                </c:extLst>
              </c15:ser>
            </c15:filteredBarSeries>
            <c15:filteredBarSeries>
              <c15:ser>
                <c:idx val="7"/>
                <c:order val="9"/>
                <c:tx>
                  <c:strRef>
                    <c:extLst>
                      <c:ext xmlns:c15="http://schemas.microsoft.com/office/drawing/2012/chart" uri="{02D57815-91ED-43cb-92C2-25804820EDAC}">
                        <c15:formulaRef>
                          <c15:sqref>SourceE!$AD$3</c15:sqref>
                        </c15:formulaRef>
                      </c:ext>
                    </c:extLst>
                    <c:strCache>
                      <c:ptCount val="1"/>
                      <c:pt idx="0">
                        <c:v>Humidification</c:v>
                      </c:pt>
                    </c:strCache>
                  </c:strRef>
                </c:tx>
                <c:spPr>
                  <a:solidFill>
                    <a:srgbClr val="0058A4"/>
                  </a:solidFill>
                </c:spPr>
                <c:invertIfNegative val="0"/>
                <c:cat>
                  <c:strRef>
                    <c:extLst>
                      <c:ext xmlns:c15="http://schemas.microsoft.com/office/drawing/2012/chart" uri="{02D57815-91ED-43cb-92C2-25804820EDAC}">
                        <c15:formulaRef>
                          <c15:sqref>SourceE!$S$6:$S$12</c15:sqref>
                        </c15:formulaRef>
                      </c:ext>
                    </c:extLst>
                    <c:strCache>
                      <c:ptCount val="7"/>
                      <c:pt idx="0">
                        <c:v> Proposed Design </c:v>
                      </c:pt>
                      <c:pt idx="1">
                        <c:v>   </c:v>
                      </c:pt>
                      <c:pt idx="2">
                        <c:v>   </c:v>
                      </c:pt>
                      <c:pt idx="3">
                        <c:v>   </c:v>
                      </c:pt>
                      <c:pt idx="4">
                        <c:v>   </c:v>
                      </c:pt>
                      <c:pt idx="5">
                        <c:v>   </c:v>
                      </c:pt>
                      <c:pt idx="6">
                        <c:v>   </c:v>
                      </c:pt>
                    </c:strCache>
                  </c:strRef>
                </c:cat>
                <c:val>
                  <c:numRef>
                    <c:extLst>
                      <c:ext xmlns:c15="http://schemas.microsoft.com/office/drawing/2012/chart" uri="{02D57815-91ED-43cb-92C2-25804820EDAC}">
                        <c15:formulaRef>
                          <c15:sqref>SourceE!SourceEUI_10</c15:sqref>
                        </c15:formulaRef>
                      </c:ext>
                    </c:extLst>
                    <c:numCache>
                      <c:formatCode>_(* #,##0.0_);_(* \(#,##0.0\);_(* "-"??_);_(@_)</c:formatCode>
                      <c:ptCount val="1"/>
                      <c:pt idx="0">
                        <c:v>0</c:v>
                      </c:pt>
                    </c:numCache>
                  </c:numRef>
                </c:val>
                <c:extLst>
                  <c:ext xmlns:c16="http://schemas.microsoft.com/office/drawing/2014/chart" uri="{C3380CC4-5D6E-409C-BE32-E72D297353CC}">
                    <c16:uniqueId val="{0000000A-6553-4207-9153-7FBA019E6361}"/>
                  </c:ext>
                </c:extLst>
              </c15:ser>
            </c15:filteredBarSeries>
            <c15:filteredBarSeries>
              <c15:ser>
                <c:idx val="19"/>
                <c:order val="10"/>
                <c:tx>
                  <c:strRef>
                    <c:extLst>
                      <c:ext xmlns:c15="http://schemas.microsoft.com/office/drawing/2012/chart" uri="{02D57815-91ED-43cb-92C2-25804820EDAC}">
                        <c15:formulaRef>
                          <c15:sqref>SourceE!$AE$3</c15:sqref>
                        </c15:formulaRef>
                      </c:ext>
                    </c:extLst>
                    <c:strCache>
                      <c:ptCount val="1"/>
                      <c:pt idx="0">
                        <c:v>Heat Recovery</c:v>
                      </c:pt>
                    </c:strCache>
                  </c:strRef>
                </c:tx>
                <c:spPr>
                  <a:solidFill>
                    <a:srgbClr val="F8B1AA"/>
                  </a:solidFill>
                </c:spPr>
                <c:invertIfNegative val="0"/>
                <c:cat>
                  <c:strRef>
                    <c:extLst>
                      <c:ext xmlns:c15="http://schemas.microsoft.com/office/drawing/2012/chart" uri="{02D57815-91ED-43cb-92C2-25804820EDAC}">
                        <c15:formulaRef>
                          <c15:sqref>SourceE!$S$6:$S$12</c15:sqref>
                        </c15:formulaRef>
                      </c:ext>
                    </c:extLst>
                    <c:strCache>
                      <c:ptCount val="7"/>
                      <c:pt idx="0">
                        <c:v> Proposed Design </c:v>
                      </c:pt>
                      <c:pt idx="1">
                        <c:v>   </c:v>
                      </c:pt>
                      <c:pt idx="2">
                        <c:v>   </c:v>
                      </c:pt>
                      <c:pt idx="3">
                        <c:v>   </c:v>
                      </c:pt>
                      <c:pt idx="4">
                        <c:v>   </c:v>
                      </c:pt>
                      <c:pt idx="5">
                        <c:v>   </c:v>
                      </c:pt>
                      <c:pt idx="6">
                        <c:v>   </c:v>
                      </c:pt>
                    </c:strCache>
                  </c:strRef>
                </c:cat>
                <c:val>
                  <c:numRef>
                    <c:extLst>
                      <c:ext xmlns:c15="http://schemas.microsoft.com/office/drawing/2012/chart" uri="{02D57815-91ED-43cb-92C2-25804820EDAC}">
                        <c15:formulaRef>
                          <c15:sqref>SourceE!SourceEUI_11</c15:sqref>
                        </c15:formulaRef>
                      </c:ext>
                    </c:extLst>
                    <c:numCache>
                      <c:formatCode>_(* #,##0.0_);_(* \(#,##0.0\);_(* "-"??_);_(@_)</c:formatCode>
                      <c:ptCount val="1"/>
                      <c:pt idx="0">
                        <c:v>0</c:v>
                      </c:pt>
                    </c:numCache>
                  </c:numRef>
                </c:val>
                <c:extLst>
                  <c:ext xmlns:c16="http://schemas.microsoft.com/office/drawing/2014/chart" uri="{C3380CC4-5D6E-409C-BE32-E72D297353CC}">
                    <c16:uniqueId val="{0000000B-6553-4207-9153-7FBA019E6361}"/>
                  </c:ext>
                </c:extLst>
              </c15:ser>
            </c15:filteredBarSeries>
            <c15:filteredBarSeries>
              <c15:ser>
                <c:idx val="14"/>
                <c:order val="11"/>
                <c:tx>
                  <c:strRef>
                    <c:extLst>
                      <c:ext xmlns:c15="http://schemas.microsoft.com/office/drawing/2012/chart" uri="{02D57815-91ED-43cb-92C2-25804820EDAC}">
                        <c15:formulaRef>
                          <c15:sqref>SourceE!$AF$3</c15:sqref>
                        </c15:formulaRef>
                      </c:ext>
                    </c:extLst>
                    <c:strCache>
                      <c:ptCount val="1"/>
                      <c:pt idx="0">
                        <c:v>Water Systems</c:v>
                      </c:pt>
                    </c:strCache>
                  </c:strRef>
                </c:tx>
                <c:spPr>
                  <a:solidFill>
                    <a:srgbClr val="A71C0D"/>
                  </a:solidFill>
                </c:spPr>
                <c:invertIfNegative val="0"/>
                <c:cat>
                  <c:strRef>
                    <c:extLst>
                      <c:ext xmlns:c15="http://schemas.microsoft.com/office/drawing/2012/chart" uri="{02D57815-91ED-43cb-92C2-25804820EDAC}">
                        <c15:formulaRef>
                          <c15:sqref>SourceE!$S$6:$S$12</c15:sqref>
                        </c15:formulaRef>
                      </c:ext>
                    </c:extLst>
                    <c:strCache>
                      <c:ptCount val="7"/>
                      <c:pt idx="0">
                        <c:v> Proposed Design </c:v>
                      </c:pt>
                      <c:pt idx="1">
                        <c:v>   </c:v>
                      </c:pt>
                      <c:pt idx="2">
                        <c:v>   </c:v>
                      </c:pt>
                      <c:pt idx="3">
                        <c:v>   </c:v>
                      </c:pt>
                      <c:pt idx="4">
                        <c:v>   </c:v>
                      </c:pt>
                      <c:pt idx="5">
                        <c:v>   </c:v>
                      </c:pt>
                      <c:pt idx="6">
                        <c:v>   </c:v>
                      </c:pt>
                    </c:strCache>
                  </c:strRef>
                </c:cat>
                <c:val>
                  <c:numRef>
                    <c:extLst>
                      <c:ext xmlns:c15="http://schemas.microsoft.com/office/drawing/2012/chart" uri="{02D57815-91ED-43cb-92C2-25804820EDAC}">
                        <c15:formulaRef>
                          <c15:sqref>SourceE!SourceEUI_12</c15:sqref>
                        </c15:formulaRef>
                      </c:ext>
                    </c:extLst>
                    <c:numCache>
                      <c:formatCode>_(* #,##0.0_);_(* \(#,##0.0\);_(* "-"??_);_(@_)</c:formatCode>
                      <c:ptCount val="1"/>
                      <c:pt idx="0">
                        <c:v>0</c:v>
                      </c:pt>
                    </c:numCache>
                  </c:numRef>
                </c:val>
                <c:extLst xmlns:c15="http://schemas.microsoft.com/office/drawing/2012/chart">
                  <c:ext xmlns:c16="http://schemas.microsoft.com/office/drawing/2014/chart" uri="{C3380CC4-5D6E-409C-BE32-E72D297353CC}">
                    <c16:uniqueId val="{0000000C-6553-4207-9153-7FBA019E6361}"/>
                  </c:ext>
                </c:extLst>
              </c15:ser>
            </c15:filteredBarSeries>
            <c15:filteredBarSeries>
              <c15:ser>
                <c:idx val="15"/>
                <c:order val="12"/>
                <c:tx>
                  <c:strRef>
                    <c:extLst>
                      <c:ext xmlns:c15="http://schemas.microsoft.com/office/drawing/2012/chart" uri="{02D57815-91ED-43cb-92C2-25804820EDAC}">
                        <c15:formulaRef>
                          <c15:sqref>SourceE!$AG$3</c15:sqref>
                        </c15:formulaRef>
                      </c:ext>
                    </c:extLst>
                    <c:strCache>
                      <c:ptCount val="1"/>
                      <c:pt idx="0">
                        <c:v>Refrigeration</c:v>
                      </c:pt>
                    </c:strCache>
                  </c:strRef>
                </c:tx>
                <c:spPr>
                  <a:solidFill>
                    <a:srgbClr val="A1ABB2"/>
                  </a:solidFill>
                </c:spPr>
                <c:invertIfNegative val="0"/>
                <c:cat>
                  <c:strRef>
                    <c:extLst>
                      <c:ext xmlns:c15="http://schemas.microsoft.com/office/drawing/2012/chart" uri="{02D57815-91ED-43cb-92C2-25804820EDAC}">
                        <c15:formulaRef>
                          <c15:sqref>SourceE!$S$6:$S$12</c15:sqref>
                        </c15:formulaRef>
                      </c:ext>
                    </c:extLst>
                    <c:strCache>
                      <c:ptCount val="7"/>
                      <c:pt idx="0">
                        <c:v> Proposed Design </c:v>
                      </c:pt>
                      <c:pt idx="1">
                        <c:v>   </c:v>
                      </c:pt>
                      <c:pt idx="2">
                        <c:v>   </c:v>
                      </c:pt>
                      <c:pt idx="3">
                        <c:v>   </c:v>
                      </c:pt>
                      <c:pt idx="4">
                        <c:v>   </c:v>
                      </c:pt>
                      <c:pt idx="5">
                        <c:v>   </c:v>
                      </c:pt>
                      <c:pt idx="6">
                        <c:v>   </c:v>
                      </c:pt>
                    </c:strCache>
                  </c:strRef>
                </c:cat>
                <c:val>
                  <c:numRef>
                    <c:extLst>
                      <c:ext xmlns:c15="http://schemas.microsoft.com/office/drawing/2012/chart" uri="{02D57815-91ED-43cb-92C2-25804820EDAC}">
                        <c15:formulaRef>
                          <c15:sqref>SourceE!SourceEUI_13</c15:sqref>
                        </c15:formulaRef>
                      </c:ext>
                    </c:extLst>
                    <c:numCache>
                      <c:formatCode>_(* #,##0.0_);_(* \(#,##0.0\);_(* "-"??_);_(@_)</c:formatCode>
                      <c:ptCount val="1"/>
                      <c:pt idx="0">
                        <c:v>0</c:v>
                      </c:pt>
                    </c:numCache>
                  </c:numRef>
                </c:val>
                <c:extLst xmlns:c15="http://schemas.microsoft.com/office/drawing/2012/chart">
                  <c:ext xmlns:c16="http://schemas.microsoft.com/office/drawing/2014/chart" uri="{C3380CC4-5D6E-409C-BE32-E72D297353CC}">
                    <c16:uniqueId val="{0000000D-6553-4207-9153-7FBA019E6361}"/>
                  </c:ext>
                </c:extLst>
              </c15:ser>
            </c15:filteredBarSeries>
            <c15:filteredBarSeries>
              <c15:ser>
                <c:idx val="11"/>
                <c:order val="13"/>
                <c:tx>
                  <c:strRef>
                    <c:extLst>
                      <c:ext xmlns:c15="http://schemas.microsoft.com/office/drawing/2012/chart" uri="{02D57815-91ED-43cb-92C2-25804820EDAC}">
                        <c15:formulaRef>
                          <c15:sqref>SourceE!$AH$3</c15:sqref>
                        </c15:formulaRef>
                      </c:ext>
                    </c:extLst>
                    <c:strCache>
                      <c:ptCount val="1"/>
                      <c:pt idx="0">
                        <c:v>Generators</c:v>
                      </c:pt>
                    </c:strCache>
                  </c:strRef>
                </c:tx>
                <c:spPr>
                  <a:solidFill>
                    <a:srgbClr val="89AF5B"/>
                  </a:solidFill>
                </c:spPr>
                <c:invertIfNegative val="0"/>
                <c:cat>
                  <c:strRef>
                    <c:extLst>
                      <c:ext xmlns:c15="http://schemas.microsoft.com/office/drawing/2012/chart" uri="{02D57815-91ED-43cb-92C2-25804820EDAC}">
                        <c15:formulaRef>
                          <c15:sqref>SourceE!$S$6:$S$12</c15:sqref>
                        </c15:formulaRef>
                      </c:ext>
                    </c:extLst>
                    <c:strCache>
                      <c:ptCount val="7"/>
                      <c:pt idx="0">
                        <c:v> Proposed Design </c:v>
                      </c:pt>
                      <c:pt idx="1">
                        <c:v>   </c:v>
                      </c:pt>
                      <c:pt idx="2">
                        <c:v>   </c:v>
                      </c:pt>
                      <c:pt idx="3">
                        <c:v>   </c:v>
                      </c:pt>
                      <c:pt idx="4">
                        <c:v>   </c:v>
                      </c:pt>
                      <c:pt idx="5">
                        <c:v>   </c:v>
                      </c:pt>
                      <c:pt idx="6">
                        <c:v>   </c:v>
                      </c:pt>
                    </c:strCache>
                  </c:strRef>
                </c:cat>
                <c:val>
                  <c:numRef>
                    <c:extLst>
                      <c:ext xmlns:c15="http://schemas.microsoft.com/office/drawing/2012/chart" uri="{02D57815-91ED-43cb-92C2-25804820EDAC}">
                        <c15:formulaRef>
                          <c15:sqref>SourceE!SourceEUI_14</c15:sqref>
                        </c15:formulaRef>
                      </c:ext>
                    </c:extLst>
                    <c:numCache>
                      <c:formatCode>_(* #,##0.0_);_(* \(#,##0.0\);_(* "-"??_);_(@_)</c:formatCode>
                      <c:ptCount val="1"/>
                      <c:pt idx="0">
                        <c:v>0</c:v>
                      </c:pt>
                    </c:numCache>
                  </c:numRef>
                </c:val>
                <c:extLst xmlns:c15="http://schemas.microsoft.com/office/drawing/2012/chart">
                  <c:ext xmlns:c16="http://schemas.microsoft.com/office/drawing/2014/chart" uri="{C3380CC4-5D6E-409C-BE32-E72D297353CC}">
                    <c16:uniqueId val="{0000000E-6553-4207-9153-7FBA019E6361}"/>
                  </c:ext>
                </c:extLst>
              </c15:ser>
            </c15:filteredBarSeries>
            <c15:filteredBarSeries>
              <c15:ser>
                <c:idx val="16"/>
                <c:order val="14"/>
                <c:tx>
                  <c:strRef>
                    <c:extLst>
                      <c:ext xmlns:c15="http://schemas.microsoft.com/office/drawing/2012/chart" uri="{02D57815-91ED-43cb-92C2-25804820EDAC}">
                        <c15:formulaRef>
                          <c15:sqref>SourceE!$AI$3</c15:sqref>
                        </c15:formulaRef>
                      </c:ext>
                    </c:extLst>
                    <c:strCache>
                      <c:ptCount val="1"/>
                      <c:pt idx="0">
                        <c:v> </c:v>
                      </c:pt>
                    </c:strCache>
                  </c:strRef>
                </c:tx>
                <c:spPr>
                  <a:solidFill>
                    <a:srgbClr val="64696F"/>
                  </a:solidFill>
                </c:spPr>
                <c:invertIfNegative val="0"/>
                <c:cat>
                  <c:strRef>
                    <c:extLst>
                      <c:ext xmlns:c15="http://schemas.microsoft.com/office/drawing/2012/chart" uri="{02D57815-91ED-43cb-92C2-25804820EDAC}">
                        <c15:formulaRef>
                          <c15:sqref>SourceE!$S$6:$S$12</c15:sqref>
                        </c15:formulaRef>
                      </c:ext>
                    </c:extLst>
                    <c:strCache>
                      <c:ptCount val="7"/>
                      <c:pt idx="0">
                        <c:v> Proposed Design </c:v>
                      </c:pt>
                      <c:pt idx="1">
                        <c:v>   </c:v>
                      </c:pt>
                      <c:pt idx="2">
                        <c:v>   </c:v>
                      </c:pt>
                      <c:pt idx="3">
                        <c:v>   </c:v>
                      </c:pt>
                      <c:pt idx="4">
                        <c:v>   </c:v>
                      </c:pt>
                      <c:pt idx="5">
                        <c:v>   </c:v>
                      </c:pt>
                      <c:pt idx="6">
                        <c:v>   </c:v>
                      </c:pt>
                    </c:strCache>
                  </c:strRef>
                </c:cat>
                <c:val>
                  <c:numRef>
                    <c:extLst>
                      <c:ext xmlns:c15="http://schemas.microsoft.com/office/drawing/2012/chart" uri="{02D57815-91ED-43cb-92C2-25804820EDAC}">
                        <c15:formulaRef>
                          <c15:sqref>SourceE!SourceEUI_15</c15:sqref>
                        </c15:formulaRef>
                      </c:ext>
                    </c:extLst>
                    <c:numCache>
                      <c:formatCode>_(* #,##0.0_);_(* \(#,##0.0\);_(* "-"??_);_(@_)</c:formatCode>
                      <c:ptCount val="1"/>
                      <c:pt idx="0">
                        <c:v>0</c:v>
                      </c:pt>
                    </c:numCache>
                  </c:numRef>
                </c:val>
                <c:extLst xmlns:c15="http://schemas.microsoft.com/office/drawing/2012/chart">
                  <c:ext xmlns:c16="http://schemas.microsoft.com/office/drawing/2014/chart" uri="{C3380CC4-5D6E-409C-BE32-E72D297353CC}">
                    <c16:uniqueId val="{0000000F-6553-4207-9153-7FBA019E6361}"/>
                  </c:ext>
                </c:extLst>
              </c15:ser>
            </c15:filteredBarSeries>
            <c15:filteredBarSeries>
              <c15:ser>
                <c:idx val="18"/>
                <c:order val="15"/>
                <c:tx>
                  <c:strRef>
                    <c:extLst>
                      <c:ext xmlns:c15="http://schemas.microsoft.com/office/drawing/2012/chart" uri="{02D57815-91ED-43cb-92C2-25804820EDAC}">
                        <c15:formulaRef>
                          <c15:sqref>SourceE!$AJ$3</c15:sqref>
                        </c15:formulaRef>
                      </c:ext>
                    </c:extLst>
                    <c:strCache>
                      <c:ptCount val="1"/>
                      <c:pt idx="0">
                        <c:v> </c:v>
                      </c:pt>
                    </c:strCache>
                  </c:strRef>
                </c:tx>
                <c:spPr>
                  <a:solidFill>
                    <a:srgbClr val="3C393C"/>
                  </a:solidFill>
                </c:spPr>
                <c:invertIfNegative val="0"/>
                <c:cat>
                  <c:strRef>
                    <c:extLst>
                      <c:ext xmlns:c15="http://schemas.microsoft.com/office/drawing/2012/chart" uri="{02D57815-91ED-43cb-92C2-25804820EDAC}">
                        <c15:formulaRef>
                          <c15:sqref>SourceE!$S$6:$S$12</c15:sqref>
                        </c15:formulaRef>
                      </c:ext>
                    </c:extLst>
                    <c:strCache>
                      <c:ptCount val="7"/>
                      <c:pt idx="0">
                        <c:v> Proposed Design </c:v>
                      </c:pt>
                      <c:pt idx="1">
                        <c:v>   </c:v>
                      </c:pt>
                      <c:pt idx="2">
                        <c:v>   </c:v>
                      </c:pt>
                      <c:pt idx="3">
                        <c:v>   </c:v>
                      </c:pt>
                      <c:pt idx="4">
                        <c:v>   </c:v>
                      </c:pt>
                      <c:pt idx="5">
                        <c:v>   </c:v>
                      </c:pt>
                      <c:pt idx="6">
                        <c:v>   </c:v>
                      </c:pt>
                    </c:strCache>
                  </c:strRef>
                </c:cat>
                <c:val>
                  <c:numRef>
                    <c:extLst>
                      <c:ext xmlns:c15="http://schemas.microsoft.com/office/drawing/2012/chart" uri="{02D57815-91ED-43cb-92C2-25804820EDAC}">
                        <c15:formulaRef>
                          <c15:sqref>SourceE!SourceEUI_16</c15:sqref>
                        </c15:formulaRef>
                      </c:ext>
                    </c:extLst>
                    <c:numCache>
                      <c:formatCode>_(* #,##0.0_);_(* \(#,##0.0\);_(* "-"??_);_(@_)</c:formatCode>
                      <c:ptCount val="1"/>
                      <c:pt idx="0">
                        <c:v>0</c:v>
                      </c:pt>
                    </c:numCache>
                  </c:numRef>
                </c:val>
                <c:extLst>
                  <c:ext xmlns:c16="http://schemas.microsoft.com/office/drawing/2014/chart" uri="{C3380CC4-5D6E-409C-BE32-E72D297353CC}">
                    <c16:uniqueId val="{00000010-6553-4207-9153-7FBA019E6361}"/>
                  </c:ext>
                </c:extLst>
              </c15:ser>
            </c15:filteredBarSeries>
            <c15:filteredBarSeries>
              <c15:ser>
                <c:idx val="17"/>
                <c:order val="16"/>
                <c:tx>
                  <c:strRef>
                    <c:extLst>
                      <c:ext xmlns:c15="http://schemas.microsoft.com/office/drawing/2012/chart" uri="{02D57815-91ED-43cb-92C2-25804820EDAC}">
                        <c15:formulaRef>
                          <c15:sqref>SourceE!$AK$3</c15:sqref>
                        </c15:formulaRef>
                      </c:ext>
                    </c:extLst>
                    <c:strCache>
                      <c:ptCount val="1"/>
                      <c:pt idx="0">
                        <c:v>Uncertainty</c:v>
                      </c:pt>
                    </c:strCache>
                  </c:strRef>
                </c:tx>
                <c:spPr>
                  <a:noFill/>
                  <a:ln>
                    <a:solidFill>
                      <a:schemeClr val="bg1">
                        <a:lumMod val="50000"/>
                      </a:schemeClr>
                    </a:solidFill>
                    <a:prstDash val="dash"/>
                  </a:ln>
                </c:spPr>
                <c:invertIfNegative val="0"/>
                <c:cat>
                  <c:strRef>
                    <c:extLst>
                      <c:ext xmlns:c15="http://schemas.microsoft.com/office/drawing/2012/chart" uri="{02D57815-91ED-43cb-92C2-25804820EDAC}">
                        <c15:formulaRef>
                          <c15:sqref>SourceE!$S$6:$S$12</c15:sqref>
                        </c15:formulaRef>
                      </c:ext>
                    </c:extLst>
                    <c:strCache>
                      <c:ptCount val="7"/>
                      <c:pt idx="0">
                        <c:v> Proposed Design </c:v>
                      </c:pt>
                      <c:pt idx="1">
                        <c:v>   </c:v>
                      </c:pt>
                      <c:pt idx="2">
                        <c:v>   </c:v>
                      </c:pt>
                      <c:pt idx="3">
                        <c:v>   </c:v>
                      </c:pt>
                      <c:pt idx="4">
                        <c:v>   </c:v>
                      </c:pt>
                      <c:pt idx="5">
                        <c:v>   </c:v>
                      </c:pt>
                      <c:pt idx="6">
                        <c:v>   </c:v>
                      </c:pt>
                    </c:strCache>
                  </c:strRef>
                </c:cat>
                <c:val>
                  <c:numRef>
                    <c:extLst>
                      <c:ext xmlns:c15="http://schemas.microsoft.com/office/drawing/2012/chart" uri="{02D57815-91ED-43cb-92C2-25804820EDAC}">
                        <c15:formulaRef>
                          <c15:sqref>SourceE!SourceEUI_17</c15:sqref>
                        </c15:formulaRef>
                      </c:ext>
                    </c:extLst>
                    <c:numCache>
                      <c:formatCode>_(* #,##0.0_);_(* \(#,##0.0\);_(* "-"??_);_(@_)</c:formatCode>
                      <c:ptCount val="1"/>
                      <c:pt idx="0">
                        <c:v>0</c:v>
                      </c:pt>
                    </c:numCache>
                  </c:numRef>
                </c:val>
                <c:extLst xmlns:c15="http://schemas.microsoft.com/office/drawing/2012/chart">
                  <c:ext xmlns:c16="http://schemas.microsoft.com/office/drawing/2014/chart" uri="{C3380CC4-5D6E-409C-BE32-E72D297353CC}">
                    <c16:uniqueId val="{00000011-6553-4207-9153-7FBA019E6361}"/>
                  </c:ext>
                </c:extLst>
              </c15:ser>
            </c15:filteredBarSeries>
            <c15:filteredBarSeries>
              <c15:ser>
                <c:idx val="6"/>
                <c:order val="17"/>
                <c:tx>
                  <c:strRef>
                    <c:extLst>
                      <c:ext xmlns:c15="http://schemas.microsoft.com/office/drawing/2012/chart" uri="{02D57815-91ED-43cb-92C2-25804820EDAC}">
                        <c15:formulaRef>
                          <c15:sqref>SourceE!$AL$3</c15:sqref>
                        </c15:formulaRef>
                      </c:ext>
                    </c:extLst>
                    <c:strCache>
                      <c:ptCount val="1"/>
                      <c:pt idx="0">
                        <c:v>PV</c:v>
                      </c:pt>
                    </c:strCache>
                  </c:strRef>
                </c:tx>
                <c:invertIfNegative val="0"/>
                <c:cat>
                  <c:strRef>
                    <c:extLst>
                      <c:ext xmlns:c15="http://schemas.microsoft.com/office/drawing/2012/chart" uri="{02D57815-91ED-43cb-92C2-25804820EDAC}">
                        <c15:formulaRef>
                          <c15:sqref>SourceE!$S$6:$S$12</c15:sqref>
                        </c15:formulaRef>
                      </c:ext>
                    </c:extLst>
                    <c:strCache>
                      <c:ptCount val="7"/>
                      <c:pt idx="0">
                        <c:v> Proposed Design </c:v>
                      </c:pt>
                      <c:pt idx="1">
                        <c:v>   </c:v>
                      </c:pt>
                      <c:pt idx="2">
                        <c:v>   </c:v>
                      </c:pt>
                      <c:pt idx="3">
                        <c:v>   </c:v>
                      </c:pt>
                      <c:pt idx="4">
                        <c:v>   </c:v>
                      </c:pt>
                      <c:pt idx="5">
                        <c:v>   </c:v>
                      </c:pt>
                      <c:pt idx="6">
                        <c:v>   </c:v>
                      </c:pt>
                    </c:strCache>
                  </c:strRef>
                </c:cat>
                <c:val>
                  <c:numRef>
                    <c:extLst>
                      <c:ext xmlns:c15="http://schemas.microsoft.com/office/drawing/2012/chart" uri="{02D57815-91ED-43cb-92C2-25804820EDAC}">
                        <c15:formulaRef>
                          <c15:sqref>SourceE!SourceEUI_18</c15:sqref>
                        </c15:formulaRef>
                      </c:ext>
                    </c:extLst>
                    <c:numCache>
                      <c:formatCode>_(* #,##0.0_);_(* \(#,##0.0\);_(* "-"??_);_(@_)</c:formatCode>
                      <c:ptCount val="1"/>
                      <c:pt idx="0">
                        <c:v>0</c:v>
                      </c:pt>
                    </c:numCache>
                  </c:numRef>
                </c:val>
                <c:extLst>
                  <c:ext xmlns:c16="http://schemas.microsoft.com/office/drawing/2014/chart" uri="{C3380CC4-5D6E-409C-BE32-E72D297353CC}">
                    <c16:uniqueId val="{00000012-6553-4207-9153-7FBA019E6361}"/>
                  </c:ext>
                </c:extLst>
              </c15:ser>
            </c15:filteredBarSeries>
            <c15:filteredBarSeries>
              <c15:ser>
                <c:idx val="12"/>
                <c:order val="18"/>
                <c:tx>
                  <c:strRef>
                    <c:extLst>
                      <c:ext xmlns:c15="http://schemas.microsoft.com/office/drawing/2012/chart" uri="{02D57815-91ED-43cb-92C2-25804820EDAC}">
                        <c15:formulaRef>
                          <c15:sqref>SourceE!$AM$3</c15:sqref>
                        </c15:formulaRef>
                      </c:ext>
                    </c:extLst>
                    <c:strCache>
                      <c:ptCount val="1"/>
                      <c:pt idx="0">
                        <c:v>Wind</c:v>
                      </c:pt>
                    </c:strCache>
                  </c:strRef>
                </c:tx>
                <c:invertIfNegative val="0"/>
                <c:cat>
                  <c:strRef>
                    <c:extLst>
                      <c:ext xmlns:c15="http://schemas.microsoft.com/office/drawing/2012/chart" uri="{02D57815-91ED-43cb-92C2-25804820EDAC}">
                        <c15:formulaRef>
                          <c15:sqref>SourceE!$S$6:$S$12</c15:sqref>
                        </c15:formulaRef>
                      </c:ext>
                    </c:extLst>
                    <c:strCache>
                      <c:ptCount val="7"/>
                      <c:pt idx="0">
                        <c:v> Proposed Design </c:v>
                      </c:pt>
                      <c:pt idx="1">
                        <c:v>   </c:v>
                      </c:pt>
                      <c:pt idx="2">
                        <c:v>   </c:v>
                      </c:pt>
                      <c:pt idx="3">
                        <c:v>   </c:v>
                      </c:pt>
                      <c:pt idx="4">
                        <c:v>   </c:v>
                      </c:pt>
                      <c:pt idx="5">
                        <c:v>   </c:v>
                      </c:pt>
                      <c:pt idx="6">
                        <c:v>   </c:v>
                      </c:pt>
                    </c:strCache>
                  </c:strRef>
                </c:cat>
                <c:val>
                  <c:numRef>
                    <c:extLst>
                      <c:ext xmlns:c15="http://schemas.microsoft.com/office/drawing/2012/chart" uri="{02D57815-91ED-43cb-92C2-25804820EDAC}">
                        <c15:formulaRef>
                          <c15:sqref>SourceE!SourceEUI_19</c15:sqref>
                        </c15:formulaRef>
                      </c:ext>
                    </c:extLst>
                    <c:numCache>
                      <c:formatCode>_(* #,##0.0_);_(* \(#,##0.0\);_(* "-"??_);_(@_)</c:formatCode>
                      <c:ptCount val="1"/>
                      <c:pt idx="0">
                        <c:v>0</c:v>
                      </c:pt>
                    </c:numCache>
                  </c:numRef>
                </c:val>
                <c:extLst xmlns:c15="http://schemas.microsoft.com/office/drawing/2012/chart">
                  <c:ext xmlns:c16="http://schemas.microsoft.com/office/drawing/2014/chart" uri="{C3380CC4-5D6E-409C-BE32-E72D297353CC}">
                    <c16:uniqueId val="{00000013-6553-4207-9153-7FBA019E6361}"/>
                  </c:ext>
                </c:extLst>
              </c15:ser>
            </c15:filteredBarSeries>
            <c15:filteredBarSeries>
              <c15:ser>
                <c:idx val="13"/>
                <c:order val="19"/>
                <c:tx>
                  <c:strRef>
                    <c:extLst>
                      <c:ext xmlns:c15="http://schemas.microsoft.com/office/drawing/2012/chart" uri="{02D57815-91ED-43cb-92C2-25804820EDAC}">
                        <c15:formulaRef>
                          <c15:sqref>SourceE!$AN$3</c15:sqref>
                        </c15:formulaRef>
                      </c:ext>
                    </c:extLst>
                    <c:strCache>
                      <c:ptCount val="1"/>
                      <c:pt idx="0">
                        <c:v>SHW</c:v>
                      </c:pt>
                    </c:strCache>
                  </c:strRef>
                </c:tx>
                <c:invertIfNegative val="0"/>
                <c:cat>
                  <c:strRef>
                    <c:extLst>
                      <c:ext xmlns:c15="http://schemas.microsoft.com/office/drawing/2012/chart" uri="{02D57815-91ED-43cb-92C2-25804820EDAC}">
                        <c15:formulaRef>
                          <c15:sqref>SourceE!$S$6:$S$12</c15:sqref>
                        </c15:formulaRef>
                      </c:ext>
                    </c:extLst>
                    <c:strCache>
                      <c:ptCount val="7"/>
                      <c:pt idx="0">
                        <c:v> Proposed Design </c:v>
                      </c:pt>
                      <c:pt idx="1">
                        <c:v>   </c:v>
                      </c:pt>
                      <c:pt idx="2">
                        <c:v>   </c:v>
                      </c:pt>
                      <c:pt idx="3">
                        <c:v>   </c:v>
                      </c:pt>
                      <c:pt idx="4">
                        <c:v>   </c:v>
                      </c:pt>
                      <c:pt idx="5">
                        <c:v>   </c:v>
                      </c:pt>
                      <c:pt idx="6">
                        <c:v>   </c:v>
                      </c:pt>
                    </c:strCache>
                  </c:strRef>
                </c:cat>
                <c:val>
                  <c:numRef>
                    <c:extLst>
                      <c:ext xmlns:c15="http://schemas.microsoft.com/office/drawing/2012/chart" uri="{02D57815-91ED-43cb-92C2-25804820EDAC}">
                        <c15:formulaRef>
                          <c15:sqref>SourceE!SourceEUI_20</c15:sqref>
                        </c15:formulaRef>
                      </c:ext>
                    </c:extLst>
                    <c:numCache>
                      <c:formatCode>_(* #,##0.0_);_(* \(#,##0.0\);_(* "-"??_);_(@_)</c:formatCode>
                      <c:ptCount val="1"/>
                      <c:pt idx="0">
                        <c:v>0</c:v>
                      </c:pt>
                    </c:numCache>
                  </c:numRef>
                </c:val>
                <c:extLst xmlns:c15="http://schemas.microsoft.com/office/drawing/2012/chart">
                  <c:ext xmlns:c16="http://schemas.microsoft.com/office/drawing/2014/chart" uri="{C3380CC4-5D6E-409C-BE32-E72D297353CC}">
                    <c16:uniqueId val="{00000014-6553-4207-9153-7FBA019E6361}"/>
                  </c:ext>
                </c:extLst>
              </c15:ser>
            </c15:filteredBarSeries>
          </c:ext>
        </c:extLst>
      </c:barChart>
      <c:scatterChart>
        <c:scatterStyle val="lineMarker"/>
        <c:varyColors val="0"/>
        <c:dLbls>
          <c:showLegendKey val="0"/>
          <c:showVal val="0"/>
          <c:showCatName val="0"/>
          <c:showSerName val="0"/>
          <c:showPercent val="0"/>
          <c:showBubbleSize val="0"/>
        </c:dLbls>
        <c:axId val="496616111"/>
        <c:axId val="496618591"/>
        <c:extLst>
          <c:ext xmlns:c15="http://schemas.microsoft.com/office/drawing/2012/chart" uri="{02D57815-91ED-43cb-92C2-25804820EDAC}">
            <c15:filteredScatterSeries>
              <c15:ser>
                <c:idx val="20"/>
                <c:order val="20"/>
                <c:tx>
                  <c:strRef>
                    <c:extLst>
                      <c:ext uri="{02D57815-91ED-43cb-92C2-25804820EDAC}">
                        <c15:formulaRef>
                          <c15:sqref>SourceE!$AS$20</c15:sqref>
                        </c15:formulaRef>
                      </c:ext>
                    </c:extLst>
                    <c:strCache>
                      <c:ptCount val="1"/>
                      <c:pt idx="0">
                        <c:v>#VALUE!</c:v>
                      </c:pt>
                    </c:strCache>
                  </c:strRef>
                </c:tx>
                <c:spPr>
                  <a:ln>
                    <a:solidFill>
                      <a:srgbClr val="C00000"/>
                    </a:solidFill>
                    <a:prstDash val="sysDash"/>
                  </a:ln>
                </c:spPr>
                <c:marker>
                  <c:symbol val="none"/>
                </c:marker>
                <c:dLbls>
                  <c:dLbl>
                    <c:idx val="0"/>
                    <c:delete val="1"/>
                    <c:extLst>
                      <c:ext uri="{CE6537A1-D6FC-4f65-9D91-7224C49458BB}"/>
                      <c:ext xmlns:c16="http://schemas.microsoft.com/office/drawing/2014/chart" uri="{C3380CC4-5D6E-409C-BE32-E72D297353CC}">
                        <c16:uniqueId val="{00000015-6553-4207-9153-7FBA019E6361}"/>
                      </c:ext>
                    </c:extLst>
                  </c:dLbl>
                  <c:dLbl>
                    <c:idx val="1"/>
                    <c:spPr>
                      <a:noFill/>
                      <a:ln>
                        <a:noFill/>
                      </a:ln>
                      <a:effectLst/>
                    </c:spPr>
                    <c:txPr>
                      <a:bodyPr wrap="square" lIns="38100" tIns="19050" rIns="38100" bIns="19050" anchor="ctr">
                        <a:spAutoFit/>
                      </a:bodyPr>
                      <a:lstStyle/>
                      <a:p>
                        <a:pPr>
                          <a:defRPr sz="800">
                            <a:latin typeface="Franklin Gothic Book" panose="020B0503020102020204" pitchFamily="34" charset="0"/>
                          </a:defRPr>
                        </a:pPr>
                        <a:endParaRPr lang="en-US"/>
                      </a:p>
                    </c:txPr>
                    <c:dLblPos val="t"/>
                    <c:showLegendKey val="0"/>
                    <c:showVal val="0"/>
                    <c:showCatName val="0"/>
                    <c:showSerName val="1"/>
                    <c:showPercent val="0"/>
                    <c:showBubbleSize val="0"/>
                    <c:extLst>
                      <c:ext xmlns:c16="http://schemas.microsoft.com/office/drawing/2014/chart" uri="{C3380CC4-5D6E-409C-BE32-E72D297353CC}">
                        <c16:uniqueId val="{00000016-6553-4207-9153-7FBA019E6361}"/>
                      </c:ext>
                    </c:extLst>
                  </c:dLbl>
                  <c:spPr>
                    <a:noFill/>
                    <a:ln>
                      <a:noFill/>
                    </a:ln>
                    <a:effectLst/>
                  </c:spPr>
                  <c:dLblPos val="t"/>
                  <c:showLegendKey val="0"/>
                  <c:showVal val="0"/>
                  <c:showCatName val="0"/>
                  <c:showSerName val="1"/>
                  <c:showPercent val="0"/>
                  <c:showBubbleSize val="0"/>
                  <c:showLeaderLines val="0"/>
                  <c:extLst>
                    <c:ext uri="{CE6537A1-D6FC-4f65-9D91-7224C49458BB}">
                      <c15:showLeaderLines val="0"/>
                    </c:ext>
                  </c:extLst>
                </c:dLbls>
                <c:yVal>
                  <c:numRef>
                    <c:extLst>
                      <c:ext uri="{02D57815-91ED-43cb-92C2-25804820EDAC}">
                        <c15:formulaRef>
                          <c15:sqref>SourceE!$AT$20:$AU$20</c15:sqref>
                        </c15:formulaRef>
                      </c:ext>
                    </c:extLst>
                    <c:numCache>
                      <c:formatCode>_(* #,##0.0_);_(* \(#,##0.0\);_(* "-"??_);_(@_)</c:formatCode>
                      <c:ptCount val="2"/>
                      <c:pt idx="0">
                        <c:v>0</c:v>
                      </c:pt>
                      <c:pt idx="1">
                        <c:v>0</c:v>
                      </c:pt>
                    </c:numCache>
                  </c:numRef>
                </c:yVal>
                <c:smooth val="0"/>
                <c:extLst>
                  <c:ext xmlns:c16="http://schemas.microsoft.com/office/drawing/2014/chart" uri="{C3380CC4-5D6E-409C-BE32-E72D297353CC}">
                    <c16:uniqueId val="{00000017-6553-4207-9153-7FBA019E6361}"/>
                  </c:ext>
                </c:extLst>
              </c15:ser>
            </c15:filteredScatterSeries>
            <c15:filteredScatterSeries>
              <c15:ser>
                <c:idx val="21"/>
                <c:order val="21"/>
                <c:tx>
                  <c:strRef>
                    <c:extLst xmlns:c15="http://schemas.microsoft.com/office/drawing/2012/chart">
                      <c:ext xmlns:c15="http://schemas.microsoft.com/office/drawing/2012/chart" uri="{02D57815-91ED-43cb-92C2-25804820EDAC}">
                        <c15:formulaRef>
                          <c15:sqref>SourceE!$AS$21</c15:sqref>
                        </c15:formulaRef>
                      </c:ext>
                    </c:extLst>
                    <c:strCache>
                      <c:ptCount val="1"/>
                      <c:pt idx="0">
                        <c:v>#VALUE!</c:v>
                      </c:pt>
                    </c:strCache>
                  </c:strRef>
                </c:tx>
                <c:spPr>
                  <a:ln>
                    <a:solidFill>
                      <a:schemeClr val="tx2"/>
                    </a:solidFill>
                    <a:prstDash val="sysDash"/>
                  </a:ln>
                </c:spPr>
                <c:marker>
                  <c:symbol val="none"/>
                </c:marker>
                <c:dLbls>
                  <c:dLbl>
                    <c:idx val="0"/>
                    <c:delete val="1"/>
                    <c:extLst xmlns:c15="http://schemas.microsoft.com/office/drawing/2012/chart">
                      <c:ext xmlns:c15="http://schemas.microsoft.com/office/drawing/2012/chart" uri="{CE6537A1-D6FC-4f65-9D91-7224C49458BB}"/>
                      <c:ext xmlns:c16="http://schemas.microsoft.com/office/drawing/2014/chart" uri="{C3380CC4-5D6E-409C-BE32-E72D297353CC}">
                        <c16:uniqueId val="{00000018-6553-4207-9153-7FBA019E6361}"/>
                      </c:ext>
                    </c:extLst>
                  </c:dLbl>
                  <c:dLbl>
                    <c:idx val="1"/>
                    <c:tx>
                      <c:rich>
                        <a:bodyPr/>
                        <a:lstStyle/>
                        <a:p>
                          <a:fld id="{6E826609-AAFE-4FC1-BB89-D61F787E5C5A}" type="SERIESNAME">
                            <a:rPr lang="en-US" sz="800">
                              <a:latin typeface="Franklin Gothic Book" panose="020B0503020102020204" pitchFamily="34" charset="0"/>
                            </a:rPr>
                            <a:pPr/>
                            <a:t>[SERIES NAME]</a:t>
                          </a:fld>
                          <a:endParaRPr lang="en-US"/>
                        </a:p>
                      </c:rich>
                    </c:tx>
                    <c:dLblPos val="t"/>
                    <c:showLegendKey val="0"/>
                    <c:showVal val="0"/>
                    <c:showCatName val="0"/>
                    <c:showSerName val="1"/>
                    <c:showPercent val="0"/>
                    <c:showBubbleSize val="0"/>
                    <c:extLst xmlns:c15="http://schemas.microsoft.com/office/drawing/2012/chart">
                      <c:ext xmlns:c15="http://schemas.microsoft.com/office/drawing/2012/chart" uri="{CE6537A1-D6FC-4f65-9D91-7224C49458BB}">
                        <c15:dlblFieldTable/>
                        <c15:showDataLabelsRange val="0"/>
                      </c:ext>
                      <c:ext xmlns:c16="http://schemas.microsoft.com/office/drawing/2014/chart" uri="{C3380CC4-5D6E-409C-BE32-E72D297353CC}">
                        <c16:uniqueId val="{00000019-6553-4207-9153-7FBA019E6361}"/>
                      </c:ext>
                    </c:extLst>
                  </c:dLbl>
                  <c:spPr>
                    <a:noFill/>
                    <a:ln>
                      <a:noFill/>
                    </a:ln>
                    <a:effectLst/>
                  </c:spPr>
                  <c:dLblPos val="t"/>
                  <c:showLegendKey val="0"/>
                  <c:showVal val="0"/>
                  <c:showCatName val="0"/>
                  <c:showSerName val="1"/>
                  <c:showPercent val="0"/>
                  <c:showBubbleSize val="0"/>
                  <c:showLeaderLines val="0"/>
                  <c:extLst xmlns:c15="http://schemas.microsoft.com/office/drawing/2012/chart">
                    <c:ext xmlns:c15="http://schemas.microsoft.com/office/drawing/2012/chart" uri="{CE6537A1-D6FC-4f65-9D91-7224C49458BB}">
                      <c15:showLeaderLines val="0"/>
                    </c:ext>
                  </c:extLst>
                </c:dLbls>
                <c:yVal>
                  <c:numRef>
                    <c:extLst xmlns:c15="http://schemas.microsoft.com/office/drawing/2012/chart">
                      <c:ext xmlns:c15="http://schemas.microsoft.com/office/drawing/2012/chart" uri="{02D57815-91ED-43cb-92C2-25804820EDAC}">
                        <c15:formulaRef>
                          <c15:sqref>SourceE!$AT$21:$AU$21</c15:sqref>
                        </c15:formulaRef>
                      </c:ext>
                    </c:extLst>
                    <c:numCache>
                      <c:formatCode>_(* #,##0.0_);_(* \(#,##0.0\);_(* "-"??_);_(@_)</c:formatCode>
                      <c:ptCount val="2"/>
                      <c:pt idx="0">
                        <c:v>0</c:v>
                      </c:pt>
                      <c:pt idx="1">
                        <c:v>0</c:v>
                      </c:pt>
                    </c:numCache>
                  </c:numRef>
                </c:yVal>
                <c:smooth val="0"/>
                <c:extLst xmlns:c15="http://schemas.microsoft.com/office/drawing/2012/chart">
                  <c:ext xmlns:c16="http://schemas.microsoft.com/office/drawing/2014/chart" uri="{C3380CC4-5D6E-409C-BE32-E72D297353CC}">
                    <c16:uniqueId val="{0000001A-6553-4207-9153-7FBA019E6361}"/>
                  </c:ext>
                </c:extLst>
              </c15:ser>
            </c15:filteredScatterSeries>
          </c:ext>
        </c:extLst>
      </c:scatterChart>
      <c:catAx>
        <c:axId val="208880192"/>
        <c:scaling>
          <c:orientation val="minMax"/>
        </c:scaling>
        <c:delete val="0"/>
        <c:axPos val="b"/>
        <c:numFmt formatCode="General" sourceLinked="0"/>
        <c:majorTickMark val="out"/>
        <c:minorTickMark val="none"/>
        <c:tickLblPos val="nextTo"/>
        <c:txPr>
          <a:bodyPr/>
          <a:lstStyle/>
          <a:p>
            <a:pPr>
              <a:defRPr sz="800">
                <a:solidFill>
                  <a:schemeClr val="bg1">
                    <a:lumMod val="50000"/>
                  </a:schemeClr>
                </a:solidFill>
                <a:latin typeface="Franklin Gothic Book" panose="020B0503020102020204" pitchFamily="34" charset="0"/>
                <a:cs typeface="Arial" panose="020B0604020202020204" pitchFamily="34" charset="0"/>
              </a:defRPr>
            </a:pPr>
            <a:endParaRPr lang="en-US"/>
          </a:p>
        </c:txPr>
        <c:crossAx val="208882936"/>
        <c:crosses val="autoZero"/>
        <c:auto val="1"/>
        <c:lblAlgn val="ctr"/>
        <c:lblOffset val="100"/>
        <c:noMultiLvlLbl val="0"/>
      </c:catAx>
      <c:valAx>
        <c:axId val="208882936"/>
        <c:scaling>
          <c:orientation val="minMax"/>
        </c:scaling>
        <c:delete val="0"/>
        <c:axPos val="l"/>
        <c:majorGridlines>
          <c:spPr>
            <a:ln>
              <a:solidFill>
                <a:schemeClr val="bg1">
                  <a:lumMod val="85000"/>
                </a:schemeClr>
              </a:solidFill>
            </a:ln>
          </c:spPr>
        </c:majorGridlines>
        <c:title>
          <c:tx>
            <c:strRef>
              <c:f>SourceE!$S$19</c:f>
              <c:strCache>
                <c:ptCount val="1"/>
                <c:pt idx="0">
                  <c:v>Source Energy Use Intensity (kBtu/ft²)</c:v>
                </c:pt>
              </c:strCache>
            </c:strRef>
          </c:tx>
          <c:overlay val="0"/>
          <c:txPr>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sz="1000" b="1" i="0" u="none" strike="noStrike" kern="1200" baseline="0">
                  <a:solidFill>
                    <a:schemeClr val="bg1">
                      <a:lumMod val="50000"/>
                    </a:schemeClr>
                  </a:solidFill>
                  <a:latin typeface="Franklin Gothic Book" panose="020B0503020102020204" pitchFamily="34" charset="0"/>
                  <a:ea typeface="+mn-ea"/>
                  <a:cs typeface="+mn-cs"/>
                </a:defRPr>
              </a:pPr>
              <a:endParaRPr lang="en-US"/>
            </a:p>
          </c:txPr>
        </c:title>
        <c:numFmt formatCode="#,##0" sourceLinked="0"/>
        <c:majorTickMark val="out"/>
        <c:minorTickMark val="none"/>
        <c:tickLblPos val="nextTo"/>
        <c:spPr>
          <a:ln>
            <a:tailEnd type="triangle"/>
          </a:ln>
        </c:spPr>
        <c:txPr>
          <a:bodyPr/>
          <a:lstStyle/>
          <a:p>
            <a:pPr>
              <a:defRPr sz="800">
                <a:solidFill>
                  <a:schemeClr val="bg1">
                    <a:lumMod val="50000"/>
                  </a:schemeClr>
                </a:solidFill>
                <a:latin typeface="Franklin Gothic Book" panose="020B0503020102020204" pitchFamily="34" charset="0"/>
                <a:cs typeface="Arial" panose="020B0604020202020204" pitchFamily="34" charset="0"/>
              </a:defRPr>
            </a:pPr>
            <a:endParaRPr lang="en-US"/>
          </a:p>
        </c:txPr>
        <c:crossAx val="208880192"/>
        <c:crosses val="autoZero"/>
        <c:crossBetween val="between"/>
      </c:valAx>
      <c:valAx>
        <c:axId val="496618591"/>
        <c:scaling>
          <c:orientation val="minMax"/>
        </c:scaling>
        <c:delete val="1"/>
        <c:axPos val="r"/>
        <c:numFmt formatCode="_(* #,##0.0_);_(* \(#,##0.0\);_(* &quot;-&quot;??_);_(@_)" sourceLinked="1"/>
        <c:majorTickMark val="out"/>
        <c:minorTickMark val="none"/>
        <c:tickLblPos val="nextTo"/>
        <c:crossAx val="496616111"/>
        <c:crosses val="max"/>
        <c:crossBetween val="midCat"/>
      </c:valAx>
      <c:valAx>
        <c:axId val="496616111"/>
        <c:scaling>
          <c:orientation val="minMax"/>
          <c:max val="2"/>
          <c:min val="1"/>
        </c:scaling>
        <c:delete val="1"/>
        <c:axPos val="t"/>
        <c:majorTickMark val="out"/>
        <c:minorTickMark val="none"/>
        <c:tickLblPos val="nextTo"/>
        <c:crossAx val="496618591"/>
        <c:crosses val="max"/>
        <c:crossBetween val="midCat"/>
      </c:valAx>
    </c:plotArea>
    <c:legend>
      <c:legendPos val="t"/>
      <c:overlay val="0"/>
      <c:txPr>
        <a:bodyPr/>
        <a:lstStyle/>
        <a:p>
          <a:pPr>
            <a:defRPr sz="800">
              <a:latin typeface="Franklin Gothic Book" panose="020B0503020102020204" pitchFamily="34" charset="0"/>
              <a:cs typeface="Arial" panose="020B0604020202020204" pitchFamily="34" charset="0"/>
            </a:defRPr>
          </a:pPr>
          <a:endParaRPr lang="en-US"/>
        </a:p>
      </c:txPr>
    </c:legend>
    <c:plotVisOnly val="1"/>
    <c:dispBlanksAs val="gap"/>
    <c:showDLblsOverMax val="0"/>
  </c:chart>
  <c:spPr>
    <a:ln>
      <a:noFill/>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stacked"/>
        <c:varyColors val="0"/>
        <c:ser>
          <c:idx val="1"/>
          <c:order val="0"/>
          <c:tx>
            <c:strRef>
              <c:f>Carbon!$U$3</c:f>
              <c:strCache>
                <c:ptCount val="1"/>
                <c:pt idx="0">
                  <c:v>Heating</c:v>
                </c:pt>
              </c:strCache>
            </c:strRef>
          </c:tx>
          <c:spPr>
            <a:solidFill>
              <a:srgbClr val="EE3524"/>
            </a:solidFill>
          </c:spPr>
          <c:invertIfNegative val="0"/>
          <c:cat>
            <c:strRef>
              <c:f>Carbon!$S$6:$S$12</c:f>
              <c:strCache>
                <c:ptCount val="7"/>
                <c:pt idx="0">
                  <c:v> Proposed Design </c:v>
                </c:pt>
                <c:pt idx="1">
                  <c:v>   </c:v>
                </c:pt>
                <c:pt idx="2">
                  <c:v>   </c:v>
                </c:pt>
                <c:pt idx="3">
                  <c:v>   </c:v>
                </c:pt>
                <c:pt idx="4">
                  <c:v>   </c:v>
                </c:pt>
                <c:pt idx="5">
                  <c:v>   </c:v>
                </c:pt>
                <c:pt idx="6">
                  <c:v>   </c:v>
                </c:pt>
              </c:strCache>
            </c:strRef>
          </c:cat>
          <c:val>
            <c:numRef>
              <c:f>Carbon!Carbon_01</c:f>
              <c:numCache>
                <c:formatCode>_(* #,##0_);_(* \(#,##0\);_(* "-"??_);_(@_)</c:formatCode>
                <c:ptCount val="1"/>
                <c:pt idx="0">
                  <c:v>4539.1577508543023</c:v>
                </c:pt>
              </c:numCache>
            </c:numRef>
          </c:val>
          <c:extLst>
            <c:ext xmlns:c16="http://schemas.microsoft.com/office/drawing/2014/chart" uri="{C3380CC4-5D6E-409C-BE32-E72D297353CC}">
              <c16:uniqueId val="{00000000-4231-4764-8DE0-864D6E32549A}"/>
            </c:ext>
          </c:extLst>
        </c:ser>
        <c:ser>
          <c:idx val="2"/>
          <c:order val="1"/>
          <c:tx>
            <c:strRef>
              <c:f>Carbon!$V$3</c:f>
              <c:strCache>
                <c:ptCount val="1"/>
                <c:pt idx="0">
                  <c:v>Cooling</c:v>
                </c:pt>
              </c:strCache>
            </c:strRef>
          </c:tx>
          <c:spPr>
            <a:solidFill>
              <a:srgbClr val="00B4ED"/>
            </a:solidFill>
            <a:ln>
              <a:noFill/>
            </a:ln>
          </c:spPr>
          <c:invertIfNegative val="0"/>
          <c:cat>
            <c:strRef>
              <c:f>Carbon!$S$6:$S$12</c:f>
              <c:strCache>
                <c:ptCount val="7"/>
                <c:pt idx="0">
                  <c:v> Proposed Design </c:v>
                </c:pt>
                <c:pt idx="1">
                  <c:v>   </c:v>
                </c:pt>
                <c:pt idx="2">
                  <c:v>   </c:v>
                </c:pt>
                <c:pt idx="3">
                  <c:v>   </c:v>
                </c:pt>
                <c:pt idx="4">
                  <c:v>   </c:v>
                </c:pt>
                <c:pt idx="5">
                  <c:v>   </c:v>
                </c:pt>
                <c:pt idx="6">
                  <c:v>   </c:v>
                </c:pt>
              </c:strCache>
            </c:strRef>
          </c:cat>
          <c:val>
            <c:numRef>
              <c:f>Carbon!Carbon_02</c:f>
              <c:numCache>
                <c:formatCode>_(* #,##0_);_(* \(#,##0\);_(* "-"??_);_(@_)</c:formatCode>
                <c:ptCount val="1"/>
                <c:pt idx="0">
                  <c:v>16917.411850627468</c:v>
                </c:pt>
              </c:numCache>
            </c:numRef>
          </c:val>
          <c:extLst>
            <c:ext xmlns:c16="http://schemas.microsoft.com/office/drawing/2014/chart" uri="{C3380CC4-5D6E-409C-BE32-E72D297353CC}">
              <c16:uniqueId val="{00000001-4231-4764-8DE0-864D6E32549A}"/>
            </c:ext>
          </c:extLst>
        </c:ser>
        <c:ser>
          <c:idx val="10"/>
          <c:order val="2"/>
          <c:tx>
            <c:strRef>
              <c:f>Carbon!$W$3</c:f>
              <c:strCache>
                <c:ptCount val="1"/>
                <c:pt idx="0">
                  <c:v>Lighting</c:v>
                </c:pt>
              </c:strCache>
            </c:strRef>
          </c:tx>
          <c:spPr>
            <a:solidFill>
              <a:srgbClr val="FFD334"/>
            </a:solidFill>
          </c:spPr>
          <c:invertIfNegative val="0"/>
          <c:cat>
            <c:strRef>
              <c:f>Carbon!$S$6:$S$12</c:f>
              <c:strCache>
                <c:ptCount val="7"/>
                <c:pt idx="0">
                  <c:v> Proposed Design </c:v>
                </c:pt>
                <c:pt idx="1">
                  <c:v>   </c:v>
                </c:pt>
                <c:pt idx="2">
                  <c:v>   </c:v>
                </c:pt>
                <c:pt idx="3">
                  <c:v>   </c:v>
                </c:pt>
                <c:pt idx="4">
                  <c:v>   </c:v>
                </c:pt>
                <c:pt idx="5">
                  <c:v>   </c:v>
                </c:pt>
                <c:pt idx="6">
                  <c:v>   </c:v>
                </c:pt>
              </c:strCache>
            </c:strRef>
          </c:cat>
          <c:val>
            <c:numRef>
              <c:f>Carbon!Carbon_03</c:f>
              <c:numCache>
                <c:formatCode>_(* #,##0_);_(* \(#,##0\);_(* "-"??_);_(@_)</c:formatCode>
                <c:ptCount val="1"/>
                <c:pt idx="0">
                  <c:v>18159.458887384459</c:v>
                </c:pt>
              </c:numCache>
            </c:numRef>
          </c:val>
          <c:extLst>
            <c:ext xmlns:c16="http://schemas.microsoft.com/office/drawing/2014/chart" uri="{C3380CC4-5D6E-409C-BE32-E72D297353CC}">
              <c16:uniqueId val="{00000002-4231-4764-8DE0-864D6E32549A}"/>
            </c:ext>
          </c:extLst>
        </c:ser>
        <c:ser>
          <c:idx val="3"/>
          <c:order val="4"/>
          <c:tx>
            <c:strRef>
              <c:f>Carbon!$Y$3</c:f>
              <c:strCache>
                <c:ptCount val="1"/>
                <c:pt idx="0">
                  <c:v>Equipment</c:v>
                </c:pt>
              </c:strCache>
            </c:strRef>
          </c:tx>
          <c:spPr>
            <a:solidFill>
              <a:srgbClr val="E4E1DC"/>
            </a:solidFill>
          </c:spPr>
          <c:invertIfNegative val="0"/>
          <c:cat>
            <c:strRef>
              <c:f>Carbon!$S$6:$S$12</c:f>
              <c:strCache>
                <c:ptCount val="7"/>
                <c:pt idx="0">
                  <c:v> Proposed Design </c:v>
                </c:pt>
                <c:pt idx="1">
                  <c:v>   </c:v>
                </c:pt>
                <c:pt idx="2">
                  <c:v>   </c:v>
                </c:pt>
                <c:pt idx="3">
                  <c:v>   </c:v>
                </c:pt>
                <c:pt idx="4">
                  <c:v>   </c:v>
                </c:pt>
                <c:pt idx="5">
                  <c:v>   </c:v>
                </c:pt>
                <c:pt idx="6">
                  <c:v>   </c:v>
                </c:pt>
              </c:strCache>
            </c:strRef>
          </c:cat>
          <c:val>
            <c:numRef>
              <c:f>Carbon!Carbon_05</c:f>
              <c:numCache>
                <c:formatCode>_(* #,##0_);_(* \(#,##0\);_(* "-"??_);_(@_)</c:formatCode>
                <c:ptCount val="1"/>
                <c:pt idx="0">
                  <c:v>21321.841129613676</c:v>
                </c:pt>
              </c:numCache>
            </c:numRef>
          </c:val>
          <c:extLst>
            <c:ext xmlns:c16="http://schemas.microsoft.com/office/drawing/2014/chart" uri="{C3380CC4-5D6E-409C-BE32-E72D297353CC}">
              <c16:uniqueId val="{00000004-4231-4764-8DE0-864D6E32549A}"/>
            </c:ext>
          </c:extLst>
        </c:ser>
        <c:ser>
          <c:idx val="4"/>
          <c:order val="6"/>
          <c:tx>
            <c:strRef>
              <c:f>Carbon!$AA$3</c:f>
              <c:strCache>
                <c:ptCount val="1"/>
                <c:pt idx="0">
                  <c:v>Fans</c:v>
                </c:pt>
              </c:strCache>
            </c:strRef>
          </c:tx>
          <c:spPr>
            <a:solidFill>
              <a:srgbClr val="322110"/>
            </a:solidFill>
          </c:spPr>
          <c:invertIfNegative val="0"/>
          <c:cat>
            <c:strRef>
              <c:f>Carbon!$S$6:$S$12</c:f>
              <c:strCache>
                <c:ptCount val="7"/>
                <c:pt idx="0">
                  <c:v> Proposed Design </c:v>
                </c:pt>
                <c:pt idx="1">
                  <c:v>   </c:v>
                </c:pt>
                <c:pt idx="2">
                  <c:v>   </c:v>
                </c:pt>
                <c:pt idx="3">
                  <c:v>   </c:v>
                </c:pt>
                <c:pt idx="4">
                  <c:v>   </c:v>
                </c:pt>
                <c:pt idx="5">
                  <c:v>   </c:v>
                </c:pt>
                <c:pt idx="6">
                  <c:v>   </c:v>
                </c:pt>
              </c:strCache>
            </c:strRef>
          </c:cat>
          <c:val>
            <c:numRef>
              <c:f>Carbon!Carbon_07</c:f>
              <c:numCache>
                <c:formatCode>_(* #,##0_);_(* \(#,##0\);_(* "-"??_);_(@_)</c:formatCode>
                <c:ptCount val="1"/>
                <c:pt idx="0">
                  <c:v>20695.969810148472</c:v>
                </c:pt>
              </c:numCache>
            </c:numRef>
          </c:val>
          <c:extLst>
            <c:ext xmlns:c16="http://schemas.microsoft.com/office/drawing/2014/chart" uri="{C3380CC4-5D6E-409C-BE32-E72D297353CC}">
              <c16:uniqueId val="{00000006-4231-4764-8DE0-864D6E32549A}"/>
            </c:ext>
          </c:extLst>
        </c:ser>
        <c:dLbls>
          <c:showLegendKey val="0"/>
          <c:showVal val="0"/>
          <c:showCatName val="0"/>
          <c:showSerName val="0"/>
          <c:showPercent val="0"/>
          <c:showBubbleSize val="0"/>
        </c:dLbls>
        <c:gapWidth val="150"/>
        <c:overlap val="100"/>
        <c:axId val="453735448"/>
        <c:axId val="453733880"/>
        <c:extLst>
          <c:ext xmlns:c15="http://schemas.microsoft.com/office/drawing/2012/chart" uri="{02D57815-91ED-43cb-92C2-25804820EDAC}">
            <c15:filteredBarSeries>
              <c15:ser>
                <c:idx val="0"/>
                <c:order val="3"/>
                <c:tx>
                  <c:strRef>
                    <c:extLst>
                      <c:ext uri="{02D57815-91ED-43cb-92C2-25804820EDAC}">
                        <c15:formulaRef>
                          <c15:sqref>Carbon!$X$3</c15:sqref>
                        </c15:formulaRef>
                      </c:ext>
                    </c:extLst>
                    <c:strCache>
                      <c:ptCount val="1"/>
                      <c:pt idx="0">
                        <c:v>Exterior Lighting</c:v>
                      </c:pt>
                    </c:strCache>
                  </c:strRef>
                </c:tx>
                <c:spPr>
                  <a:solidFill>
                    <a:srgbClr val="F9A01B"/>
                  </a:solidFill>
                </c:spPr>
                <c:invertIfNegative val="0"/>
                <c:cat>
                  <c:strRef>
                    <c:extLst>
                      <c:ext uri="{02D57815-91ED-43cb-92C2-25804820EDAC}">
                        <c15:formulaRef>
                          <c15:sqref>Carbon!$S$6:$S$12</c15:sqref>
                        </c15:formulaRef>
                      </c:ext>
                    </c:extLst>
                    <c:strCache>
                      <c:ptCount val="7"/>
                      <c:pt idx="0">
                        <c:v> Proposed Design </c:v>
                      </c:pt>
                      <c:pt idx="1">
                        <c:v>   </c:v>
                      </c:pt>
                      <c:pt idx="2">
                        <c:v>   </c:v>
                      </c:pt>
                      <c:pt idx="3">
                        <c:v>   </c:v>
                      </c:pt>
                      <c:pt idx="4">
                        <c:v>   </c:v>
                      </c:pt>
                      <c:pt idx="5">
                        <c:v>   </c:v>
                      </c:pt>
                      <c:pt idx="6">
                        <c:v>   </c:v>
                      </c:pt>
                    </c:strCache>
                  </c:strRef>
                </c:cat>
                <c:val>
                  <c:numRef>
                    <c:extLst>
                      <c:ext uri="{02D57815-91ED-43cb-92C2-25804820EDAC}">
                        <c15:formulaRef>
                          <c15:sqref>Carbon!Carbon_04</c15:sqref>
                        </c15:formulaRef>
                      </c:ext>
                    </c:extLst>
                    <c:numCache>
                      <c:formatCode>_(* #,##0_);_(* \(#,##0\);_(* "-"??_);_(@_)</c:formatCode>
                      <c:ptCount val="1"/>
                      <c:pt idx="0">
                        <c:v>0</c:v>
                      </c:pt>
                    </c:numCache>
                  </c:numRef>
                </c:val>
                <c:extLst>
                  <c:ext xmlns:c16="http://schemas.microsoft.com/office/drawing/2014/chart" uri="{C3380CC4-5D6E-409C-BE32-E72D297353CC}">
                    <c16:uniqueId val="{00000003-4231-4764-8DE0-864D6E32549A}"/>
                  </c:ext>
                </c:extLst>
              </c15:ser>
            </c15:filteredBarSeries>
            <c15:filteredBarSeries>
              <c15:ser>
                <c:idx val="9"/>
                <c:order val="5"/>
                <c:tx>
                  <c:strRef>
                    <c:extLst>
                      <c:ext xmlns:c15="http://schemas.microsoft.com/office/drawing/2012/chart" uri="{02D57815-91ED-43cb-92C2-25804820EDAC}">
                        <c15:formulaRef>
                          <c15:sqref>Carbon!$Z$3</c15:sqref>
                        </c15:formulaRef>
                      </c:ext>
                    </c:extLst>
                    <c:strCache>
                      <c:ptCount val="1"/>
                      <c:pt idx="0">
                        <c:v>Exterior Equipment</c:v>
                      </c:pt>
                    </c:strCache>
                  </c:strRef>
                </c:tx>
                <c:spPr>
                  <a:solidFill>
                    <a:srgbClr val="D4CFCB"/>
                  </a:solidFill>
                </c:spPr>
                <c:invertIfNegative val="0"/>
                <c:cat>
                  <c:strRef>
                    <c:extLst>
                      <c:ext xmlns:c15="http://schemas.microsoft.com/office/drawing/2012/chart" uri="{02D57815-91ED-43cb-92C2-25804820EDAC}">
                        <c15:formulaRef>
                          <c15:sqref>Carbon!$S$6:$S$12</c15:sqref>
                        </c15:formulaRef>
                      </c:ext>
                    </c:extLst>
                    <c:strCache>
                      <c:ptCount val="7"/>
                      <c:pt idx="0">
                        <c:v> Proposed Design </c:v>
                      </c:pt>
                      <c:pt idx="1">
                        <c:v>   </c:v>
                      </c:pt>
                      <c:pt idx="2">
                        <c:v>   </c:v>
                      </c:pt>
                      <c:pt idx="3">
                        <c:v>   </c:v>
                      </c:pt>
                      <c:pt idx="4">
                        <c:v>   </c:v>
                      </c:pt>
                      <c:pt idx="5">
                        <c:v>   </c:v>
                      </c:pt>
                      <c:pt idx="6">
                        <c:v>   </c:v>
                      </c:pt>
                    </c:strCache>
                  </c:strRef>
                </c:cat>
                <c:val>
                  <c:numRef>
                    <c:extLst>
                      <c:ext xmlns:c15="http://schemas.microsoft.com/office/drawing/2012/chart" uri="{02D57815-91ED-43cb-92C2-25804820EDAC}">
                        <c15:formulaRef>
                          <c15:sqref>Carbon!Carbon_06</c15:sqref>
                        </c15:formulaRef>
                      </c:ext>
                    </c:extLst>
                    <c:numCache>
                      <c:formatCode>_(* #,##0_);_(* \(#,##0\);_(* "-"??_);_(@_)</c:formatCode>
                      <c:ptCount val="1"/>
                      <c:pt idx="0">
                        <c:v>0</c:v>
                      </c:pt>
                    </c:numCache>
                  </c:numRef>
                </c:val>
                <c:extLst>
                  <c:ext xmlns:c16="http://schemas.microsoft.com/office/drawing/2014/chart" uri="{C3380CC4-5D6E-409C-BE32-E72D297353CC}">
                    <c16:uniqueId val="{00000005-4231-4764-8DE0-864D6E32549A}"/>
                  </c:ext>
                </c:extLst>
              </c15:ser>
            </c15:filteredBarSeries>
            <c15:filteredBarSeries>
              <c15:ser>
                <c:idx val="5"/>
                <c:order val="7"/>
                <c:tx>
                  <c:strRef>
                    <c:extLst>
                      <c:ext xmlns:c15="http://schemas.microsoft.com/office/drawing/2012/chart" uri="{02D57815-91ED-43cb-92C2-25804820EDAC}">
                        <c15:formulaRef>
                          <c15:sqref>Carbon!$AB$3</c15:sqref>
                        </c15:formulaRef>
                      </c:ext>
                    </c:extLst>
                    <c:strCache>
                      <c:ptCount val="1"/>
                      <c:pt idx="0">
                        <c:v>Pumps</c:v>
                      </c:pt>
                    </c:strCache>
                  </c:strRef>
                </c:tx>
                <c:spPr>
                  <a:solidFill>
                    <a:srgbClr val="4E4540"/>
                  </a:solidFill>
                </c:spPr>
                <c:invertIfNegative val="0"/>
                <c:cat>
                  <c:strRef>
                    <c:extLst>
                      <c:ext xmlns:c15="http://schemas.microsoft.com/office/drawing/2012/chart" uri="{02D57815-91ED-43cb-92C2-25804820EDAC}">
                        <c15:formulaRef>
                          <c15:sqref>Carbon!$S$6:$S$12</c15:sqref>
                        </c15:formulaRef>
                      </c:ext>
                    </c:extLst>
                    <c:strCache>
                      <c:ptCount val="7"/>
                      <c:pt idx="0">
                        <c:v> Proposed Design </c:v>
                      </c:pt>
                      <c:pt idx="1">
                        <c:v>   </c:v>
                      </c:pt>
                      <c:pt idx="2">
                        <c:v>   </c:v>
                      </c:pt>
                      <c:pt idx="3">
                        <c:v>   </c:v>
                      </c:pt>
                      <c:pt idx="4">
                        <c:v>   </c:v>
                      </c:pt>
                      <c:pt idx="5">
                        <c:v>   </c:v>
                      </c:pt>
                      <c:pt idx="6">
                        <c:v>   </c:v>
                      </c:pt>
                    </c:strCache>
                  </c:strRef>
                </c:cat>
                <c:val>
                  <c:numRef>
                    <c:extLst>
                      <c:ext xmlns:c15="http://schemas.microsoft.com/office/drawing/2012/chart" uri="{02D57815-91ED-43cb-92C2-25804820EDAC}">
                        <c15:formulaRef>
                          <c15:sqref>Carbon!Carbon_08</c15:sqref>
                        </c15:formulaRef>
                      </c:ext>
                    </c:extLst>
                    <c:numCache>
                      <c:formatCode>_(* #,##0_);_(* \(#,##0\);_(* "-"??_);_(@_)</c:formatCode>
                      <c:ptCount val="1"/>
                      <c:pt idx="0">
                        <c:v>0</c:v>
                      </c:pt>
                    </c:numCache>
                  </c:numRef>
                </c:val>
                <c:extLst>
                  <c:ext xmlns:c16="http://schemas.microsoft.com/office/drawing/2014/chart" uri="{C3380CC4-5D6E-409C-BE32-E72D297353CC}">
                    <c16:uniqueId val="{00000007-4231-4764-8DE0-864D6E32549A}"/>
                  </c:ext>
                </c:extLst>
              </c15:ser>
            </c15:filteredBarSeries>
            <c15:filteredBarSeries>
              <c15:ser>
                <c:idx val="8"/>
                <c:order val="8"/>
                <c:tx>
                  <c:strRef>
                    <c:extLst>
                      <c:ext xmlns:c15="http://schemas.microsoft.com/office/drawing/2012/chart" uri="{02D57815-91ED-43cb-92C2-25804820EDAC}">
                        <c15:formulaRef>
                          <c15:sqref>Carbon!$AC$3</c15:sqref>
                        </c15:formulaRef>
                      </c:ext>
                    </c:extLst>
                    <c:strCache>
                      <c:ptCount val="1"/>
                      <c:pt idx="0">
                        <c:v>Heat Rejection</c:v>
                      </c:pt>
                    </c:strCache>
                  </c:strRef>
                </c:tx>
                <c:spPr>
                  <a:solidFill>
                    <a:srgbClr val="F05D77"/>
                  </a:solidFill>
                </c:spPr>
                <c:invertIfNegative val="0"/>
                <c:cat>
                  <c:strRef>
                    <c:extLst>
                      <c:ext xmlns:c15="http://schemas.microsoft.com/office/drawing/2012/chart" uri="{02D57815-91ED-43cb-92C2-25804820EDAC}">
                        <c15:formulaRef>
                          <c15:sqref>Carbon!$S$6:$S$12</c15:sqref>
                        </c15:formulaRef>
                      </c:ext>
                    </c:extLst>
                    <c:strCache>
                      <c:ptCount val="7"/>
                      <c:pt idx="0">
                        <c:v> Proposed Design </c:v>
                      </c:pt>
                      <c:pt idx="1">
                        <c:v>   </c:v>
                      </c:pt>
                      <c:pt idx="2">
                        <c:v>   </c:v>
                      </c:pt>
                      <c:pt idx="3">
                        <c:v>   </c:v>
                      </c:pt>
                      <c:pt idx="4">
                        <c:v>   </c:v>
                      </c:pt>
                      <c:pt idx="5">
                        <c:v>   </c:v>
                      </c:pt>
                      <c:pt idx="6">
                        <c:v>   </c:v>
                      </c:pt>
                    </c:strCache>
                  </c:strRef>
                </c:cat>
                <c:val>
                  <c:numRef>
                    <c:extLst>
                      <c:ext xmlns:c15="http://schemas.microsoft.com/office/drawing/2012/chart" uri="{02D57815-91ED-43cb-92C2-25804820EDAC}">
                        <c15:formulaRef>
                          <c15:sqref>Carbon!Carbon_09</c15:sqref>
                        </c15:formulaRef>
                      </c:ext>
                    </c:extLst>
                    <c:numCache>
                      <c:formatCode>_(* #,##0_);_(* \(#,##0\);_(* "-"??_);_(@_)</c:formatCode>
                      <c:ptCount val="1"/>
                      <c:pt idx="0">
                        <c:v>0</c:v>
                      </c:pt>
                    </c:numCache>
                  </c:numRef>
                </c:val>
                <c:extLst>
                  <c:ext xmlns:c16="http://schemas.microsoft.com/office/drawing/2014/chart" uri="{C3380CC4-5D6E-409C-BE32-E72D297353CC}">
                    <c16:uniqueId val="{00000008-4231-4764-8DE0-864D6E32549A}"/>
                  </c:ext>
                </c:extLst>
              </c15:ser>
            </c15:filteredBarSeries>
            <c15:filteredBarSeries>
              <c15:ser>
                <c:idx val="7"/>
                <c:order val="9"/>
                <c:tx>
                  <c:strRef>
                    <c:extLst xmlns:c15="http://schemas.microsoft.com/office/drawing/2012/chart">
                      <c:ext xmlns:c15="http://schemas.microsoft.com/office/drawing/2012/chart" uri="{02D57815-91ED-43cb-92C2-25804820EDAC}">
                        <c15:formulaRef>
                          <c15:sqref>Carbon!$AD$3</c15:sqref>
                        </c15:formulaRef>
                      </c:ext>
                    </c:extLst>
                    <c:strCache>
                      <c:ptCount val="1"/>
                      <c:pt idx="0">
                        <c:v>Humidification</c:v>
                      </c:pt>
                    </c:strCache>
                  </c:strRef>
                </c:tx>
                <c:spPr>
                  <a:solidFill>
                    <a:srgbClr val="0058A4"/>
                  </a:solidFill>
                </c:spPr>
                <c:invertIfNegative val="0"/>
                <c:cat>
                  <c:strRef>
                    <c:extLst xmlns:c15="http://schemas.microsoft.com/office/drawing/2012/chart">
                      <c:ext xmlns:c15="http://schemas.microsoft.com/office/drawing/2012/chart" uri="{02D57815-91ED-43cb-92C2-25804820EDAC}">
                        <c15:formulaRef>
                          <c15:sqref>Carbon!$S$6:$S$12</c15:sqref>
                        </c15:formulaRef>
                      </c:ext>
                    </c:extLst>
                    <c:strCache>
                      <c:ptCount val="7"/>
                      <c:pt idx="0">
                        <c:v> Proposed Design </c:v>
                      </c:pt>
                      <c:pt idx="1">
                        <c:v>   </c:v>
                      </c:pt>
                      <c:pt idx="2">
                        <c:v>   </c:v>
                      </c:pt>
                      <c:pt idx="3">
                        <c:v>   </c:v>
                      </c:pt>
                      <c:pt idx="4">
                        <c:v>   </c:v>
                      </c:pt>
                      <c:pt idx="5">
                        <c:v>   </c:v>
                      </c:pt>
                      <c:pt idx="6">
                        <c:v>   </c:v>
                      </c:pt>
                    </c:strCache>
                  </c:strRef>
                </c:cat>
                <c:val>
                  <c:numRef>
                    <c:extLst xmlns:c15="http://schemas.microsoft.com/office/drawing/2012/chart">
                      <c:ext xmlns:c15="http://schemas.microsoft.com/office/drawing/2012/chart" uri="{02D57815-91ED-43cb-92C2-25804820EDAC}">
                        <c15:formulaRef>
                          <c15:sqref>Carbon!Carbon_10</c15:sqref>
                        </c15:formulaRef>
                      </c:ext>
                    </c:extLst>
                    <c:numCache>
                      <c:formatCode>_(* #,##0_);_(* \(#,##0\);_(* "-"??_);_(@_)</c:formatCode>
                      <c:ptCount val="1"/>
                      <c:pt idx="0">
                        <c:v>0</c:v>
                      </c:pt>
                    </c:numCache>
                  </c:numRef>
                </c:val>
                <c:extLst xmlns:c15="http://schemas.microsoft.com/office/drawing/2012/chart">
                  <c:ext xmlns:c16="http://schemas.microsoft.com/office/drawing/2014/chart" uri="{C3380CC4-5D6E-409C-BE32-E72D297353CC}">
                    <c16:uniqueId val="{00000009-4231-4764-8DE0-864D6E32549A}"/>
                  </c:ext>
                </c:extLst>
              </c15:ser>
            </c15:filteredBarSeries>
            <c15:filteredBarSeries>
              <c15:ser>
                <c:idx val="19"/>
                <c:order val="10"/>
                <c:tx>
                  <c:strRef>
                    <c:extLst xmlns:c15="http://schemas.microsoft.com/office/drawing/2012/chart">
                      <c:ext xmlns:c15="http://schemas.microsoft.com/office/drawing/2012/chart" uri="{02D57815-91ED-43cb-92C2-25804820EDAC}">
                        <c15:formulaRef>
                          <c15:sqref>Carbon!$AE$3</c15:sqref>
                        </c15:formulaRef>
                      </c:ext>
                    </c:extLst>
                    <c:strCache>
                      <c:ptCount val="1"/>
                      <c:pt idx="0">
                        <c:v>Heat Recovery</c:v>
                      </c:pt>
                    </c:strCache>
                  </c:strRef>
                </c:tx>
                <c:spPr>
                  <a:solidFill>
                    <a:srgbClr val="F8B1AA"/>
                  </a:solidFill>
                </c:spPr>
                <c:invertIfNegative val="0"/>
                <c:cat>
                  <c:strRef>
                    <c:extLst xmlns:c15="http://schemas.microsoft.com/office/drawing/2012/chart">
                      <c:ext xmlns:c15="http://schemas.microsoft.com/office/drawing/2012/chart" uri="{02D57815-91ED-43cb-92C2-25804820EDAC}">
                        <c15:formulaRef>
                          <c15:sqref>Carbon!$S$6:$S$12</c15:sqref>
                        </c15:formulaRef>
                      </c:ext>
                    </c:extLst>
                    <c:strCache>
                      <c:ptCount val="7"/>
                      <c:pt idx="0">
                        <c:v> Proposed Design </c:v>
                      </c:pt>
                      <c:pt idx="1">
                        <c:v>   </c:v>
                      </c:pt>
                      <c:pt idx="2">
                        <c:v>   </c:v>
                      </c:pt>
                      <c:pt idx="3">
                        <c:v>   </c:v>
                      </c:pt>
                      <c:pt idx="4">
                        <c:v>   </c:v>
                      </c:pt>
                      <c:pt idx="5">
                        <c:v>   </c:v>
                      </c:pt>
                      <c:pt idx="6">
                        <c:v>   </c:v>
                      </c:pt>
                    </c:strCache>
                  </c:strRef>
                </c:cat>
                <c:val>
                  <c:numRef>
                    <c:extLst xmlns:c15="http://schemas.microsoft.com/office/drawing/2012/chart">
                      <c:ext xmlns:c15="http://schemas.microsoft.com/office/drawing/2012/chart" uri="{02D57815-91ED-43cb-92C2-25804820EDAC}">
                        <c15:formulaRef>
                          <c15:sqref>Carbon!Carbon_11</c15:sqref>
                        </c15:formulaRef>
                      </c:ext>
                    </c:extLst>
                    <c:numCache>
                      <c:formatCode>_(* #,##0_);_(* \(#,##0\);_(* "-"??_);_(@_)</c:formatCode>
                      <c:ptCount val="1"/>
                      <c:pt idx="0">
                        <c:v>0</c:v>
                      </c:pt>
                    </c:numCache>
                  </c:numRef>
                </c:val>
                <c:extLst xmlns:c15="http://schemas.microsoft.com/office/drawing/2012/chart">
                  <c:ext xmlns:c16="http://schemas.microsoft.com/office/drawing/2014/chart" uri="{C3380CC4-5D6E-409C-BE32-E72D297353CC}">
                    <c16:uniqueId val="{0000000A-4231-4764-8DE0-864D6E32549A}"/>
                  </c:ext>
                </c:extLst>
              </c15:ser>
            </c15:filteredBarSeries>
            <c15:filteredBarSeries>
              <c15:ser>
                <c:idx val="14"/>
                <c:order val="11"/>
                <c:tx>
                  <c:strRef>
                    <c:extLst>
                      <c:ext xmlns:c15="http://schemas.microsoft.com/office/drawing/2012/chart" uri="{02D57815-91ED-43cb-92C2-25804820EDAC}">
                        <c15:formulaRef>
                          <c15:sqref>Carbon!$AF$3</c15:sqref>
                        </c15:formulaRef>
                      </c:ext>
                    </c:extLst>
                    <c:strCache>
                      <c:ptCount val="1"/>
                      <c:pt idx="0">
                        <c:v>Water Systems</c:v>
                      </c:pt>
                    </c:strCache>
                  </c:strRef>
                </c:tx>
                <c:spPr>
                  <a:solidFill>
                    <a:srgbClr val="A71C0D"/>
                  </a:solidFill>
                </c:spPr>
                <c:invertIfNegative val="0"/>
                <c:cat>
                  <c:strRef>
                    <c:extLst>
                      <c:ext xmlns:c15="http://schemas.microsoft.com/office/drawing/2012/chart" uri="{02D57815-91ED-43cb-92C2-25804820EDAC}">
                        <c15:formulaRef>
                          <c15:sqref>Carbon!$S$6:$S$12</c15:sqref>
                        </c15:formulaRef>
                      </c:ext>
                    </c:extLst>
                    <c:strCache>
                      <c:ptCount val="7"/>
                      <c:pt idx="0">
                        <c:v> Proposed Design </c:v>
                      </c:pt>
                      <c:pt idx="1">
                        <c:v>   </c:v>
                      </c:pt>
                      <c:pt idx="2">
                        <c:v>   </c:v>
                      </c:pt>
                      <c:pt idx="3">
                        <c:v>   </c:v>
                      </c:pt>
                      <c:pt idx="4">
                        <c:v>   </c:v>
                      </c:pt>
                      <c:pt idx="5">
                        <c:v>   </c:v>
                      </c:pt>
                      <c:pt idx="6">
                        <c:v>   </c:v>
                      </c:pt>
                    </c:strCache>
                  </c:strRef>
                </c:cat>
                <c:val>
                  <c:numRef>
                    <c:extLst>
                      <c:ext xmlns:c15="http://schemas.microsoft.com/office/drawing/2012/chart" uri="{02D57815-91ED-43cb-92C2-25804820EDAC}">
                        <c15:formulaRef>
                          <c15:sqref>Carbon!Carbon_12</c15:sqref>
                        </c15:formulaRef>
                      </c:ext>
                    </c:extLst>
                    <c:numCache>
                      <c:formatCode>_(* #,##0_);_(* \(#,##0\);_(* "-"??_);_(@_)</c:formatCode>
                      <c:ptCount val="1"/>
                      <c:pt idx="0">
                        <c:v>0</c:v>
                      </c:pt>
                    </c:numCache>
                  </c:numRef>
                </c:val>
                <c:extLst xmlns:c15="http://schemas.microsoft.com/office/drawing/2012/chart">
                  <c:ext xmlns:c16="http://schemas.microsoft.com/office/drawing/2014/chart" uri="{C3380CC4-5D6E-409C-BE32-E72D297353CC}">
                    <c16:uniqueId val="{0000000B-4231-4764-8DE0-864D6E32549A}"/>
                  </c:ext>
                </c:extLst>
              </c15:ser>
            </c15:filteredBarSeries>
            <c15:filteredBarSeries>
              <c15:ser>
                <c:idx val="15"/>
                <c:order val="12"/>
                <c:tx>
                  <c:strRef>
                    <c:extLst xmlns:c15="http://schemas.microsoft.com/office/drawing/2012/chart">
                      <c:ext xmlns:c15="http://schemas.microsoft.com/office/drawing/2012/chart" uri="{02D57815-91ED-43cb-92C2-25804820EDAC}">
                        <c15:formulaRef>
                          <c15:sqref>Carbon!$AG$3</c15:sqref>
                        </c15:formulaRef>
                      </c:ext>
                    </c:extLst>
                    <c:strCache>
                      <c:ptCount val="1"/>
                      <c:pt idx="0">
                        <c:v>Refrigeration</c:v>
                      </c:pt>
                    </c:strCache>
                  </c:strRef>
                </c:tx>
                <c:spPr>
                  <a:solidFill>
                    <a:srgbClr val="A1ABB2"/>
                  </a:solidFill>
                </c:spPr>
                <c:invertIfNegative val="0"/>
                <c:cat>
                  <c:strRef>
                    <c:extLst xmlns:c15="http://schemas.microsoft.com/office/drawing/2012/chart">
                      <c:ext xmlns:c15="http://schemas.microsoft.com/office/drawing/2012/chart" uri="{02D57815-91ED-43cb-92C2-25804820EDAC}">
                        <c15:formulaRef>
                          <c15:sqref>Carbon!$S$6:$S$12</c15:sqref>
                        </c15:formulaRef>
                      </c:ext>
                    </c:extLst>
                    <c:strCache>
                      <c:ptCount val="7"/>
                      <c:pt idx="0">
                        <c:v> Proposed Design </c:v>
                      </c:pt>
                      <c:pt idx="1">
                        <c:v>   </c:v>
                      </c:pt>
                      <c:pt idx="2">
                        <c:v>   </c:v>
                      </c:pt>
                      <c:pt idx="3">
                        <c:v>   </c:v>
                      </c:pt>
                      <c:pt idx="4">
                        <c:v>   </c:v>
                      </c:pt>
                      <c:pt idx="5">
                        <c:v>   </c:v>
                      </c:pt>
                      <c:pt idx="6">
                        <c:v>   </c:v>
                      </c:pt>
                    </c:strCache>
                  </c:strRef>
                </c:cat>
                <c:val>
                  <c:numRef>
                    <c:extLst xmlns:c15="http://schemas.microsoft.com/office/drawing/2012/chart">
                      <c:ext xmlns:c15="http://schemas.microsoft.com/office/drawing/2012/chart" uri="{02D57815-91ED-43cb-92C2-25804820EDAC}">
                        <c15:formulaRef>
                          <c15:sqref>Carbon!Carbon_13</c15:sqref>
                        </c15:formulaRef>
                      </c:ext>
                    </c:extLst>
                    <c:numCache>
                      <c:formatCode>_(* #,##0_);_(* \(#,##0\);_(* "-"??_);_(@_)</c:formatCode>
                      <c:ptCount val="1"/>
                      <c:pt idx="0">
                        <c:v>0</c:v>
                      </c:pt>
                    </c:numCache>
                  </c:numRef>
                </c:val>
                <c:extLst xmlns:c15="http://schemas.microsoft.com/office/drawing/2012/chart">
                  <c:ext xmlns:c16="http://schemas.microsoft.com/office/drawing/2014/chart" uri="{C3380CC4-5D6E-409C-BE32-E72D297353CC}">
                    <c16:uniqueId val="{0000000C-4231-4764-8DE0-864D6E32549A}"/>
                  </c:ext>
                </c:extLst>
              </c15:ser>
            </c15:filteredBarSeries>
            <c15:filteredBarSeries>
              <c15:ser>
                <c:idx val="11"/>
                <c:order val="13"/>
                <c:tx>
                  <c:strRef>
                    <c:extLst xmlns:c15="http://schemas.microsoft.com/office/drawing/2012/chart">
                      <c:ext xmlns:c15="http://schemas.microsoft.com/office/drawing/2012/chart" uri="{02D57815-91ED-43cb-92C2-25804820EDAC}">
                        <c15:formulaRef>
                          <c15:sqref>Carbon!$AH$3</c15:sqref>
                        </c15:formulaRef>
                      </c:ext>
                    </c:extLst>
                    <c:strCache>
                      <c:ptCount val="1"/>
                      <c:pt idx="0">
                        <c:v>Generators</c:v>
                      </c:pt>
                    </c:strCache>
                  </c:strRef>
                </c:tx>
                <c:spPr>
                  <a:solidFill>
                    <a:srgbClr val="A1ABB2"/>
                  </a:solidFill>
                </c:spPr>
                <c:invertIfNegative val="0"/>
                <c:cat>
                  <c:strRef>
                    <c:extLst xmlns:c15="http://schemas.microsoft.com/office/drawing/2012/chart">
                      <c:ext xmlns:c15="http://schemas.microsoft.com/office/drawing/2012/chart" uri="{02D57815-91ED-43cb-92C2-25804820EDAC}">
                        <c15:formulaRef>
                          <c15:sqref>Carbon!$S$6:$S$12</c15:sqref>
                        </c15:formulaRef>
                      </c:ext>
                    </c:extLst>
                    <c:strCache>
                      <c:ptCount val="7"/>
                      <c:pt idx="0">
                        <c:v> Proposed Design </c:v>
                      </c:pt>
                      <c:pt idx="1">
                        <c:v>   </c:v>
                      </c:pt>
                      <c:pt idx="2">
                        <c:v>   </c:v>
                      </c:pt>
                      <c:pt idx="3">
                        <c:v>   </c:v>
                      </c:pt>
                      <c:pt idx="4">
                        <c:v>   </c:v>
                      </c:pt>
                      <c:pt idx="5">
                        <c:v>   </c:v>
                      </c:pt>
                      <c:pt idx="6">
                        <c:v>   </c:v>
                      </c:pt>
                    </c:strCache>
                  </c:strRef>
                </c:cat>
                <c:val>
                  <c:numRef>
                    <c:extLst xmlns:c15="http://schemas.microsoft.com/office/drawing/2012/chart">
                      <c:ext xmlns:c15="http://schemas.microsoft.com/office/drawing/2012/chart" uri="{02D57815-91ED-43cb-92C2-25804820EDAC}">
                        <c15:formulaRef>
                          <c15:sqref>Carbon!Carbon_14</c15:sqref>
                        </c15:formulaRef>
                      </c:ext>
                    </c:extLst>
                    <c:numCache>
                      <c:formatCode>_(* #,##0_);_(* \(#,##0\);_(* "-"??_);_(@_)</c:formatCode>
                      <c:ptCount val="1"/>
                      <c:pt idx="0">
                        <c:v>0</c:v>
                      </c:pt>
                    </c:numCache>
                  </c:numRef>
                </c:val>
                <c:extLst xmlns:c15="http://schemas.microsoft.com/office/drawing/2012/chart">
                  <c:ext xmlns:c16="http://schemas.microsoft.com/office/drawing/2014/chart" uri="{C3380CC4-5D6E-409C-BE32-E72D297353CC}">
                    <c16:uniqueId val="{0000000F-4231-4764-8DE0-864D6E32549A}"/>
                  </c:ext>
                </c:extLst>
              </c15:ser>
            </c15:filteredBarSeries>
            <c15:filteredBarSeries>
              <c15:ser>
                <c:idx val="16"/>
                <c:order val="14"/>
                <c:tx>
                  <c:strRef>
                    <c:extLst xmlns:c15="http://schemas.microsoft.com/office/drawing/2012/chart">
                      <c:ext xmlns:c15="http://schemas.microsoft.com/office/drawing/2012/chart" uri="{02D57815-91ED-43cb-92C2-25804820EDAC}">
                        <c15:formulaRef>
                          <c15:sqref>Carbon!$AI$3</c15:sqref>
                        </c15:formulaRef>
                      </c:ext>
                    </c:extLst>
                    <c:strCache>
                      <c:ptCount val="1"/>
                      <c:pt idx="0">
                        <c:v> </c:v>
                      </c:pt>
                    </c:strCache>
                  </c:strRef>
                </c:tx>
                <c:invertIfNegative val="0"/>
                <c:cat>
                  <c:strRef>
                    <c:extLst xmlns:c15="http://schemas.microsoft.com/office/drawing/2012/chart">
                      <c:ext xmlns:c15="http://schemas.microsoft.com/office/drawing/2012/chart" uri="{02D57815-91ED-43cb-92C2-25804820EDAC}">
                        <c15:formulaRef>
                          <c15:sqref>Carbon!$S$6:$S$12</c15:sqref>
                        </c15:formulaRef>
                      </c:ext>
                    </c:extLst>
                    <c:strCache>
                      <c:ptCount val="7"/>
                      <c:pt idx="0">
                        <c:v> Proposed Design </c:v>
                      </c:pt>
                      <c:pt idx="1">
                        <c:v>   </c:v>
                      </c:pt>
                      <c:pt idx="2">
                        <c:v>   </c:v>
                      </c:pt>
                      <c:pt idx="3">
                        <c:v>   </c:v>
                      </c:pt>
                      <c:pt idx="4">
                        <c:v>   </c:v>
                      </c:pt>
                      <c:pt idx="5">
                        <c:v>   </c:v>
                      </c:pt>
                      <c:pt idx="6">
                        <c:v>   </c:v>
                      </c:pt>
                    </c:strCache>
                  </c:strRef>
                </c:cat>
                <c:val>
                  <c:numRef>
                    <c:extLst xmlns:c15="http://schemas.microsoft.com/office/drawing/2012/chart">
                      <c:ext xmlns:c15="http://schemas.microsoft.com/office/drawing/2012/chart" uri="{02D57815-91ED-43cb-92C2-25804820EDAC}">
                        <c15:formulaRef>
                          <c15:sqref>Carbon!Carbon_15</c15:sqref>
                        </c15:formulaRef>
                      </c:ext>
                    </c:extLst>
                    <c:numCache>
                      <c:formatCode>_(* #,##0_);_(* \(#,##0\);_(* "-"??_);_(@_)</c:formatCode>
                      <c:ptCount val="1"/>
                      <c:pt idx="0">
                        <c:v>0</c:v>
                      </c:pt>
                    </c:numCache>
                  </c:numRef>
                </c:val>
                <c:extLst xmlns:c15="http://schemas.microsoft.com/office/drawing/2012/chart">
                  <c:ext xmlns:c16="http://schemas.microsoft.com/office/drawing/2014/chart" uri="{C3380CC4-5D6E-409C-BE32-E72D297353CC}">
                    <c16:uniqueId val="{00000012-4231-4764-8DE0-864D6E32549A}"/>
                  </c:ext>
                </c:extLst>
              </c15:ser>
            </c15:filteredBarSeries>
            <c15:filteredBarSeries>
              <c15:ser>
                <c:idx val="18"/>
                <c:order val="15"/>
                <c:tx>
                  <c:strRef>
                    <c:extLst xmlns:c15="http://schemas.microsoft.com/office/drawing/2012/chart">
                      <c:ext xmlns:c15="http://schemas.microsoft.com/office/drawing/2012/chart" uri="{02D57815-91ED-43cb-92C2-25804820EDAC}">
                        <c15:formulaRef>
                          <c15:sqref>Carbon!$AJ$3</c15:sqref>
                        </c15:formulaRef>
                      </c:ext>
                    </c:extLst>
                    <c:strCache>
                      <c:ptCount val="1"/>
                      <c:pt idx="0">
                        <c:v> </c:v>
                      </c:pt>
                    </c:strCache>
                  </c:strRef>
                </c:tx>
                <c:spPr>
                  <a:solidFill>
                    <a:srgbClr val="3C393C"/>
                  </a:solidFill>
                </c:spPr>
                <c:invertIfNegative val="0"/>
                <c:cat>
                  <c:strRef>
                    <c:extLst xmlns:c15="http://schemas.microsoft.com/office/drawing/2012/chart">
                      <c:ext xmlns:c15="http://schemas.microsoft.com/office/drawing/2012/chart" uri="{02D57815-91ED-43cb-92C2-25804820EDAC}">
                        <c15:formulaRef>
                          <c15:sqref>Carbon!$S$6:$S$12</c15:sqref>
                        </c15:formulaRef>
                      </c:ext>
                    </c:extLst>
                    <c:strCache>
                      <c:ptCount val="7"/>
                      <c:pt idx="0">
                        <c:v> Proposed Design </c:v>
                      </c:pt>
                      <c:pt idx="1">
                        <c:v>   </c:v>
                      </c:pt>
                      <c:pt idx="2">
                        <c:v>   </c:v>
                      </c:pt>
                      <c:pt idx="3">
                        <c:v>   </c:v>
                      </c:pt>
                      <c:pt idx="4">
                        <c:v>   </c:v>
                      </c:pt>
                      <c:pt idx="5">
                        <c:v>   </c:v>
                      </c:pt>
                      <c:pt idx="6">
                        <c:v>   </c:v>
                      </c:pt>
                    </c:strCache>
                  </c:strRef>
                </c:cat>
                <c:val>
                  <c:numRef>
                    <c:extLst xmlns:c15="http://schemas.microsoft.com/office/drawing/2012/chart">
                      <c:ext xmlns:c15="http://schemas.microsoft.com/office/drawing/2012/chart" uri="{02D57815-91ED-43cb-92C2-25804820EDAC}">
                        <c15:formulaRef>
                          <c15:sqref>Carbon!Carbon_16</c15:sqref>
                        </c15:formulaRef>
                      </c:ext>
                    </c:extLst>
                    <c:numCache>
                      <c:formatCode>_(* #,##0_);_(* \(#,##0\);_(* "-"??_);_(@_)</c:formatCode>
                      <c:ptCount val="1"/>
                      <c:pt idx="0">
                        <c:v>0</c:v>
                      </c:pt>
                    </c:numCache>
                  </c:numRef>
                </c:val>
                <c:extLst xmlns:c15="http://schemas.microsoft.com/office/drawing/2012/chart">
                  <c:ext xmlns:c16="http://schemas.microsoft.com/office/drawing/2014/chart" uri="{C3380CC4-5D6E-409C-BE32-E72D297353CC}">
                    <c16:uniqueId val="{00000013-4231-4764-8DE0-864D6E32549A}"/>
                  </c:ext>
                </c:extLst>
              </c15:ser>
            </c15:filteredBarSeries>
            <c15:filteredBarSeries>
              <c15:ser>
                <c:idx val="17"/>
                <c:order val="16"/>
                <c:tx>
                  <c:strRef>
                    <c:extLst xmlns:c15="http://schemas.microsoft.com/office/drawing/2012/chart">
                      <c:ext xmlns:c15="http://schemas.microsoft.com/office/drawing/2012/chart" uri="{02D57815-91ED-43cb-92C2-25804820EDAC}">
                        <c15:formulaRef>
                          <c15:sqref>Carbon!$AK$3</c15:sqref>
                        </c15:formulaRef>
                      </c:ext>
                    </c:extLst>
                    <c:strCache>
                      <c:ptCount val="1"/>
                      <c:pt idx="0">
                        <c:v>Uncertainty</c:v>
                      </c:pt>
                    </c:strCache>
                  </c:strRef>
                </c:tx>
                <c:spPr>
                  <a:noFill/>
                  <a:ln w="12700">
                    <a:solidFill>
                      <a:schemeClr val="bg1">
                        <a:lumMod val="50000"/>
                      </a:schemeClr>
                    </a:solidFill>
                    <a:prstDash val="dash"/>
                  </a:ln>
                </c:spPr>
                <c:invertIfNegative val="0"/>
                <c:cat>
                  <c:strRef>
                    <c:extLst xmlns:c15="http://schemas.microsoft.com/office/drawing/2012/chart">
                      <c:ext xmlns:c15="http://schemas.microsoft.com/office/drawing/2012/chart" uri="{02D57815-91ED-43cb-92C2-25804820EDAC}">
                        <c15:formulaRef>
                          <c15:sqref>Carbon!$S$6:$S$12</c15:sqref>
                        </c15:formulaRef>
                      </c:ext>
                    </c:extLst>
                    <c:strCache>
                      <c:ptCount val="7"/>
                      <c:pt idx="0">
                        <c:v> Proposed Design </c:v>
                      </c:pt>
                      <c:pt idx="1">
                        <c:v>   </c:v>
                      </c:pt>
                      <c:pt idx="2">
                        <c:v>   </c:v>
                      </c:pt>
                      <c:pt idx="3">
                        <c:v>   </c:v>
                      </c:pt>
                      <c:pt idx="4">
                        <c:v>   </c:v>
                      </c:pt>
                      <c:pt idx="5">
                        <c:v>   </c:v>
                      </c:pt>
                      <c:pt idx="6">
                        <c:v>   </c:v>
                      </c:pt>
                    </c:strCache>
                  </c:strRef>
                </c:cat>
                <c:val>
                  <c:numRef>
                    <c:extLst xmlns:c15="http://schemas.microsoft.com/office/drawing/2012/chart">
                      <c:ext xmlns:c15="http://schemas.microsoft.com/office/drawing/2012/chart" uri="{02D57815-91ED-43cb-92C2-25804820EDAC}">
                        <c15:formulaRef>
                          <c15:sqref>Carbon!Carbon_17</c15:sqref>
                        </c15:formulaRef>
                      </c:ext>
                    </c:extLst>
                    <c:numCache>
                      <c:formatCode>_(* #,##0_);_(* \(#,##0\);_(* "-"??_);_(@_)</c:formatCode>
                      <c:ptCount val="1"/>
                      <c:pt idx="0">
                        <c:v>0</c:v>
                      </c:pt>
                    </c:numCache>
                  </c:numRef>
                </c:val>
                <c:extLst xmlns:c15="http://schemas.microsoft.com/office/drawing/2012/chart">
                  <c:ext xmlns:c16="http://schemas.microsoft.com/office/drawing/2014/chart" uri="{C3380CC4-5D6E-409C-BE32-E72D297353CC}">
                    <c16:uniqueId val="{00000014-4231-4764-8DE0-864D6E32549A}"/>
                  </c:ext>
                </c:extLst>
              </c15:ser>
            </c15:filteredBarSeries>
            <c15:filteredBarSeries>
              <c15:ser>
                <c:idx val="6"/>
                <c:order val="17"/>
                <c:tx>
                  <c:strRef>
                    <c:extLst xmlns:c15="http://schemas.microsoft.com/office/drawing/2012/chart">
                      <c:ext xmlns:c15="http://schemas.microsoft.com/office/drawing/2012/chart" uri="{02D57815-91ED-43cb-92C2-25804820EDAC}">
                        <c15:formulaRef>
                          <c15:sqref>Carbon!$AL$3</c15:sqref>
                        </c15:formulaRef>
                      </c:ext>
                    </c:extLst>
                    <c:strCache>
                      <c:ptCount val="1"/>
                      <c:pt idx="0">
                        <c:v>PV</c:v>
                      </c:pt>
                    </c:strCache>
                  </c:strRef>
                </c:tx>
                <c:invertIfNegative val="0"/>
                <c:cat>
                  <c:strRef>
                    <c:extLst xmlns:c15="http://schemas.microsoft.com/office/drawing/2012/chart">
                      <c:ext xmlns:c15="http://schemas.microsoft.com/office/drawing/2012/chart" uri="{02D57815-91ED-43cb-92C2-25804820EDAC}">
                        <c15:formulaRef>
                          <c15:sqref>Carbon!$S$6:$S$12</c15:sqref>
                        </c15:formulaRef>
                      </c:ext>
                    </c:extLst>
                    <c:strCache>
                      <c:ptCount val="7"/>
                      <c:pt idx="0">
                        <c:v> Proposed Design </c:v>
                      </c:pt>
                      <c:pt idx="1">
                        <c:v>   </c:v>
                      </c:pt>
                      <c:pt idx="2">
                        <c:v>   </c:v>
                      </c:pt>
                      <c:pt idx="3">
                        <c:v>   </c:v>
                      </c:pt>
                      <c:pt idx="4">
                        <c:v>   </c:v>
                      </c:pt>
                      <c:pt idx="5">
                        <c:v>   </c:v>
                      </c:pt>
                      <c:pt idx="6">
                        <c:v>   </c:v>
                      </c:pt>
                    </c:strCache>
                  </c:strRef>
                </c:cat>
                <c:val>
                  <c:numRef>
                    <c:extLst xmlns:c15="http://schemas.microsoft.com/office/drawing/2012/chart">
                      <c:ext xmlns:c15="http://schemas.microsoft.com/office/drawing/2012/chart" uri="{02D57815-91ED-43cb-92C2-25804820EDAC}">
                        <c15:formulaRef>
                          <c15:sqref>Carbon!Carbon_18</c15:sqref>
                        </c15:formulaRef>
                      </c:ext>
                    </c:extLst>
                    <c:numCache>
                      <c:formatCode>_(* #,##0_);_(* \(#,##0\);_(* "-"??_);_(@_)</c:formatCode>
                      <c:ptCount val="1"/>
                      <c:pt idx="0">
                        <c:v>0</c:v>
                      </c:pt>
                    </c:numCache>
                  </c:numRef>
                </c:val>
                <c:extLst xmlns:c15="http://schemas.microsoft.com/office/drawing/2012/chart">
                  <c:ext xmlns:c16="http://schemas.microsoft.com/office/drawing/2014/chart" uri="{C3380CC4-5D6E-409C-BE32-E72D297353CC}">
                    <c16:uniqueId val="{00000015-4231-4764-8DE0-864D6E32549A}"/>
                  </c:ext>
                </c:extLst>
              </c15:ser>
            </c15:filteredBarSeries>
            <c15:filteredBarSeries>
              <c15:ser>
                <c:idx val="12"/>
                <c:order val="18"/>
                <c:tx>
                  <c:strRef>
                    <c:extLst xmlns:c15="http://schemas.microsoft.com/office/drawing/2012/chart">
                      <c:ext xmlns:c15="http://schemas.microsoft.com/office/drawing/2012/chart" uri="{02D57815-91ED-43cb-92C2-25804820EDAC}">
                        <c15:formulaRef>
                          <c15:sqref>Carbon!$AM$3</c15:sqref>
                        </c15:formulaRef>
                      </c:ext>
                    </c:extLst>
                    <c:strCache>
                      <c:ptCount val="1"/>
                      <c:pt idx="0">
                        <c:v>Wind</c:v>
                      </c:pt>
                    </c:strCache>
                  </c:strRef>
                </c:tx>
                <c:invertIfNegative val="0"/>
                <c:cat>
                  <c:strRef>
                    <c:extLst xmlns:c15="http://schemas.microsoft.com/office/drawing/2012/chart">
                      <c:ext xmlns:c15="http://schemas.microsoft.com/office/drawing/2012/chart" uri="{02D57815-91ED-43cb-92C2-25804820EDAC}">
                        <c15:formulaRef>
                          <c15:sqref>Carbon!$S$6:$S$12</c15:sqref>
                        </c15:formulaRef>
                      </c:ext>
                    </c:extLst>
                    <c:strCache>
                      <c:ptCount val="7"/>
                      <c:pt idx="0">
                        <c:v> Proposed Design </c:v>
                      </c:pt>
                      <c:pt idx="1">
                        <c:v>   </c:v>
                      </c:pt>
                      <c:pt idx="2">
                        <c:v>   </c:v>
                      </c:pt>
                      <c:pt idx="3">
                        <c:v>   </c:v>
                      </c:pt>
                      <c:pt idx="4">
                        <c:v>   </c:v>
                      </c:pt>
                      <c:pt idx="5">
                        <c:v>   </c:v>
                      </c:pt>
                      <c:pt idx="6">
                        <c:v>   </c:v>
                      </c:pt>
                    </c:strCache>
                  </c:strRef>
                </c:cat>
                <c:val>
                  <c:numRef>
                    <c:extLst xmlns:c15="http://schemas.microsoft.com/office/drawing/2012/chart">
                      <c:ext xmlns:c15="http://schemas.microsoft.com/office/drawing/2012/chart" uri="{02D57815-91ED-43cb-92C2-25804820EDAC}">
                        <c15:formulaRef>
                          <c15:sqref>Carbon!Carbon_19</c15:sqref>
                        </c15:formulaRef>
                      </c:ext>
                    </c:extLst>
                    <c:numCache>
                      <c:formatCode>_(* #,##0_);_(* \(#,##0\);_(* "-"??_);_(@_)</c:formatCode>
                      <c:ptCount val="1"/>
                      <c:pt idx="0">
                        <c:v>0</c:v>
                      </c:pt>
                    </c:numCache>
                  </c:numRef>
                </c:val>
                <c:extLst xmlns:c15="http://schemas.microsoft.com/office/drawing/2012/chart">
                  <c:ext xmlns:c16="http://schemas.microsoft.com/office/drawing/2014/chart" uri="{C3380CC4-5D6E-409C-BE32-E72D297353CC}">
                    <c16:uniqueId val="{00000016-4231-4764-8DE0-864D6E32549A}"/>
                  </c:ext>
                </c:extLst>
              </c15:ser>
            </c15:filteredBarSeries>
            <c15:filteredBarSeries>
              <c15:ser>
                <c:idx val="13"/>
                <c:order val="19"/>
                <c:tx>
                  <c:strRef>
                    <c:extLst>
                      <c:ext xmlns:c15="http://schemas.microsoft.com/office/drawing/2012/chart" uri="{02D57815-91ED-43cb-92C2-25804820EDAC}">
                        <c15:formulaRef>
                          <c15:sqref>Carbon!$AN$3</c15:sqref>
                        </c15:formulaRef>
                      </c:ext>
                    </c:extLst>
                    <c:strCache>
                      <c:ptCount val="1"/>
                      <c:pt idx="0">
                        <c:v>SHW</c:v>
                      </c:pt>
                    </c:strCache>
                  </c:strRef>
                </c:tx>
                <c:invertIfNegative val="0"/>
                <c:cat>
                  <c:strRef>
                    <c:extLst>
                      <c:ext xmlns:c15="http://schemas.microsoft.com/office/drawing/2012/chart" uri="{02D57815-91ED-43cb-92C2-25804820EDAC}">
                        <c15:formulaRef>
                          <c15:sqref>Carbon!$S$6:$S$12</c15:sqref>
                        </c15:formulaRef>
                      </c:ext>
                    </c:extLst>
                    <c:strCache>
                      <c:ptCount val="7"/>
                      <c:pt idx="0">
                        <c:v> Proposed Design </c:v>
                      </c:pt>
                      <c:pt idx="1">
                        <c:v>   </c:v>
                      </c:pt>
                      <c:pt idx="2">
                        <c:v>   </c:v>
                      </c:pt>
                      <c:pt idx="3">
                        <c:v>   </c:v>
                      </c:pt>
                      <c:pt idx="4">
                        <c:v>   </c:v>
                      </c:pt>
                      <c:pt idx="5">
                        <c:v>   </c:v>
                      </c:pt>
                      <c:pt idx="6">
                        <c:v>   </c:v>
                      </c:pt>
                    </c:strCache>
                  </c:strRef>
                </c:cat>
                <c:val>
                  <c:numRef>
                    <c:extLst>
                      <c:ext xmlns:c15="http://schemas.microsoft.com/office/drawing/2012/chart" uri="{02D57815-91ED-43cb-92C2-25804820EDAC}">
                        <c15:formulaRef>
                          <c15:sqref>Carbon!Carbon_20</c15:sqref>
                        </c15:formulaRef>
                      </c:ext>
                    </c:extLst>
                    <c:numCache>
                      <c:formatCode>_(* #,##0_);_(* \(#,##0\);_(* "-"??_);_(@_)</c:formatCode>
                      <c:ptCount val="1"/>
                      <c:pt idx="0">
                        <c:v>0</c:v>
                      </c:pt>
                    </c:numCache>
                  </c:numRef>
                </c:val>
                <c:extLst xmlns:c15="http://schemas.microsoft.com/office/drawing/2012/chart">
                  <c:ext xmlns:c16="http://schemas.microsoft.com/office/drawing/2014/chart" uri="{C3380CC4-5D6E-409C-BE32-E72D297353CC}">
                    <c16:uniqueId val="{00000017-4231-4764-8DE0-864D6E32549A}"/>
                  </c:ext>
                </c:extLst>
              </c15:ser>
            </c15:filteredBarSeries>
          </c:ext>
        </c:extLst>
      </c:barChart>
      <c:scatterChart>
        <c:scatterStyle val="lineMarker"/>
        <c:varyColors val="0"/>
        <c:dLbls>
          <c:showLegendKey val="0"/>
          <c:showVal val="0"/>
          <c:showCatName val="0"/>
          <c:showSerName val="0"/>
          <c:showPercent val="0"/>
          <c:showBubbleSize val="0"/>
        </c:dLbls>
        <c:axId val="408371823"/>
        <c:axId val="408372319"/>
        <c:extLst>
          <c:ext xmlns:c15="http://schemas.microsoft.com/office/drawing/2012/chart" uri="{02D57815-91ED-43cb-92C2-25804820EDAC}">
            <c15:filteredScatterSeries>
              <c15:ser>
                <c:idx val="20"/>
                <c:order val="20"/>
                <c:tx>
                  <c:strRef>
                    <c:extLst>
                      <c:ext uri="{02D57815-91ED-43cb-92C2-25804820EDAC}">
                        <c15:formulaRef>
                          <c15:sqref>Carbon!$AS$6</c15:sqref>
                        </c15:formulaRef>
                      </c:ext>
                    </c:extLst>
                    <c:strCache>
                      <c:ptCount val="1"/>
                      <c:pt idx="0">
                        <c:v>#VALUE!</c:v>
                      </c:pt>
                    </c:strCache>
                  </c:strRef>
                </c:tx>
                <c:spPr>
                  <a:ln>
                    <a:solidFill>
                      <a:srgbClr val="C00000"/>
                    </a:solidFill>
                    <a:prstDash val="sysDash"/>
                  </a:ln>
                </c:spPr>
                <c:marker>
                  <c:symbol val="none"/>
                </c:marker>
                <c:dLbls>
                  <c:dLbl>
                    <c:idx val="0"/>
                    <c:delete val="1"/>
                    <c:extLst>
                      <c:ext uri="{CE6537A1-D6FC-4f65-9D91-7224C49458BB}"/>
                      <c:ext xmlns:c16="http://schemas.microsoft.com/office/drawing/2014/chart" uri="{C3380CC4-5D6E-409C-BE32-E72D297353CC}">
                        <c16:uniqueId val="{00000018-4231-4764-8DE0-864D6E32549A}"/>
                      </c:ext>
                    </c:extLst>
                  </c:dLbl>
                  <c:dLbl>
                    <c:idx val="1"/>
                    <c:spPr>
                      <a:noFill/>
                      <a:ln>
                        <a:noFill/>
                      </a:ln>
                      <a:effectLst/>
                    </c:spPr>
                    <c:txPr>
                      <a:bodyPr wrap="square" lIns="38100" tIns="19050" rIns="38100" bIns="19050" anchor="ctr">
                        <a:spAutoFit/>
                      </a:bodyPr>
                      <a:lstStyle/>
                      <a:p>
                        <a:pPr>
                          <a:defRPr sz="800">
                            <a:latin typeface="Franklin Gothic Book" panose="020B0503020102020204" pitchFamily="34" charset="0"/>
                          </a:defRPr>
                        </a:pPr>
                        <a:endParaRPr lang="en-US"/>
                      </a:p>
                    </c:txPr>
                    <c:dLblPos val="t"/>
                    <c:showLegendKey val="0"/>
                    <c:showVal val="0"/>
                    <c:showCatName val="0"/>
                    <c:showSerName val="1"/>
                    <c:showPercent val="0"/>
                    <c:showBubbleSize val="0"/>
                    <c:extLst>
                      <c:ext uri="{CE6537A1-D6FC-4f65-9D91-7224C49458BB}"/>
                      <c:ext xmlns:c16="http://schemas.microsoft.com/office/drawing/2014/chart" uri="{C3380CC4-5D6E-409C-BE32-E72D297353CC}">
                        <c16:uniqueId val="{00000019-4231-4764-8DE0-864D6E32549A}"/>
                      </c:ext>
                    </c:extLst>
                  </c:dLbl>
                  <c:spPr>
                    <a:noFill/>
                    <a:ln>
                      <a:noFill/>
                    </a:ln>
                    <a:effectLst/>
                  </c:spPr>
                  <c:showLegendKey val="0"/>
                  <c:showVal val="1"/>
                  <c:showCatName val="0"/>
                  <c:showSerName val="0"/>
                  <c:showPercent val="0"/>
                  <c:showBubbleSize val="0"/>
                  <c:showLeaderLines val="0"/>
                  <c:extLst>
                    <c:ext uri="{CE6537A1-D6FC-4f65-9D91-7224C49458BB}">
                      <c15:showLeaderLines val="1"/>
                    </c:ext>
                  </c:extLst>
                </c:dLbls>
                <c:yVal>
                  <c:numRef>
                    <c:extLst>
                      <c:ext uri="{02D57815-91ED-43cb-92C2-25804820EDAC}">
                        <c15:formulaRef>
                          <c15:sqref>Carbon!$AT$6:$AU$6</c15:sqref>
                        </c15:formulaRef>
                      </c:ext>
                    </c:extLst>
                    <c:numCache>
                      <c:formatCode>_(* #,##0_);_(* \(#,##0\);_(* "-"??_);_(@_)</c:formatCode>
                      <c:ptCount val="2"/>
                      <c:pt idx="0">
                        <c:v>0</c:v>
                      </c:pt>
                      <c:pt idx="1">
                        <c:v>0</c:v>
                      </c:pt>
                    </c:numCache>
                  </c:numRef>
                </c:yVal>
                <c:smooth val="0"/>
                <c:extLst>
                  <c:ext xmlns:c16="http://schemas.microsoft.com/office/drawing/2014/chart" uri="{C3380CC4-5D6E-409C-BE32-E72D297353CC}">
                    <c16:uniqueId val="{0000001A-4231-4764-8DE0-864D6E32549A}"/>
                  </c:ext>
                </c:extLst>
              </c15:ser>
            </c15:filteredScatterSeries>
            <c15:filteredScatterSeries>
              <c15:ser>
                <c:idx val="21"/>
                <c:order val="21"/>
                <c:tx>
                  <c:strRef>
                    <c:extLst xmlns:c15="http://schemas.microsoft.com/office/drawing/2012/chart">
                      <c:ext xmlns:c15="http://schemas.microsoft.com/office/drawing/2012/chart" uri="{02D57815-91ED-43cb-92C2-25804820EDAC}">
                        <c15:formulaRef>
                          <c15:sqref>Carbon!$AS$7</c15:sqref>
                        </c15:formulaRef>
                      </c:ext>
                    </c:extLst>
                    <c:strCache>
                      <c:ptCount val="1"/>
                      <c:pt idx="0">
                        <c:v>#VALUE!</c:v>
                      </c:pt>
                    </c:strCache>
                  </c:strRef>
                </c:tx>
                <c:spPr>
                  <a:ln>
                    <a:solidFill>
                      <a:schemeClr val="tx2"/>
                    </a:solidFill>
                    <a:prstDash val="sysDash"/>
                  </a:ln>
                </c:spPr>
                <c:marker>
                  <c:symbol val="none"/>
                </c:marker>
                <c:dLbls>
                  <c:dLbl>
                    <c:idx val="0"/>
                    <c:delete val="1"/>
                    <c:extLst xmlns:c15="http://schemas.microsoft.com/office/drawing/2012/chart">
                      <c:ext xmlns:c15="http://schemas.microsoft.com/office/drawing/2012/chart" uri="{CE6537A1-D6FC-4f65-9D91-7224C49458BB}"/>
                      <c:ext xmlns:c16="http://schemas.microsoft.com/office/drawing/2014/chart" uri="{C3380CC4-5D6E-409C-BE32-E72D297353CC}">
                        <c16:uniqueId val="{0000001B-4231-4764-8DE0-864D6E32549A}"/>
                      </c:ext>
                    </c:extLst>
                  </c:dLbl>
                  <c:dLbl>
                    <c:idx val="1"/>
                    <c:spPr>
                      <a:noFill/>
                      <a:ln>
                        <a:noFill/>
                      </a:ln>
                      <a:effectLst/>
                    </c:spPr>
                    <c:txPr>
                      <a:bodyPr wrap="square" lIns="38100" tIns="19050" rIns="38100" bIns="19050" anchor="ctr">
                        <a:spAutoFit/>
                      </a:bodyPr>
                      <a:lstStyle/>
                      <a:p>
                        <a:pPr>
                          <a:defRPr sz="800">
                            <a:latin typeface="Franklin Gothic Book" panose="020B0503020102020204" pitchFamily="34" charset="0"/>
                          </a:defRPr>
                        </a:pPr>
                        <a:endParaRPr lang="en-US"/>
                      </a:p>
                    </c:txPr>
                    <c:dLblPos val="t"/>
                    <c:showLegendKey val="0"/>
                    <c:showVal val="0"/>
                    <c:showCatName val="0"/>
                    <c:showSerName val="1"/>
                    <c:showPercent val="0"/>
                    <c:showBubbleSize val="0"/>
                    <c:extLst xmlns:c15="http://schemas.microsoft.com/office/drawing/2012/chart">
                      <c:ext xmlns:c16="http://schemas.microsoft.com/office/drawing/2014/chart" uri="{C3380CC4-5D6E-409C-BE32-E72D297353CC}">
                        <c16:uniqueId val="{0000001C-4231-4764-8DE0-864D6E32549A}"/>
                      </c:ext>
                    </c:extLst>
                  </c:dLbl>
                  <c:spPr>
                    <a:noFill/>
                    <a:ln>
                      <a:noFill/>
                    </a:ln>
                    <a:effectLst/>
                  </c:spPr>
                  <c:dLblPos val="t"/>
                  <c:showLegendKey val="0"/>
                  <c:showVal val="0"/>
                  <c:showCatName val="0"/>
                  <c:showSerName val="1"/>
                  <c:showPercent val="0"/>
                  <c:showBubbleSize val="0"/>
                  <c:showLeaderLines val="0"/>
                  <c:extLst xmlns:c15="http://schemas.microsoft.com/office/drawing/2012/chart">
                    <c:ext xmlns:c15="http://schemas.microsoft.com/office/drawing/2012/chart" uri="{CE6537A1-D6FC-4f65-9D91-7224C49458BB}">
                      <c15:showLeaderLines val="0"/>
                    </c:ext>
                  </c:extLst>
                </c:dLbls>
                <c:yVal>
                  <c:numRef>
                    <c:extLst xmlns:c15="http://schemas.microsoft.com/office/drawing/2012/chart">
                      <c:ext xmlns:c15="http://schemas.microsoft.com/office/drawing/2012/chart" uri="{02D57815-91ED-43cb-92C2-25804820EDAC}">
                        <c15:formulaRef>
                          <c15:sqref>Carbon!$AT$7:$AU$7</c15:sqref>
                        </c15:formulaRef>
                      </c:ext>
                    </c:extLst>
                    <c:numCache>
                      <c:formatCode>_(* #,##0_);_(* \(#,##0\);_(* "-"??_);_(@_)</c:formatCode>
                      <c:ptCount val="2"/>
                      <c:pt idx="0">
                        <c:v>0</c:v>
                      </c:pt>
                      <c:pt idx="1">
                        <c:v>0</c:v>
                      </c:pt>
                    </c:numCache>
                  </c:numRef>
                </c:yVal>
                <c:smooth val="0"/>
                <c:extLst xmlns:c15="http://schemas.microsoft.com/office/drawing/2012/chart">
                  <c:ext xmlns:c16="http://schemas.microsoft.com/office/drawing/2014/chart" uri="{C3380CC4-5D6E-409C-BE32-E72D297353CC}">
                    <c16:uniqueId val="{0000001D-4231-4764-8DE0-864D6E32549A}"/>
                  </c:ext>
                </c:extLst>
              </c15:ser>
            </c15:filteredScatterSeries>
          </c:ext>
        </c:extLst>
      </c:scatterChart>
      <c:catAx>
        <c:axId val="453735448"/>
        <c:scaling>
          <c:orientation val="minMax"/>
        </c:scaling>
        <c:delete val="0"/>
        <c:axPos val="b"/>
        <c:numFmt formatCode="General" sourceLinked="0"/>
        <c:majorTickMark val="out"/>
        <c:minorTickMark val="none"/>
        <c:tickLblPos val="nextTo"/>
        <c:txPr>
          <a:bodyPr/>
          <a:lstStyle/>
          <a:p>
            <a:pPr>
              <a:defRPr sz="800">
                <a:solidFill>
                  <a:schemeClr val="bg1">
                    <a:lumMod val="50000"/>
                  </a:schemeClr>
                </a:solidFill>
                <a:latin typeface="Franklin Gothic Book" panose="020B0503020102020204" pitchFamily="34" charset="0"/>
                <a:cs typeface="Arial" panose="020B0604020202020204" pitchFamily="34" charset="0"/>
              </a:defRPr>
            </a:pPr>
            <a:endParaRPr lang="en-US"/>
          </a:p>
        </c:txPr>
        <c:crossAx val="453733880"/>
        <c:crosses val="autoZero"/>
        <c:auto val="1"/>
        <c:lblAlgn val="ctr"/>
        <c:lblOffset val="100"/>
        <c:tickMarkSkip val="1"/>
        <c:noMultiLvlLbl val="0"/>
      </c:catAx>
      <c:valAx>
        <c:axId val="453733880"/>
        <c:scaling>
          <c:orientation val="minMax"/>
        </c:scaling>
        <c:delete val="0"/>
        <c:axPos val="l"/>
        <c:majorGridlines>
          <c:spPr>
            <a:ln>
              <a:solidFill>
                <a:schemeClr val="bg1">
                  <a:lumMod val="85000"/>
                </a:schemeClr>
              </a:solidFill>
            </a:ln>
          </c:spPr>
        </c:majorGridlines>
        <c:title>
          <c:tx>
            <c:strRef>
              <c:f>Carbon!$S$5</c:f>
              <c:strCache>
                <c:ptCount val="1"/>
                <c:pt idx="0">
                  <c:v>Carbon Emissions (kg CO2e)</c:v>
                </c:pt>
              </c:strCache>
            </c:strRef>
          </c:tx>
          <c:overlay val="0"/>
          <c:txPr>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sz="1000" b="1" i="0" u="none" strike="noStrike" kern="1200" baseline="0">
                  <a:solidFill>
                    <a:schemeClr val="bg1">
                      <a:lumMod val="50000"/>
                    </a:schemeClr>
                  </a:solidFill>
                  <a:latin typeface="Franklin Gothic Book" panose="020B0503020102020204" pitchFamily="34" charset="0"/>
                  <a:ea typeface="+mn-ea"/>
                  <a:cs typeface="+mn-cs"/>
                </a:defRPr>
              </a:pPr>
              <a:endParaRPr lang="en-US"/>
            </a:p>
          </c:txPr>
        </c:title>
        <c:numFmt formatCode="#,##0" sourceLinked="0"/>
        <c:majorTickMark val="out"/>
        <c:minorTickMark val="none"/>
        <c:tickLblPos val="nextTo"/>
        <c:spPr>
          <a:ln>
            <a:tailEnd type="triangle"/>
          </a:ln>
        </c:spPr>
        <c:txPr>
          <a:bodyPr/>
          <a:lstStyle/>
          <a:p>
            <a:pPr>
              <a:defRPr sz="800">
                <a:solidFill>
                  <a:schemeClr val="bg1">
                    <a:lumMod val="50000"/>
                  </a:schemeClr>
                </a:solidFill>
                <a:latin typeface="Franklin Gothic Book" panose="020B0503020102020204" pitchFamily="34" charset="0"/>
                <a:cs typeface="Arial" panose="020B0604020202020204" pitchFamily="34" charset="0"/>
              </a:defRPr>
            </a:pPr>
            <a:endParaRPr lang="en-US"/>
          </a:p>
        </c:txPr>
        <c:crossAx val="453735448"/>
        <c:crosses val="autoZero"/>
        <c:crossBetween val="between"/>
      </c:valAx>
      <c:valAx>
        <c:axId val="408372319"/>
        <c:scaling>
          <c:orientation val="minMax"/>
        </c:scaling>
        <c:delete val="1"/>
        <c:axPos val="r"/>
        <c:numFmt formatCode="_(* #,##0_);_(* \(#,##0\);_(* &quot;-&quot;??_);_(@_)" sourceLinked="1"/>
        <c:majorTickMark val="out"/>
        <c:minorTickMark val="none"/>
        <c:tickLblPos val="nextTo"/>
        <c:crossAx val="408371823"/>
        <c:crosses val="max"/>
        <c:crossBetween val="midCat"/>
      </c:valAx>
      <c:valAx>
        <c:axId val="408371823"/>
        <c:scaling>
          <c:orientation val="minMax"/>
          <c:max val="2"/>
          <c:min val="1"/>
        </c:scaling>
        <c:delete val="1"/>
        <c:axPos val="t"/>
        <c:majorTickMark val="out"/>
        <c:minorTickMark val="none"/>
        <c:tickLblPos val="nextTo"/>
        <c:crossAx val="408372319"/>
        <c:crosses val="max"/>
        <c:crossBetween val="midCat"/>
      </c:valAx>
    </c:plotArea>
    <c:legend>
      <c:legendPos val="t"/>
      <c:overlay val="0"/>
      <c:txPr>
        <a:bodyPr/>
        <a:lstStyle/>
        <a:p>
          <a:pPr>
            <a:defRPr sz="800">
              <a:latin typeface="Franklin Gothic Book" panose="020B0503020102020204" pitchFamily="34" charset="0"/>
              <a:cs typeface="Arial" panose="020B0604020202020204" pitchFamily="34" charset="0"/>
            </a:defRPr>
          </a:pPr>
          <a:endParaRPr lang="en-US"/>
        </a:p>
      </c:txPr>
    </c:legend>
    <c:plotVisOnly val="1"/>
    <c:dispBlanksAs val="gap"/>
    <c:showDLblsOverMax val="0"/>
  </c:chart>
  <c:spPr>
    <a:ln>
      <a:noFill/>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stacked"/>
        <c:varyColors val="0"/>
        <c:ser>
          <c:idx val="1"/>
          <c:order val="0"/>
          <c:tx>
            <c:strRef>
              <c:f>Carbon!$U$3</c:f>
              <c:strCache>
                <c:ptCount val="1"/>
                <c:pt idx="0">
                  <c:v>Heating</c:v>
                </c:pt>
              </c:strCache>
            </c:strRef>
          </c:tx>
          <c:spPr>
            <a:solidFill>
              <a:srgbClr val="EE3524"/>
            </a:solidFill>
          </c:spPr>
          <c:invertIfNegative val="0"/>
          <c:cat>
            <c:strRef>
              <c:f>Carbon!$S$6:$S$12</c:f>
              <c:strCache>
                <c:ptCount val="7"/>
                <c:pt idx="0">
                  <c:v> Proposed Design </c:v>
                </c:pt>
                <c:pt idx="1">
                  <c:v>   </c:v>
                </c:pt>
                <c:pt idx="2">
                  <c:v>   </c:v>
                </c:pt>
                <c:pt idx="3">
                  <c:v>   </c:v>
                </c:pt>
                <c:pt idx="4">
                  <c:v>   </c:v>
                </c:pt>
                <c:pt idx="5">
                  <c:v>   </c:v>
                </c:pt>
                <c:pt idx="6">
                  <c:v>   </c:v>
                </c:pt>
              </c:strCache>
            </c:strRef>
          </c:cat>
          <c:val>
            <c:numRef>
              <c:f>Carbon!CEI_01</c:f>
              <c:numCache>
                <c:formatCode>_(* #,##0.0_);_(* \(#,##0.0\);_(* "-"??_);_(@_)</c:formatCode>
                <c:ptCount val="1"/>
                <c:pt idx="0">
                  <c:v>0.3324903128372621</c:v>
                </c:pt>
              </c:numCache>
            </c:numRef>
          </c:val>
          <c:extLst>
            <c:ext xmlns:c16="http://schemas.microsoft.com/office/drawing/2014/chart" uri="{C3380CC4-5D6E-409C-BE32-E72D297353CC}">
              <c16:uniqueId val="{00000000-6062-4AED-994F-7BE0B7EFF078}"/>
            </c:ext>
          </c:extLst>
        </c:ser>
        <c:ser>
          <c:idx val="2"/>
          <c:order val="1"/>
          <c:tx>
            <c:strRef>
              <c:f>Carbon!$V$3</c:f>
              <c:strCache>
                <c:ptCount val="1"/>
                <c:pt idx="0">
                  <c:v>Cooling</c:v>
                </c:pt>
              </c:strCache>
            </c:strRef>
          </c:tx>
          <c:spPr>
            <a:solidFill>
              <a:srgbClr val="00B4ED"/>
            </a:solidFill>
          </c:spPr>
          <c:invertIfNegative val="0"/>
          <c:cat>
            <c:strRef>
              <c:f>Carbon!$S$6:$S$12</c:f>
              <c:strCache>
                <c:ptCount val="7"/>
                <c:pt idx="0">
                  <c:v> Proposed Design </c:v>
                </c:pt>
                <c:pt idx="1">
                  <c:v>   </c:v>
                </c:pt>
                <c:pt idx="2">
                  <c:v>   </c:v>
                </c:pt>
                <c:pt idx="3">
                  <c:v>   </c:v>
                </c:pt>
                <c:pt idx="4">
                  <c:v>   </c:v>
                </c:pt>
                <c:pt idx="5">
                  <c:v>   </c:v>
                </c:pt>
                <c:pt idx="6">
                  <c:v>   </c:v>
                </c:pt>
              </c:strCache>
            </c:strRef>
          </c:cat>
          <c:val>
            <c:numRef>
              <c:f>Carbon!CEI_02</c:f>
              <c:numCache>
                <c:formatCode>_(* #,##0.0_);_(* \(#,##0.0\);_(* "-"??_);_(@_)</c:formatCode>
                <c:ptCount val="1"/>
                <c:pt idx="0">
                  <c:v>1.2391892653550738</c:v>
                </c:pt>
              </c:numCache>
            </c:numRef>
          </c:val>
          <c:extLst>
            <c:ext xmlns:c16="http://schemas.microsoft.com/office/drawing/2014/chart" uri="{C3380CC4-5D6E-409C-BE32-E72D297353CC}">
              <c16:uniqueId val="{00000001-6062-4AED-994F-7BE0B7EFF078}"/>
            </c:ext>
          </c:extLst>
        </c:ser>
        <c:ser>
          <c:idx val="10"/>
          <c:order val="2"/>
          <c:tx>
            <c:strRef>
              <c:f>Carbon!$W$3</c:f>
              <c:strCache>
                <c:ptCount val="1"/>
                <c:pt idx="0">
                  <c:v>Lighting</c:v>
                </c:pt>
              </c:strCache>
            </c:strRef>
          </c:tx>
          <c:spPr>
            <a:solidFill>
              <a:srgbClr val="FFD334"/>
            </a:solidFill>
          </c:spPr>
          <c:invertIfNegative val="0"/>
          <c:cat>
            <c:strRef>
              <c:f>Carbon!$S$6:$S$12</c:f>
              <c:strCache>
                <c:ptCount val="7"/>
                <c:pt idx="0">
                  <c:v> Proposed Design </c:v>
                </c:pt>
                <c:pt idx="1">
                  <c:v>   </c:v>
                </c:pt>
                <c:pt idx="2">
                  <c:v>   </c:v>
                </c:pt>
                <c:pt idx="3">
                  <c:v>   </c:v>
                </c:pt>
                <c:pt idx="4">
                  <c:v>   </c:v>
                </c:pt>
                <c:pt idx="5">
                  <c:v>   </c:v>
                </c:pt>
                <c:pt idx="6">
                  <c:v>   </c:v>
                </c:pt>
              </c:strCache>
            </c:strRef>
          </c:cat>
          <c:val>
            <c:numRef>
              <c:f>Carbon!CEI_03</c:f>
              <c:numCache>
                <c:formatCode>_(* #,##0.0_);_(* \(#,##0.0\);_(* "-"??_);_(@_)</c:formatCode>
                <c:ptCount val="1"/>
                <c:pt idx="0">
                  <c:v>1.3301683919853837</c:v>
                </c:pt>
              </c:numCache>
            </c:numRef>
          </c:val>
          <c:extLst>
            <c:ext xmlns:c16="http://schemas.microsoft.com/office/drawing/2014/chart" uri="{C3380CC4-5D6E-409C-BE32-E72D297353CC}">
              <c16:uniqueId val="{00000002-6062-4AED-994F-7BE0B7EFF078}"/>
            </c:ext>
          </c:extLst>
        </c:ser>
        <c:ser>
          <c:idx val="3"/>
          <c:order val="4"/>
          <c:tx>
            <c:strRef>
              <c:f>Carbon!$Y$3</c:f>
              <c:strCache>
                <c:ptCount val="1"/>
                <c:pt idx="0">
                  <c:v>Equipment</c:v>
                </c:pt>
              </c:strCache>
            </c:strRef>
          </c:tx>
          <c:spPr>
            <a:solidFill>
              <a:srgbClr val="E4E1DC"/>
            </a:solidFill>
          </c:spPr>
          <c:invertIfNegative val="0"/>
          <c:cat>
            <c:strRef>
              <c:f>Carbon!$S$6:$S$12</c:f>
              <c:strCache>
                <c:ptCount val="7"/>
                <c:pt idx="0">
                  <c:v> Proposed Design </c:v>
                </c:pt>
                <c:pt idx="1">
                  <c:v>   </c:v>
                </c:pt>
                <c:pt idx="2">
                  <c:v>   </c:v>
                </c:pt>
                <c:pt idx="3">
                  <c:v>   </c:v>
                </c:pt>
                <c:pt idx="4">
                  <c:v>   </c:v>
                </c:pt>
                <c:pt idx="5">
                  <c:v>   </c:v>
                </c:pt>
                <c:pt idx="6">
                  <c:v>   </c:v>
                </c:pt>
              </c:strCache>
            </c:strRef>
          </c:cat>
          <c:val>
            <c:numRef>
              <c:f>Carbon!CEI_05</c:f>
              <c:numCache>
                <c:formatCode>_(* #,##0.0_);_(* \(#,##0.0\);_(* "-"??_);_(@_)</c:formatCode>
                <c:ptCount val="1"/>
                <c:pt idx="0">
                  <c:v>1.5618108064469438</c:v>
                </c:pt>
              </c:numCache>
            </c:numRef>
          </c:val>
          <c:extLst>
            <c:ext xmlns:c16="http://schemas.microsoft.com/office/drawing/2014/chart" uri="{C3380CC4-5D6E-409C-BE32-E72D297353CC}">
              <c16:uniqueId val="{00000004-6062-4AED-994F-7BE0B7EFF078}"/>
            </c:ext>
          </c:extLst>
        </c:ser>
        <c:ser>
          <c:idx val="4"/>
          <c:order val="6"/>
          <c:tx>
            <c:strRef>
              <c:f>Carbon!$AA$3</c:f>
              <c:strCache>
                <c:ptCount val="1"/>
                <c:pt idx="0">
                  <c:v>Fans</c:v>
                </c:pt>
              </c:strCache>
            </c:strRef>
          </c:tx>
          <c:spPr>
            <a:solidFill>
              <a:srgbClr val="322110"/>
            </a:solidFill>
          </c:spPr>
          <c:invertIfNegative val="0"/>
          <c:cat>
            <c:strRef>
              <c:f>Carbon!$S$6:$S$12</c:f>
              <c:strCache>
                <c:ptCount val="7"/>
                <c:pt idx="0">
                  <c:v> Proposed Design </c:v>
                </c:pt>
                <c:pt idx="1">
                  <c:v>   </c:v>
                </c:pt>
                <c:pt idx="2">
                  <c:v>   </c:v>
                </c:pt>
                <c:pt idx="3">
                  <c:v>   </c:v>
                </c:pt>
                <c:pt idx="4">
                  <c:v>   </c:v>
                </c:pt>
                <c:pt idx="5">
                  <c:v>   </c:v>
                </c:pt>
                <c:pt idx="6">
                  <c:v>   </c:v>
                </c:pt>
              </c:strCache>
            </c:strRef>
          </c:cat>
          <c:val>
            <c:numRef>
              <c:f>Carbon!CEI_07</c:f>
              <c:numCache>
                <c:formatCode>_(* #,##0.0_);_(* \(#,##0.0\);_(* "-"??_);_(@_)</c:formatCode>
                <c:ptCount val="1"/>
                <c:pt idx="0">
                  <c:v>1.5159661448980715</c:v>
                </c:pt>
              </c:numCache>
            </c:numRef>
          </c:val>
          <c:extLst>
            <c:ext xmlns:c16="http://schemas.microsoft.com/office/drawing/2014/chart" uri="{C3380CC4-5D6E-409C-BE32-E72D297353CC}">
              <c16:uniqueId val="{00000006-6062-4AED-994F-7BE0B7EFF078}"/>
            </c:ext>
          </c:extLst>
        </c:ser>
        <c:dLbls>
          <c:showLegendKey val="0"/>
          <c:showVal val="0"/>
          <c:showCatName val="0"/>
          <c:showSerName val="0"/>
          <c:showPercent val="0"/>
          <c:showBubbleSize val="0"/>
        </c:dLbls>
        <c:gapWidth val="150"/>
        <c:overlap val="100"/>
        <c:axId val="208880192"/>
        <c:axId val="208882936"/>
        <c:extLst>
          <c:ext xmlns:c15="http://schemas.microsoft.com/office/drawing/2012/chart" uri="{02D57815-91ED-43cb-92C2-25804820EDAC}">
            <c15:filteredBarSeries>
              <c15:ser>
                <c:idx val="0"/>
                <c:order val="3"/>
                <c:tx>
                  <c:strRef>
                    <c:extLst>
                      <c:ext uri="{02D57815-91ED-43cb-92C2-25804820EDAC}">
                        <c15:formulaRef>
                          <c15:sqref>Carbon!$X$3</c15:sqref>
                        </c15:formulaRef>
                      </c:ext>
                    </c:extLst>
                    <c:strCache>
                      <c:ptCount val="1"/>
                      <c:pt idx="0">
                        <c:v>Exterior Lighting</c:v>
                      </c:pt>
                    </c:strCache>
                  </c:strRef>
                </c:tx>
                <c:spPr>
                  <a:solidFill>
                    <a:srgbClr val="F9A01B"/>
                  </a:solidFill>
                </c:spPr>
                <c:invertIfNegative val="0"/>
                <c:cat>
                  <c:strRef>
                    <c:extLst>
                      <c:ext uri="{02D57815-91ED-43cb-92C2-25804820EDAC}">
                        <c15:formulaRef>
                          <c15:sqref>Carbon!$S$6:$S$12</c15:sqref>
                        </c15:formulaRef>
                      </c:ext>
                    </c:extLst>
                    <c:strCache>
                      <c:ptCount val="7"/>
                      <c:pt idx="0">
                        <c:v> Proposed Design </c:v>
                      </c:pt>
                      <c:pt idx="1">
                        <c:v>   </c:v>
                      </c:pt>
                      <c:pt idx="2">
                        <c:v>   </c:v>
                      </c:pt>
                      <c:pt idx="3">
                        <c:v>   </c:v>
                      </c:pt>
                      <c:pt idx="4">
                        <c:v>   </c:v>
                      </c:pt>
                      <c:pt idx="5">
                        <c:v>   </c:v>
                      </c:pt>
                      <c:pt idx="6">
                        <c:v>   </c:v>
                      </c:pt>
                    </c:strCache>
                  </c:strRef>
                </c:cat>
                <c:val>
                  <c:numRef>
                    <c:extLst>
                      <c:ext uri="{02D57815-91ED-43cb-92C2-25804820EDAC}">
                        <c15:formulaRef>
                          <c15:sqref>Carbon!CEI_04</c15:sqref>
                        </c15:formulaRef>
                      </c:ext>
                    </c:extLst>
                    <c:numCache>
                      <c:formatCode>_(* #,##0.0_);_(* \(#,##0.0\);_(* "-"??_);_(@_)</c:formatCode>
                      <c:ptCount val="1"/>
                      <c:pt idx="0">
                        <c:v>0</c:v>
                      </c:pt>
                    </c:numCache>
                  </c:numRef>
                </c:val>
                <c:extLst>
                  <c:ext xmlns:c16="http://schemas.microsoft.com/office/drawing/2014/chart" uri="{C3380CC4-5D6E-409C-BE32-E72D297353CC}">
                    <c16:uniqueId val="{00000003-6062-4AED-994F-7BE0B7EFF078}"/>
                  </c:ext>
                </c:extLst>
              </c15:ser>
            </c15:filteredBarSeries>
            <c15:filteredBarSeries>
              <c15:ser>
                <c:idx val="9"/>
                <c:order val="5"/>
                <c:tx>
                  <c:strRef>
                    <c:extLst>
                      <c:ext xmlns:c15="http://schemas.microsoft.com/office/drawing/2012/chart" uri="{02D57815-91ED-43cb-92C2-25804820EDAC}">
                        <c15:formulaRef>
                          <c15:sqref>Carbon!$Z$3</c15:sqref>
                        </c15:formulaRef>
                      </c:ext>
                    </c:extLst>
                    <c:strCache>
                      <c:ptCount val="1"/>
                      <c:pt idx="0">
                        <c:v>Exterior Equipment</c:v>
                      </c:pt>
                    </c:strCache>
                  </c:strRef>
                </c:tx>
                <c:spPr>
                  <a:solidFill>
                    <a:srgbClr val="D4CFCB"/>
                  </a:solidFill>
                </c:spPr>
                <c:invertIfNegative val="0"/>
                <c:cat>
                  <c:strRef>
                    <c:extLst>
                      <c:ext xmlns:c15="http://schemas.microsoft.com/office/drawing/2012/chart" uri="{02D57815-91ED-43cb-92C2-25804820EDAC}">
                        <c15:formulaRef>
                          <c15:sqref>Carbon!$S$6:$S$12</c15:sqref>
                        </c15:formulaRef>
                      </c:ext>
                    </c:extLst>
                    <c:strCache>
                      <c:ptCount val="7"/>
                      <c:pt idx="0">
                        <c:v> Proposed Design </c:v>
                      </c:pt>
                      <c:pt idx="1">
                        <c:v>   </c:v>
                      </c:pt>
                      <c:pt idx="2">
                        <c:v>   </c:v>
                      </c:pt>
                      <c:pt idx="3">
                        <c:v>   </c:v>
                      </c:pt>
                      <c:pt idx="4">
                        <c:v>   </c:v>
                      </c:pt>
                      <c:pt idx="5">
                        <c:v>   </c:v>
                      </c:pt>
                      <c:pt idx="6">
                        <c:v>   </c:v>
                      </c:pt>
                    </c:strCache>
                  </c:strRef>
                </c:cat>
                <c:val>
                  <c:numRef>
                    <c:extLst>
                      <c:ext xmlns:c15="http://schemas.microsoft.com/office/drawing/2012/chart" uri="{02D57815-91ED-43cb-92C2-25804820EDAC}">
                        <c15:formulaRef>
                          <c15:sqref>Carbon!CEI_06</c15:sqref>
                        </c15:formulaRef>
                      </c:ext>
                    </c:extLst>
                    <c:numCache>
                      <c:formatCode>_(* #,##0.0_);_(* \(#,##0.0\);_(* "-"??_);_(@_)</c:formatCode>
                      <c:ptCount val="1"/>
                      <c:pt idx="0">
                        <c:v>0</c:v>
                      </c:pt>
                    </c:numCache>
                  </c:numRef>
                </c:val>
                <c:extLst>
                  <c:ext xmlns:c16="http://schemas.microsoft.com/office/drawing/2014/chart" uri="{C3380CC4-5D6E-409C-BE32-E72D297353CC}">
                    <c16:uniqueId val="{00000005-6062-4AED-994F-7BE0B7EFF078}"/>
                  </c:ext>
                </c:extLst>
              </c15:ser>
            </c15:filteredBarSeries>
            <c15:filteredBarSeries>
              <c15:ser>
                <c:idx val="5"/>
                <c:order val="7"/>
                <c:tx>
                  <c:strRef>
                    <c:extLst>
                      <c:ext xmlns:c15="http://schemas.microsoft.com/office/drawing/2012/chart" uri="{02D57815-91ED-43cb-92C2-25804820EDAC}">
                        <c15:formulaRef>
                          <c15:sqref>Carbon!$AB$3</c15:sqref>
                        </c15:formulaRef>
                      </c:ext>
                    </c:extLst>
                    <c:strCache>
                      <c:ptCount val="1"/>
                      <c:pt idx="0">
                        <c:v>Pumps</c:v>
                      </c:pt>
                    </c:strCache>
                  </c:strRef>
                </c:tx>
                <c:spPr>
                  <a:solidFill>
                    <a:srgbClr val="4E4540"/>
                  </a:solidFill>
                </c:spPr>
                <c:invertIfNegative val="0"/>
                <c:cat>
                  <c:strRef>
                    <c:extLst>
                      <c:ext xmlns:c15="http://schemas.microsoft.com/office/drawing/2012/chart" uri="{02D57815-91ED-43cb-92C2-25804820EDAC}">
                        <c15:formulaRef>
                          <c15:sqref>Carbon!$S$6:$S$12</c15:sqref>
                        </c15:formulaRef>
                      </c:ext>
                    </c:extLst>
                    <c:strCache>
                      <c:ptCount val="7"/>
                      <c:pt idx="0">
                        <c:v> Proposed Design </c:v>
                      </c:pt>
                      <c:pt idx="1">
                        <c:v>   </c:v>
                      </c:pt>
                      <c:pt idx="2">
                        <c:v>   </c:v>
                      </c:pt>
                      <c:pt idx="3">
                        <c:v>   </c:v>
                      </c:pt>
                      <c:pt idx="4">
                        <c:v>   </c:v>
                      </c:pt>
                      <c:pt idx="5">
                        <c:v>   </c:v>
                      </c:pt>
                      <c:pt idx="6">
                        <c:v>   </c:v>
                      </c:pt>
                    </c:strCache>
                  </c:strRef>
                </c:cat>
                <c:val>
                  <c:numRef>
                    <c:extLst>
                      <c:ext xmlns:c15="http://schemas.microsoft.com/office/drawing/2012/chart" uri="{02D57815-91ED-43cb-92C2-25804820EDAC}">
                        <c15:formulaRef>
                          <c15:sqref>Carbon!CEI_08</c15:sqref>
                        </c15:formulaRef>
                      </c:ext>
                    </c:extLst>
                    <c:numCache>
                      <c:formatCode>_(* #,##0.0_);_(* \(#,##0.0\);_(* "-"??_);_(@_)</c:formatCode>
                      <c:ptCount val="1"/>
                      <c:pt idx="0">
                        <c:v>0</c:v>
                      </c:pt>
                    </c:numCache>
                  </c:numRef>
                </c:val>
                <c:extLst>
                  <c:ext xmlns:c16="http://schemas.microsoft.com/office/drawing/2014/chart" uri="{C3380CC4-5D6E-409C-BE32-E72D297353CC}">
                    <c16:uniqueId val="{00000007-6062-4AED-994F-7BE0B7EFF078}"/>
                  </c:ext>
                </c:extLst>
              </c15:ser>
            </c15:filteredBarSeries>
            <c15:filteredBarSeries>
              <c15:ser>
                <c:idx val="8"/>
                <c:order val="8"/>
                <c:tx>
                  <c:strRef>
                    <c:extLst>
                      <c:ext xmlns:c15="http://schemas.microsoft.com/office/drawing/2012/chart" uri="{02D57815-91ED-43cb-92C2-25804820EDAC}">
                        <c15:formulaRef>
                          <c15:sqref>Carbon!$AC$3</c15:sqref>
                        </c15:formulaRef>
                      </c:ext>
                    </c:extLst>
                    <c:strCache>
                      <c:ptCount val="1"/>
                      <c:pt idx="0">
                        <c:v>Heat Rejection</c:v>
                      </c:pt>
                    </c:strCache>
                  </c:strRef>
                </c:tx>
                <c:spPr>
                  <a:solidFill>
                    <a:srgbClr val="F05D77"/>
                  </a:solidFill>
                </c:spPr>
                <c:invertIfNegative val="0"/>
                <c:dPt>
                  <c:idx val="0"/>
                  <c:invertIfNegative val="0"/>
                  <c:bubble3D val="0"/>
                  <c:extLst>
                    <c:ext xmlns:c16="http://schemas.microsoft.com/office/drawing/2014/chart" uri="{C3380CC4-5D6E-409C-BE32-E72D297353CC}">
                      <c16:uniqueId val="{00000008-6062-4AED-994F-7BE0B7EFF078}"/>
                    </c:ext>
                  </c:extLst>
                </c:dPt>
                <c:cat>
                  <c:strRef>
                    <c:extLst>
                      <c:ext xmlns:c15="http://schemas.microsoft.com/office/drawing/2012/chart" uri="{02D57815-91ED-43cb-92C2-25804820EDAC}">
                        <c15:formulaRef>
                          <c15:sqref>Carbon!$S$6:$S$12</c15:sqref>
                        </c15:formulaRef>
                      </c:ext>
                    </c:extLst>
                    <c:strCache>
                      <c:ptCount val="7"/>
                      <c:pt idx="0">
                        <c:v> Proposed Design </c:v>
                      </c:pt>
                      <c:pt idx="1">
                        <c:v>   </c:v>
                      </c:pt>
                      <c:pt idx="2">
                        <c:v>   </c:v>
                      </c:pt>
                      <c:pt idx="3">
                        <c:v>   </c:v>
                      </c:pt>
                      <c:pt idx="4">
                        <c:v>   </c:v>
                      </c:pt>
                      <c:pt idx="5">
                        <c:v>   </c:v>
                      </c:pt>
                      <c:pt idx="6">
                        <c:v>   </c:v>
                      </c:pt>
                    </c:strCache>
                  </c:strRef>
                </c:cat>
                <c:val>
                  <c:numRef>
                    <c:extLst>
                      <c:ext xmlns:c15="http://schemas.microsoft.com/office/drawing/2012/chart" uri="{02D57815-91ED-43cb-92C2-25804820EDAC}">
                        <c15:formulaRef>
                          <c15:sqref>Carbon!CEI_09</c15:sqref>
                        </c15:formulaRef>
                      </c:ext>
                    </c:extLst>
                    <c:numCache>
                      <c:formatCode>_(* #,##0.0_);_(* \(#,##0.0\);_(* "-"??_);_(@_)</c:formatCode>
                      <c:ptCount val="1"/>
                      <c:pt idx="0">
                        <c:v>0</c:v>
                      </c:pt>
                    </c:numCache>
                  </c:numRef>
                </c:val>
                <c:extLst xmlns:c15="http://schemas.microsoft.com/office/drawing/2012/chart">
                  <c:ext xmlns:c16="http://schemas.microsoft.com/office/drawing/2014/chart" uri="{C3380CC4-5D6E-409C-BE32-E72D297353CC}">
                    <c16:uniqueId val="{00000009-6062-4AED-994F-7BE0B7EFF078}"/>
                  </c:ext>
                </c:extLst>
              </c15:ser>
            </c15:filteredBarSeries>
            <c15:filteredBarSeries>
              <c15:ser>
                <c:idx val="7"/>
                <c:order val="9"/>
                <c:tx>
                  <c:strRef>
                    <c:extLst xmlns:c15="http://schemas.microsoft.com/office/drawing/2012/chart">
                      <c:ext xmlns:c15="http://schemas.microsoft.com/office/drawing/2012/chart" uri="{02D57815-91ED-43cb-92C2-25804820EDAC}">
                        <c15:formulaRef>
                          <c15:sqref>Carbon!$AD$3</c15:sqref>
                        </c15:formulaRef>
                      </c:ext>
                    </c:extLst>
                    <c:strCache>
                      <c:ptCount val="1"/>
                      <c:pt idx="0">
                        <c:v>Humidification</c:v>
                      </c:pt>
                    </c:strCache>
                  </c:strRef>
                </c:tx>
                <c:spPr>
                  <a:solidFill>
                    <a:srgbClr val="0058A4"/>
                  </a:solidFill>
                </c:spPr>
                <c:invertIfNegative val="0"/>
                <c:cat>
                  <c:strRef>
                    <c:extLst xmlns:c15="http://schemas.microsoft.com/office/drawing/2012/chart">
                      <c:ext xmlns:c15="http://schemas.microsoft.com/office/drawing/2012/chart" uri="{02D57815-91ED-43cb-92C2-25804820EDAC}">
                        <c15:formulaRef>
                          <c15:sqref>Carbon!$S$6:$S$12</c15:sqref>
                        </c15:formulaRef>
                      </c:ext>
                    </c:extLst>
                    <c:strCache>
                      <c:ptCount val="7"/>
                      <c:pt idx="0">
                        <c:v> Proposed Design </c:v>
                      </c:pt>
                      <c:pt idx="1">
                        <c:v>   </c:v>
                      </c:pt>
                      <c:pt idx="2">
                        <c:v>   </c:v>
                      </c:pt>
                      <c:pt idx="3">
                        <c:v>   </c:v>
                      </c:pt>
                      <c:pt idx="4">
                        <c:v>   </c:v>
                      </c:pt>
                      <c:pt idx="5">
                        <c:v>   </c:v>
                      </c:pt>
                      <c:pt idx="6">
                        <c:v>   </c:v>
                      </c:pt>
                    </c:strCache>
                  </c:strRef>
                </c:cat>
                <c:val>
                  <c:numRef>
                    <c:extLst xmlns:c15="http://schemas.microsoft.com/office/drawing/2012/chart">
                      <c:ext xmlns:c15="http://schemas.microsoft.com/office/drawing/2012/chart" uri="{02D57815-91ED-43cb-92C2-25804820EDAC}">
                        <c15:formulaRef>
                          <c15:sqref>Carbon!CEI_10</c15:sqref>
                        </c15:formulaRef>
                      </c:ext>
                    </c:extLst>
                    <c:numCache>
                      <c:formatCode>_(* #,##0.0_);_(* \(#,##0.0\);_(* "-"??_);_(@_)</c:formatCode>
                      <c:ptCount val="1"/>
                      <c:pt idx="0">
                        <c:v>0</c:v>
                      </c:pt>
                    </c:numCache>
                  </c:numRef>
                </c:val>
                <c:extLst xmlns:c15="http://schemas.microsoft.com/office/drawing/2012/chart">
                  <c:ext xmlns:c16="http://schemas.microsoft.com/office/drawing/2014/chart" uri="{C3380CC4-5D6E-409C-BE32-E72D297353CC}">
                    <c16:uniqueId val="{0000000A-6062-4AED-994F-7BE0B7EFF078}"/>
                  </c:ext>
                </c:extLst>
              </c15:ser>
            </c15:filteredBarSeries>
            <c15:filteredBarSeries>
              <c15:ser>
                <c:idx val="19"/>
                <c:order val="10"/>
                <c:tx>
                  <c:strRef>
                    <c:extLst xmlns:c15="http://schemas.microsoft.com/office/drawing/2012/chart">
                      <c:ext xmlns:c15="http://schemas.microsoft.com/office/drawing/2012/chart" uri="{02D57815-91ED-43cb-92C2-25804820EDAC}">
                        <c15:formulaRef>
                          <c15:sqref>Carbon!$AE$3</c15:sqref>
                        </c15:formulaRef>
                      </c:ext>
                    </c:extLst>
                    <c:strCache>
                      <c:ptCount val="1"/>
                      <c:pt idx="0">
                        <c:v>Heat Recovery</c:v>
                      </c:pt>
                    </c:strCache>
                  </c:strRef>
                </c:tx>
                <c:spPr>
                  <a:solidFill>
                    <a:srgbClr val="F8B1AA"/>
                  </a:solidFill>
                </c:spPr>
                <c:invertIfNegative val="0"/>
                <c:cat>
                  <c:strRef>
                    <c:extLst xmlns:c15="http://schemas.microsoft.com/office/drawing/2012/chart">
                      <c:ext xmlns:c15="http://schemas.microsoft.com/office/drawing/2012/chart" uri="{02D57815-91ED-43cb-92C2-25804820EDAC}">
                        <c15:formulaRef>
                          <c15:sqref>Carbon!$S$6:$S$12</c15:sqref>
                        </c15:formulaRef>
                      </c:ext>
                    </c:extLst>
                    <c:strCache>
                      <c:ptCount val="7"/>
                      <c:pt idx="0">
                        <c:v> Proposed Design </c:v>
                      </c:pt>
                      <c:pt idx="1">
                        <c:v>   </c:v>
                      </c:pt>
                      <c:pt idx="2">
                        <c:v>   </c:v>
                      </c:pt>
                      <c:pt idx="3">
                        <c:v>   </c:v>
                      </c:pt>
                      <c:pt idx="4">
                        <c:v>   </c:v>
                      </c:pt>
                      <c:pt idx="5">
                        <c:v>   </c:v>
                      </c:pt>
                      <c:pt idx="6">
                        <c:v>   </c:v>
                      </c:pt>
                    </c:strCache>
                  </c:strRef>
                </c:cat>
                <c:val>
                  <c:numRef>
                    <c:extLst xmlns:c15="http://schemas.microsoft.com/office/drawing/2012/chart">
                      <c:ext xmlns:c15="http://schemas.microsoft.com/office/drawing/2012/chart" uri="{02D57815-91ED-43cb-92C2-25804820EDAC}">
                        <c15:formulaRef>
                          <c15:sqref>Carbon!CarbonEI_11</c15:sqref>
                        </c15:formulaRef>
                      </c:ext>
                    </c:extLst>
                    <c:numCache>
                      <c:formatCode>_(* #,##0.0_);_(* \(#,##0.0\);_(* "-"??_);_(@_)</c:formatCode>
                      <c:ptCount val="1"/>
                      <c:pt idx="0">
                        <c:v>0</c:v>
                      </c:pt>
                    </c:numCache>
                  </c:numRef>
                </c:val>
                <c:extLst xmlns:c15="http://schemas.microsoft.com/office/drawing/2012/chart">
                  <c:ext xmlns:c16="http://schemas.microsoft.com/office/drawing/2014/chart" uri="{C3380CC4-5D6E-409C-BE32-E72D297353CC}">
                    <c16:uniqueId val="{0000000B-6062-4AED-994F-7BE0B7EFF078}"/>
                  </c:ext>
                </c:extLst>
              </c15:ser>
            </c15:filteredBarSeries>
            <c15:filteredBarSeries>
              <c15:ser>
                <c:idx val="14"/>
                <c:order val="11"/>
                <c:tx>
                  <c:strRef>
                    <c:extLst>
                      <c:ext xmlns:c15="http://schemas.microsoft.com/office/drawing/2012/chart" uri="{02D57815-91ED-43cb-92C2-25804820EDAC}">
                        <c15:formulaRef>
                          <c15:sqref>Carbon!$AF$3</c15:sqref>
                        </c15:formulaRef>
                      </c:ext>
                    </c:extLst>
                    <c:strCache>
                      <c:ptCount val="1"/>
                      <c:pt idx="0">
                        <c:v>Water Systems</c:v>
                      </c:pt>
                    </c:strCache>
                  </c:strRef>
                </c:tx>
                <c:spPr>
                  <a:solidFill>
                    <a:srgbClr val="A71C0D"/>
                  </a:solidFill>
                </c:spPr>
                <c:invertIfNegative val="0"/>
                <c:cat>
                  <c:strRef>
                    <c:extLst>
                      <c:ext xmlns:c15="http://schemas.microsoft.com/office/drawing/2012/chart" uri="{02D57815-91ED-43cb-92C2-25804820EDAC}">
                        <c15:formulaRef>
                          <c15:sqref>Carbon!$S$6:$S$12</c15:sqref>
                        </c15:formulaRef>
                      </c:ext>
                    </c:extLst>
                    <c:strCache>
                      <c:ptCount val="7"/>
                      <c:pt idx="0">
                        <c:v> Proposed Design </c:v>
                      </c:pt>
                      <c:pt idx="1">
                        <c:v>   </c:v>
                      </c:pt>
                      <c:pt idx="2">
                        <c:v>   </c:v>
                      </c:pt>
                      <c:pt idx="3">
                        <c:v>   </c:v>
                      </c:pt>
                      <c:pt idx="4">
                        <c:v>   </c:v>
                      </c:pt>
                      <c:pt idx="5">
                        <c:v>   </c:v>
                      </c:pt>
                      <c:pt idx="6">
                        <c:v>   </c:v>
                      </c:pt>
                    </c:strCache>
                  </c:strRef>
                </c:cat>
                <c:val>
                  <c:numRef>
                    <c:extLst>
                      <c:ext xmlns:c15="http://schemas.microsoft.com/office/drawing/2012/chart" uri="{02D57815-91ED-43cb-92C2-25804820EDAC}">
                        <c15:formulaRef>
                          <c15:sqref>Carbon!CEI_12</c15:sqref>
                        </c15:formulaRef>
                      </c:ext>
                    </c:extLst>
                    <c:numCache>
                      <c:formatCode>_(* #,##0.0_);_(* \(#,##0.0\);_(* "-"??_);_(@_)</c:formatCode>
                      <c:ptCount val="1"/>
                      <c:pt idx="0">
                        <c:v>0</c:v>
                      </c:pt>
                    </c:numCache>
                  </c:numRef>
                </c:val>
                <c:extLst xmlns:c15="http://schemas.microsoft.com/office/drawing/2012/chart">
                  <c:ext xmlns:c16="http://schemas.microsoft.com/office/drawing/2014/chart" uri="{C3380CC4-5D6E-409C-BE32-E72D297353CC}">
                    <c16:uniqueId val="{0000000C-6062-4AED-994F-7BE0B7EFF078}"/>
                  </c:ext>
                </c:extLst>
              </c15:ser>
            </c15:filteredBarSeries>
            <c15:filteredBarSeries>
              <c15:ser>
                <c:idx val="15"/>
                <c:order val="12"/>
                <c:tx>
                  <c:strRef>
                    <c:extLst xmlns:c15="http://schemas.microsoft.com/office/drawing/2012/chart">
                      <c:ext xmlns:c15="http://schemas.microsoft.com/office/drawing/2012/chart" uri="{02D57815-91ED-43cb-92C2-25804820EDAC}">
                        <c15:formulaRef>
                          <c15:sqref>Carbon!$AG$3</c15:sqref>
                        </c15:formulaRef>
                      </c:ext>
                    </c:extLst>
                    <c:strCache>
                      <c:ptCount val="1"/>
                      <c:pt idx="0">
                        <c:v>Refrigeration</c:v>
                      </c:pt>
                    </c:strCache>
                  </c:strRef>
                </c:tx>
                <c:spPr>
                  <a:solidFill>
                    <a:srgbClr val="A1ABB2"/>
                  </a:solidFill>
                </c:spPr>
                <c:invertIfNegative val="0"/>
                <c:cat>
                  <c:strRef>
                    <c:extLst xmlns:c15="http://schemas.microsoft.com/office/drawing/2012/chart">
                      <c:ext xmlns:c15="http://schemas.microsoft.com/office/drawing/2012/chart" uri="{02D57815-91ED-43cb-92C2-25804820EDAC}">
                        <c15:formulaRef>
                          <c15:sqref>Carbon!$S$6:$S$12</c15:sqref>
                        </c15:formulaRef>
                      </c:ext>
                    </c:extLst>
                    <c:strCache>
                      <c:ptCount val="7"/>
                      <c:pt idx="0">
                        <c:v> Proposed Design </c:v>
                      </c:pt>
                      <c:pt idx="1">
                        <c:v>   </c:v>
                      </c:pt>
                      <c:pt idx="2">
                        <c:v>   </c:v>
                      </c:pt>
                      <c:pt idx="3">
                        <c:v>   </c:v>
                      </c:pt>
                      <c:pt idx="4">
                        <c:v>   </c:v>
                      </c:pt>
                      <c:pt idx="5">
                        <c:v>   </c:v>
                      </c:pt>
                      <c:pt idx="6">
                        <c:v>   </c:v>
                      </c:pt>
                    </c:strCache>
                  </c:strRef>
                </c:cat>
                <c:val>
                  <c:numRef>
                    <c:extLst xmlns:c15="http://schemas.microsoft.com/office/drawing/2012/chart">
                      <c:ext xmlns:c15="http://schemas.microsoft.com/office/drawing/2012/chart" uri="{02D57815-91ED-43cb-92C2-25804820EDAC}">
                        <c15:formulaRef>
                          <c15:sqref>Carbon!CEI_13</c15:sqref>
                        </c15:formulaRef>
                      </c:ext>
                    </c:extLst>
                    <c:numCache>
                      <c:formatCode>_(* #,##0.0_);_(* \(#,##0.0\);_(* "-"??_);_(@_)</c:formatCode>
                      <c:ptCount val="1"/>
                      <c:pt idx="0">
                        <c:v>0</c:v>
                      </c:pt>
                    </c:numCache>
                  </c:numRef>
                </c:val>
                <c:extLst xmlns:c15="http://schemas.microsoft.com/office/drawing/2012/chart">
                  <c:ext xmlns:c16="http://schemas.microsoft.com/office/drawing/2014/chart" uri="{C3380CC4-5D6E-409C-BE32-E72D297353CC}">
                    <c16:uniqueId val="{0000000D-6062-4AED-994F-7BE0B7EFF078}"/>
                  </c:ext>
                </c:extLst>
              </c15:ser>
            </c15:filteredBarSeries>
            <c15:filteredBarSeries>
              <c15:ser>
                <c:idx val="11"/>
                <c:order val="13"/>
                <c:tx>
                  <c:strRef>
                    <c:extLst xmlns:c15="http://schemas.microsoft.com/office/drawing/2012/chart">
                      <c:ext xmlns:c15="http://schemas.microsoft.com/office/drawing/2012/chart" uri="{02D57815-91ED-43cb-92C2-25804820EDAC}">
                        <c15:formulaRef>
                          <c15:sqref>Carbon!$AH$3</c15:sqref>
                        </c15:formulaRef>
                      </c:ext>
                    </c:extLst>
                    <c:strCache>
                      <c:ptCount val="1"/>
                      <c:pt idx="0">
                        <c:v>Generators</c:v>
                      </c:pt>
                    </c:strCache>
                  </c:strRef>
                </c:tx>
                <c:spPr>
                  <a:solidFill>
                    <a:srgbClr val="89AF5B"/>
                  </a:solidFill>
                </c:spPr>
                <c:invertIfNegative val="0"/>
                <c:cat>
                  <c:strRef>
                    <c:extLst xmlns:c15="http://schemas.microsoft.com/office/drawing/2012/chart">
                      <c:ext xmlns:c15="http://schemas.microsoft.com/office/drawing/2012/chart" uri="{02D57815-91ED-43cb-92C2-25804820EDAC}">
                        <c15:formulaRef>
                          <c15:sqref>Carbon!$S$6:$S$12</c15:sqref>
                        </c15:formulaRef>
                      </c:ext>
                    </c:extLst>
                    <c:strCache>
                      <c:ptCount val="7"/>
                      <c:pt idx="0">
                        <c:v> Proposed Design </c:v>
                      </c:pt>
                      <c:pt idx="1">
                        <c:v>   </c:v>
                      </c:pt>
                      <c:pt idx="2">
                        <c:v>   </c:v>
                      </c:pt>
                      <c:pt idx="3">
                        <c:v>   </c:v>
                      </c:pt>
                      <c:pt idx="4">
                        <c:v>   </c:v>
                      </c:pt>
                      <c:pt idx="5">
                        <c:v>   </c:v>
                      </c:pt>
                      <c:pt idx="6">
                        <c:v>   </c:v>
                      </c:pt>
                    </c:strCache>
                  </c:strRef>
                </c:cat>
                <c:val>
                  <c:numRef>
                    <c:extLst xmlns:c15="http://schemas.microsoft.com/office/drawing/2012/chart">
                      <c:ext xmlns:c15="http://schemas.microsoft.com/office/drawing/2012/chart" uri="{02D57815-91ED-43cb-92C2-25804820EDAC}">
                        <c15:formulaRef>
                          <c15:sqref>Carbon!CEI_14</c15:sqref>
                        </c15:formulaRef>
                      </c:ext>
                    </c:extLst>
                    <c:numCache>
                      <c:formatCode>_(* #,##0.0_);_(* \(#,##0.0\);_(* "-"??_);_(@_)</c:formatCode>
                      <c:ptCount val="1"/>
                      <c:pt idx="0">
                        <c:v>0</c:v>
                      </c:pt>
                    </c:numCache>
                  </c:numRef>
                </c:val>
                <c:extLst xmlns:c15="http://schemas.microsoft.com/office/drawing/2012/chart">
                  <c:ext xmlns:c16="http://schemas.microsoft.com/office/drawing/2014/chart" uri="{C3380CC4-5D6E-409C-BE32-E72D297353CC}">
                    <c16:uniqueId val="{0000000E-6062-4AED-994F-7BE0B7EFF078}"/>
                  </c:ext>
                </c:extLst>
              </c15:ser>
            </c15:filteredBarSeries>
            <c15:filteredBarSeries>
              <c15:ser>
                <c:idx val="16"/>
                <c:order val="14"/>
                <c:tx>
                  <c:strRef>
                    <c:extLst xmlns:c15="http://schemas.microsoft.com/office/drawing/2012/chart">
                      <c:ext xmlns:c15="http://schemas.microsoft.com/office/drawing/2012/chart" uri="{02D57815-91ED-43cb-92C2-25804820EDAC}">
                        <c15:formulaRef>
                          <c15:sqref>Carbon!$AI$3</c15:sqref>
                        </c15:formulaRef>
                      </c:ext>
                    </c:extLst>
                    <c:strCache>
                      <c:ptCount val="1"/>
                      <c:pt idx="0">
                        <c:v> </c:v>
                      </c:pt>
                    </c:strCache>
                  </c:strRef>
                </c:tx>
                <c:spPr>
                  <a:solidFill>
                    <a:srgbClr val="64696F"/>
                  </a:solidFill>
                </c:spPr>
                <c:invertIfNegative val="0"/>
                <c:cat>
                  <c:strRef>
                    <c:extLst xmlns:c15="http://schemas.microsoft.com/office/drawing/2012/chart">
                      <c:ext xmlns:c15="http://schemas.microsoft.com/office/drawing/2012/chart" uri="{02D57815-91ED-43cb-92C2-25804820EDAC}">
                        <c15:formulaRef>
                          <c15:sqref>Carbon!$S$6:$S$12</c15:sqref>
                        </c15:formulaRef>
                      </c:ext>
                    </c:extLst>
                    <c:strCache>
                      <c:ptCount val="7"/>
                      <c:pt idx="0">
                        <c:v> Proposed Design </c:v>
                      </c:pt>
                      <c:pt idx="1">
                        <c:v>   </c:v>
                      </c:pt>
                      <c:pt idx="2">
                        <c:v>   </c:v>
                      </c:pt>
                      <c:pt idx="3">
                        <c:v>   </c:v>
                      </c:pt>
                      <c:pt idx="4">
                        <c:v>   </c:v>
                      </c:pt>
                      <c:pt idx="5">
                        <c:v>   </c:v>
                      </c:pt>
                      <c:pt idx="6">
                        <c:v>   </c:v>
                      </c:pt>
                    </c:strCache>
                  </c:strRef>
                </c:cat>
                <c:val>
                  <c:numRef>
                    <c:extLst xmlns:c15="http://schemas.microsoft.com/office/drawing/2012/chart">
                      <c:ext xmlns:c15="http://schemas.microsoft.com/office/drawing/2012/chart" uri="{02D57815-91ED-43cb-92C2-25804820EDAC}">
                        <c15:formulaRef>
                          <c15:sqref>Carbon!CEI_15</c15:sqref>
                        </c15:formulaRef>
                      </c:ext>
                    </c:extLst>
                    <c:numCache>
                      <c:formatCode>_(* #,##0.0_);_(* \(#,##0.0\);_(* "-"??_);_(@_)</c:formatCode>
                      <c:ptCount val="1"/>
                      <c:pt idx="0">
                        <c:v>0</c:v>
                      </c:pt>
                    </c:numCache>
                  </c:numRef>
                </c:val>
                <c:extLst xmlns:c15="http://schemas.microsoft.com/office/drawing/2012/chart">
                  <c:ext xmlns:c16="http://schemas.microsoft.com/office/drawing/2014/chart" uri="{C3380CC4-5D6E-409C-BE32-E72D297353CC}">
                    <c16:uniqueId val="{0000000F-6062-4AED-994F-7BE0B7EFF078}"/>
                  </c:ext>
                </c:extLst>
              </c15:ser>
            </c15:filteredBarSeries>
            <c15:filteredBarSeries>
              <c15:ser>
                <c:idx val="18"/>
                <c:order val="15"/>
                <c:tx>
                  <c:strRef>
                    <c:extLst xmlns:c15="http://schemas.microsoft.com/office/drawing/2012/chart">
                      <c:ext xmlns:c15="http://schemas.microsoft.com/office/drawing/2012/chart" uri="{02D57815-91ED-43cb-92C2-25804820EDAC}">
                        <c15:formulaRef>
                          <c15:sqref>Carbon!$AJ$3</c15:sqref>
                        </c15:formulaRef>
                      </c:ext>
                    </c:extLst>
                    <c:strCache>
                      <c:ptCount val="1"/>
                      <c:pt idx="0">
                        <c:v> </c:v>
                      </c:pt>
                    </c:strCache>
                  </c:strRef>
                </c:tx>
                <c:spPr>
                  <a:solidFill>
                    <a:srgbClr val="3C393C"/>
                  </a:solidFill>
                </c:spPr>
                <c:invertIfNegative val="0"/>
                <c:cat>
                  <c:strRef>
                    <c:extLst xmlns:c15="http://schemas.microsoft.com/office/drawing/2012/chart">
                      <c:ext xmlns:c15="http://schemas.microsoft.com/office/drawing/2012/chart" uri="{02D57815-91ED-43cb-92C2-25804820EDAC}">
                        <c15:formulaRef>
                          <c15:sqref>Carbon!$S$6:$S$12</c15:sqref>
                        </c15:formulaRef>
                      </c:ext>
                    </c:extLst>
                    <c:strCache>
                      <c:ptCount val="7"/>
                      <c:pt idx="0">
                        <c:v> Proposed Design </c:v>
                      </c:pt>
                      <c:pt idx="1">
                        <c:v>   </c:v>
                      </c:pt>
                      <c:pt idx="2">
                        <c:v>   </c:v>
                      </c:pt>
                      <c:pt idx="3">
                        <c:v>   </c:v>
                      </c:pt>
                      <c:pt idx="4">
                        <c:v>   </c:v>
                      </c:pt>
                      <c:pt idx="5">
                        <c:v>   </c:v>
                      </c:pt>
                      <c:pt idx="6">
                        <c:v>   </c:v>
                      </c:pt>
                    </c:strCache>
                  </c:strRef>
                </c:cat>
                <c:val>
                  <c:numRef>
                    <c:extLst xmlns:c15="http://schemas.microsoft.com/office/drawing/2012/chart">
                      <c:ext xmlns:c15="http://schemas.microsoft.com/office/drawing/2012/chart" uri="{02D57815-91ED-43cb-92C2-25804820EDAC}">
                        <c15:formulaRef>
                          <c15:sqref>Carbon!CEI_16</c15:sqref>
                        </c15:formulaRef>
                      </c:ext>
                    </c:extLst>
                    <c:numCache>
                      <c:formatCode>_(* #,##0.0_);_(* \(#,##0.0\);_(* "-"??_);_(@_)</c:formatCode>
                      <c:ptCount val="1"/>
                      <c:pt idx="0">
                        <c:v>0</c:v>
                      </c:pt>
                    </c:numCache>
                  </c:numRef>
                </c:val>
                <c:extLst xmlns:c15="http://schemas.microsoft.com/office/drawing/2012/chart">
                  <c:ext xmlns:c16="http://schemas.microsoft.com/office/drawing/2014/chart" uri="{C3380CC4-5D6E-409C-BE32-E72D297353CC}">
                    <c16:uniqueId val="{00000010-6062-4AED-994F-7BE0B7EFF078}"/>
                  </c:ext>
                </c:extLst>
              </c15:ser>
            </c15:filteredBarSeries>
            <c15:filteredBarSeries>
              <c15:ser>
                <c:idx val="17"/>
                <c:order val="16"/>
                <c:tx>
                  <c:strRef>
                    <c:extLst xmlns:c15="http://schemas.microsoft.com/office/drawing/2012/chart">
                      <c:ext xmlns:c15="http://schemas.microsoft.com/office/drawing/2012/chart" uri="{02D57815-91ED-43cb-92C2-25804820EDAC}">
                        <c15:formulaRef>
                          <c15:sqref>Carbon!$AK$3</c15:sqref>
                        </c15:formulaRef>
                      </c:ext>
                    </c:extLst>
                    <c:strCache>
                      <c:ptCount val="1"/>
                      <c:pt idx="0">
                        <c:v>Uncertainty</c:v>
                      </c:pt>
                    </c:strCache>
                  </c:strRef>
                </c:tx>
                <c:spPr>
                  <a:noFill/>
                  <a:ln>
                    <a:solidFill>
                      <a:schemeClr val="bg1">
                        <a:lumMod val="50000"/>
                      </a:schemeClr>
                    </a:solidFill>
                    <a:prstDash val="dash"/>
                  </a:ln>
                </c:spPr>
                <c:invertIfNegative val="0"/>
                <c:cat>
                  <c:strRef>
                    <c:extLst xmlns:c15="http://schemas.microsoft.com/office/drawing/2012/chart">
                      <c:ext xmlns:c15="http://schemas.microsoft.com/office/drawing/2012/chart" uri="{02D57815-91ED-43cb-92C2-25804820EDAC}">
                        <c15:formulaRef>
                          <c15:sqref>Carbon!$S$6:$S$12</c15:sqref>
                        </c15:formulaRef>
                      </c:ext>
                    </c:extLst>
                    <c:strCache>
                      <c:ptCount val="7"/>
                      <c:pt idx="0">
                        <c:v> Proposed Design </c:v>
                      </c:pt>
                      <c:pt idx="1">
                        <c:v>   </c:v>
                      </c:pt>
                      <c:pt idx="2">
                        <c:v>   </c:v>
                      </c:pt>
                      <c:pt idx="3">
                        <c:v>   </c:v>
                      </c:pt>
                      <c:pt idx="4">
                        <c:v>   </c:v>
                      </c:pt>
                      <c:pt idx="5">
                        <c:v>   </c:v>
                      </c:pt>
                      <c:pt idx="6">
                        <c:v>   </c:v>
                      </c:pt>
                    </c:strCache>
                  </c:strRef>
                </c:cat>
                <c:val>
                  <c:numRef>
                    <c:extLst xmlns:c15="http://schemas.microsoft.com/office/drawing/2012/chart">
                      <c:ext xmlns:c15="http://schemas.microsoft.com/office/drawing/2012/chart" uri="{02D57815-91ED-43cb-92C2-25804820EDAC}">
                        <c15:formulaRef>
                          <c15:sqref>Carbon!CEI_17</c15:sqref>
                        </c15:formulaRef>
                      </c:ext>
                    </c:extLst>
                    <c:numCache>
                      <c:formatCode>_(* #,##0.0_);_(* \(#,##0.0\);_(* "-"??_);_(@_)</c:formatCode>
                      <c:ptCount val="1"/>
                      <c:pt idx="0">
                        <c:v>0</c:v>
                      </c:pt>
                    </c:numCache>
                  </c:numRef>
                </c:val>
                <c:extLst xmlns:c15="http://schemas.microsoft.com/office/drawing/2012/chart">
                  <c:ext xmlns:c16="http://schemas.microsoft.com/office/drawing/2014/chart" uri="{C3380CC4-5D6E-409C-BE32-E72D297353CC}">
                    <c16:uniqueId val="{00000011-6062-4AED-994F-7BE0B7EFF078}"/>
                  </c:ext>
                </c:extLst>
              </c15:ser>
            </c15:filteredBarSeries>
            <c15:filteredBarSeries>
              <c15:ser>
                <c:idx val="6"/>
                <c:order val="17"/>
                <c:tx>
                  <c:strRef>
                    <c:extLst xmlns:c15="http://schemas.microsoft.com/office/drawing/2012/chart">
                      <c:ext xmlns:c15="http://schemas.microsoft.com/office/drawing/2012/chart" uri="{02D57815-91ED-43cb-92C2-25804820EDAC}">
                        <c15:formulaRef>
                          <c15:sqref>Carbon!$AL$3</c15:sqref>
                        </c15:formulaRef>
                      </c:ext>
                    </c:extLst>
                    <c:strCache>
                      <c:ptCount val="1"/>
                      <c:pt idx="0">
                        <c:v>PV</c:v>
                      </c:pt>
                    </c:strCache>
                  </c:strRef>
                </c:tx>
                <c:invertIfNegative val="0"/>
                <c:cat>
                  <c:strRef>
                    <c:extLst xmlns:c15="http://schemas.microsoft.com/office/drawing/2012/chart">
                      <c:ext xmlns:c15="http://schemas.microsoft.com/office/drawing/2012/chart" uri="{02D57815-91ED-43cb-92C2-25804820EDAC}">
                        <c15:formulaRef>
                          <c15:sqref>Carbon!$S$6:$S$12</c15:sqref>
                        </c15:formulaRef>
                      </c:ext>
                    </c:extLst>
                    <c:strCache>
                      <c:ptCount val="7"/>
                      <c:pt idx="0">
                        <c:v> Proposed Design </c:v>
                      </c:pt>
                      <c:pt idx="1">
                        <c:v>   </c:v>
                      </c:pt>
                      <c:pt idx="2">
                        <c:v>   </c:v>
                      </c:pt>
                      <c:pt idx="3">
                        <c:v>   </c:v>
                      </c:pt>
                      <c:pt idx="4">
                        <c:v>   </c:v>
                      </c:pt>
                      <c:pt idx="5">
                        <c:v>   </c:v>
                      </c:pt>
                      <c:pt idx="6">
                        <c:v>   </c:v>
                      </c:pt>
                    </c:strCache>
                  </c:strRef>
                </c:cat>
                <c:val>
                  <c:numRef>
                    <c:extLst xmlns:c15="http://schemas.microsoft.com/office/drawing/2012/chart">
                      <c:ext xmlns:c15="http://schemas.microsoft.com/office/drawing/2012/chart" uri="{02D57815-91ED-43cb-92C2-25804820EDAC}">
                        <c15:formulaRef>
                          <c15:sqref>Carbon!CEI_18</c15:sqref>
                        </c15:formulaRef>
                      </c:ext>
                    </c:extLst>
                    <c:numCache>
                      <c:formatCode>_(* #,##0.0_);_(* \(#,##0.0\);_(* "-"??_);_(@_)</c:formatCode>
                      <c:ptCount val="1"/>
                      <c:pt idx="0">
                        <c:v>0</c:v>
                      </c:pt>
                    </c:numCache>
                  </c:numRef>
                </c:val>
                <c:extLst xmlns:c15="http://schemas.microsoft.com/office/drawing/2012/chart">
                  <c:ext xmlns:c16="http://schemas.microsoft.com/office/drawing/2014/chart" uri="{C3380CC4-5D6E-409C-BE32-E72D297353CC}">
                    <c16:uniqueId val="{00000012-6062-4AED-994F-7BE0B7EFF078}"/>
                  </c:ext>
                </c:extLst>
              </c15:ser>
            </c15:filteredBarSeries>
            <c15:filteredBarSeries>
              <c15:ser>
                <c:idx val="12"/>
                <c:order val="18"/>
                <c:tx>
                  <c:strRef>
                    <c:extLst xmlns:c15="http://schemas.microsoft.com/office/drawing/2012/chart">
                      <c:ext xmlns:c15="http://schemas.microsoft.com/office/drawing/2012/chart" uri="{02D57815-91ED-43cb-92C2-25804820EDAC}">
                        <c15:formulaRef>
                          <c15:sqref>Carbon!$AM$3</c15:sqref>
                        </c15:formulaRef>
                      </c:ext>
                    </c:extLst>
                    <c:strCache>
                      <c:ptCount val="1"/>
                      <c:pt idx="0">
                        <c:v>Wind</c:v>
                      </c:pt>
                    </c:strCache>
                  </c:strRef>
                </c:tx>
                <c:invertIfNegative val="0"/>
                <c:cat>
                  <c:strRef>
                    <c:extLst xmlns:c15="http://schemas.microsoft.com/office/drawing/2012/chart">
                      <c:ext xmlns:c15="http://schemas.microsoft.com/office/drawing/2012/chart" uri="{02D57815-91ED-43cb-92C2-25804820EDAC}">
                        <c15:formulaRef>
                          <c15:sqref>Carbon!$S$6:$S$12</c15:sqref>
                        </c15:formulaRef>
                      </c:ext>
                    </c:extLst>
                    <c:strCache>
                      <c:ptCount val="7"/>
                      <c:pt idx="0">
                        <c:v> Proposed Design </c:v>
                      </c:pt>
                      <c:pt idx="1">
                        <c:v>   </c:v>
                      </c:pt>
                      <c:pt idx="2">
                        <c:v>   </c:v>
                      </c:pt>
                      <c:pt idx="3">
                        <c:v>   </c:v>
                      </c:pt>
                      <c:pt idx="4">
                        <c:v>   </c:v>
                      </c:pt>
                      <c:pt idx="5">
                        <c:v>   </c:v>
                      </c:pt>
                      <c:pt idx="6">
                        <c:v>   </c:v>
                      </c:pt>
                    </c:strCache>
                  </c:strRef>
                </c:cat>
                <c:val>
                  <c:numRef>
                    <c:extLst xmlns:c15="http://schemas.microsoft.com/office/drawing/2012/chart">
                      <c:ext xmlns:c15="http://schemas.microsoft.com/office/drawing/2012/chart" uri="{02D57815-91ED-43cb-92C2-25804820EDAC}">
                        <c15:formulaRef>
                          <c15:sqref>Carbon!CEI_19</c15:sqref>
                        </c15:formulaRef>
                      </c:ext>
                    </c:extLst>
                    <c:numCache>
                      <c:formatCode>_(* #,##0.0_);_(* \(#,##0.0\);_(* "-"??_);_(@_)</c:formatCode>
                      <c:ptCount val="1"/>
                      <c:pt idx="0">
                        <c:v>0</c:v>
                      </c:pt>
                    </c:numCache>
                  </c:numRef>
                </c:val>
                <c:extLst xmlns:c15="http://schemas.microsoft.com/office/drawing/2012/chart">
                  <c:ext xmlns:c16="http://schemas.microsoft.com/office/drawing/2014/chart" uri="{C3380CC4-5D6E-409C-BE32-E72D297353CC}">
                    <c16:uniqueId val="{00000013-6062-4AED-994F-7BE0B7EFF078}"/>
                  </c:ext>
                </c:extLst>
              </c15:ser>
            </c15:filteredBarSeries>
            <c15:filteredBarSeries>
              <c15:ser>
                <c:idx val="13"/>
                <c:order val="19"/>
                <c:tx>
                  <c:strRef>
                    <c:extLst>
                      <c:ext xmlns:c15="http://schemas.microsoft.com/office/drawing/2012/chart" uri="{02D57815-91ED-43cb-92C2-25804820EDAC}">
                        <c15:formulaRef>
                          <c15:sqref>Carbon!$AN$3</c15:sqref>
                        </c15:formulaRef>
                      </c:ext>
                    </c:extLst>
                    <c:strCache>
                      <c:ptCount val="1"/>
                      <c:pt idx="0">
                        <c:v>SHW</c:v>
                      </c:pt>
                    </c:strCache>
                  </c:strRef>
                </c:tx>
                <c:invertIfNegative val="0"/>
                <c:cat>
                  <c:strRef>
                    <c:extLst>
                      <c:ext xmlns:c15="http://schemas.microsoft.com/office/drawing/2012/chart" uri="{02D57815-91ED-43cb-92C2-25804820EDAC}">
                        <c15:formulaRef>
                          <c15:sqref>Carbon!$S$6:$S$12</c15:sqref>
                        </c15:formulaRef>
                      </c:ext>
                    </c:extLst>
                    <c:strCache>
                      <c:ptCount val="7"/>
                      <c:pt idx="0">
                        <c:v> Proposed Design </c:v>
                      </c:pt>
                      <c:pt idx="1">
                        <c:v>   </c:v>
                      </c:pt>
                      <c:pt idx="2">
                        <c:v>   </c:v>
                      </c:pt>
                      <c:pt idx="3">
                        <c:v>   </c:v>
                      </c:pt>
                      <c:pt idx="4">
                        <c:v>   </c:v>
                      </c:pt>
                      <c:pt idx="5">
                        <c:v>   </c:v>
                      </c:pt>
                      <c:pt idx="6">
                        <c:v>   </c:v>
                      </c:pt>
                    </c:strCache>
                  </c:strRef>
                </c:cat>
                <c:val>
                  <c:numRef>
                    <c:extLst>
                      <c:ext xmlns:c15="http://schemas.microsoft.com/office/drawing/2012/chart" uri="{02D57815-91ED-43cb-92C2-25804820EDAC}">
                        <c15:formulaRef>
                          <c15:sqref>Carbon!CEI_20</c15:sqref>
                        </c15:formulaRef>
                      </c:ext>
                    </c:extLst>
                    <c:numCache>
                      <c:formatCode>_(* #,##0.0_);_(* \(#,##0.0\);_(* "-"??_);_(@_)</c:formatCode>
                      <c:ptCount val="1"/>
                      <c:pt idx="0">
                        <c:v>0</c:v>
                      </c:pt>
                    </c:numCache>
                  </c:numRef>
                </c:val>
                <c:extLst xmlns:c15="http://schemas.microsoft.com/office/drawing/2012/chart">
                  <c:ext xmlns:c16="http://schemas.microsoft.com/office/drawing/2014/chart" uri="{C3380CC4-5D6E-409C-BE32-E72D297353CC}">
                    <c16:uniqueId val="{00000014-6062-4AED-994F-7BE0B7EFF078}"/>
                  </c:ext>
                </c:extLst>
              </c15:ser>
            </c15:filteredBarSeries>
          </c:ext>
        </c:extLst>
      </c:barChart>
      <c:scatterChart>
        <c:scatterStyle val="lineMarker"/>
        <c:varyColors val="0"/>
        <c:dLbls>
          <c:showLegendKey val="0"/>
          <c:showVal val="0"/>
          <c:showCatName val="0"/>
          <c:showSerName val="0"/>
          <c:showPercent val="0"/>
          <c:showBubbleSize val="0"/>
        </c:dLbls>
        <c:axId val="496616111"/>
        <c:axId val="496618591"/>
        <c:extLst>
          <c:ext xmlns:c15="http://schemas.microsoft.com/office/drawing/2012/chart" uri="{02D57815-91ED-43cb-92C2-25804820EDAC}">
            <c15:filteredScatterSeries>
              <c15:ser>
                <c:idx val="20"/>
                <c:order val="20"/>
                <c:tx>
                  <c:strRef>
                    <c:extLst>
                      <c:ext uri="{02D57815-91ED-43cb-92C2-25804820EDAC}">
                        <c15:formulaRef>
                          <c15:sqref>Carbon!$AS$20</c15:sqref>
                        </c15:formulaRef>
                      </c:ext>
                    </c:extLst>
                    <c:strCache>
                      <c:ptCount val="1"/>
                      <c:pt idx="0">
                        <c:v>#VALUE!</c:v>
                      </c:pt>
                    </c:strCache>
                  </c:strRef>
                </c:tx>
                <c:spPr>
                  <a:ln>
                    <a:solidFill>
                      <a:srgbClr val="C00000"/>
                    </a:solidFill>
                    <a:prstDash val="sysDash"/>
                  </a:ln>
                </c:spPr>
                <c:marker>
                  <c:symbol val="none"/>
                </c:marker>
                <c:dLbls>
                  <c:dLbl>
                    <c:idx val="0"/>
                    <c:delete val="1"/>
                    <c:extLst>
                      <c:ext uri="{CE6537A1-D6FC-4f65-9D91-7224C49458BB}"/>
                      <c:ext xmlns:c16="http://schemas.microsoft.com/office/drawing/2014/chart" uri="{C3380CC4-5D6E-409C-BE32-E72D297353CC}">
                        <c16:uniqueId val="{00000015-6062-4AED-994F-7BE0B7EFF078}"/>
                      </c:ext>
                    </c:extLst>
                  </c:dLbl>
                  <c:dLbl>
                    <c:idx val="1"/>
                    <c:spPr>
                      <a:noFill/>
                      <a:ln>
                        <a:noFill/>
                      </a:ln>
                      <a:effectLst/>
                    </c:spPr>
                    <c:txPr>
                      <a:bodyPr wrap="square" lIns="38100" tIns="19050" rIns="38100" bIns="19050" anchor="ctr">
                        <a:spAutoFit/>
                      </a:bodyPr>
                      <a:lstStyle/>
                      <a:p>
                        <a:pPr>
                          <a:defRPr sz="800">
                            <a:latin typeface="Franklin Gothic Book" panose="020B0503020102020204" pitchFamily="34" charset="0"/>
                          </a:defRPr>
                        </a:pPr>
                        <a:endParaRPr lang="en-US"/>
                      </a:p>
                    </c:txPr>
                    <c:dLblPos val="t"/>
                    <c:showLegendKey val="0"/>
                    <c:showVal val="0"/>
                    <c:showCatName val="0"/>
                    <c:showSerName val="1"/>
                    <c:showPercent val="0"/>
                    <c:showBubbleSize val="0"/>
                    <c:extLst>
                      <c:ext xmlns:c16="http://schemas.microsoft.com/office/drawing/2014/chart" uri="{C3380CC4-5D6E-409C-BE32-E72D297353CC}">
                        <c16:uniqueId val="{00000016-6062-4AED-994F-7BE0B7EFF078}"/>
                      </c:ext>
                    </c:extLst>
                  </c:dLbl>
                  <c:spPr>
                    <a:noFill/>
                    <a:ln>
                      <a:noFill/>
                    </a:ln>
                    <a:effectLst/>
                  </c:spPr>
                  <c:dLblPos val="t"/>
                  <c:showLegendKey val="0"/>
                  <c:showVal val="0"/>
                  <c:showCatName val="0"/>
                  <c:showSerName val="1"/>
                  <c:showPercent val="0"/>
                  <c:showBubbleSize val="0"/>
                  <c:showLeaderLines val="0"/>
                  <c:extLst>
                    <c:ext uri="{CE6537A1-D6FC-4f65-9D91-7224C49458BB}">
                      <c15:showLeaderLines val="0"/>
                    </c:ext>
                  </c:extLst>
                </c:dLbls>
                <c:yVal>
                  <c:numRef>
                    <c:extLst>
                      <c:ext uri="{02D57815-91ED-43cb-92C2-25804820EDAC}">
                        <c15:formulaRef>
                          <c15:sqref>Carbon!$AT$20:$AU$20</c15:sqref>
                        </c15:formulaRef>
                      </c:ext>
                    </c:extLst>
                    <c:numCache>
                      <c:formatCode>_(* #,##0.0_);_(* \(#,##0.0\);_(* "-"??_);_(@_)</c:formatCode>
                      <c:ptCount val="2"/>
                      <c:pt idx="0">
                        <c:v>0</c:v>
                      </c:pt>
                      <c:pt idx="1">
                        <c:v>0</c:v>
                      </c:pt>
                    </c:numCache>
                  </c:numRef>
                </c:yVal>
                <c:smooth val="0"/>
                <c:extLst>
                  <c:ext xmlns:c16="http://schemas.microsoft.com/office/drawing/2014/chart" uri="{C3380CC4-5D6E-409C-BE32-E72D297353CC}">
                    <c16:uniqueId val="{00000017-6062-4AED-994F-7BE0B7EFF078}"/>
                  </c:ext>
                </c:extLst>
              </c15:ser>
            </c15:filteredScatterSeries>
            <c15:filteredScatterSeries>
              <c15:ser>
                <c:idx val="21"/>
                <c:order val="21"/>
                <c:tx>
                  <c:strRef>
                    <c:extLst xmlns:c15="http://schemas.microsoft.com/office/drawing/2012/chart">
                      <c:ext xmlns:c15="http://schemas.microsoft.com/office/drawing/2012/chart" uri="{02D57815-91ED-43cb-92C2-25804820EDAC}">
                        <c15:formulaRef>
                          <c15:sqref>Carbon!$AS$21</c15:sqref>
                        </c15:formulaRef>
                      </c:ext>
                    </c:extLst>
                    <c:strCache>
                      <c:ptCount val="1"/>
                      <c:pt idx="0">
                        <c:v>#VALUE!</c:v>
                      </c:pt>
                    </c:strCache>
                  </c:strRef>
                </c:tx>
                <c:spPr>
                  <a:ln>
                    <a:solidFill>
                      <a:schemeClr val="tx2"/>
                    </a:solidFill>
                    <a:prstDash val="sysDash"/>
                  </a:ln>
                </c:spPr>
                <c:marker>
                  <c:symbol val="none"/>
                </c:marker>
                <c:dLbls>
                  <c:dLbl>
                    <c:idx val="0"/>
                    <c:delete val="1"/>
                    <c:extLst xmlns:c15="http://schemas.microsoft.com/office/drawing/2012/chart">
                      <c:ext xmlns:c15="http://schemas.microsoft.com/office/drawing/2012/chart" uri="{CE6537A1-D6FC-4f65-9D91-7224C49458BB}"/>
                      <c:ext xmlns:c16="http://schemas.microsoft.com/office/drawing/2014/chart" uri="{C3380CC4-5D6E-409C-BE32-E72D297353CC}">
                        <c16:uniqueId val="{00000018-6062-4AED-994F-7BE0B7EFF078}"/>
                      </c:ext>
                    </c:extLst>
                  </c:dLbl>
                  <c:dLbl>
                    <c:idx val="1"/>
                    <c:tx>
                      <c:rich>
                        <a:bodyPr/>
                        <a:lstStyle/>
                        <a:p>
                          <a:fld id="{6E826609-AAFE-4FC1-BB89-D61F787E5C5A}" type="SERIESNAME">
                            <a:rPr lang="en-US" sz="800">
                              <a:latin typeface="Franklin Gothic Book" panose="020B0503020102020204" pitchFamily="34" charset="0"/>
                            </a:rPr>
                            <a:pPr/>
                            <a:t>[SERIES NAME]</a:t>
                          </a:fld>
                          <a:endParaRPr lang="en-US"/>
                        </a:p>
                      </c:rich>
                    </c:tx>
                    <c:dLblPos val="t"/>
                    <c:showLegendKey val="0"/>
                    <c:showVal val="0"/>
                    <c:showCatName val="0"/>
                    <c:showSerName val="1"/>
                    <c:showPercent val="0"/>
                    <c:showBubbleSize val="0"/>
                    <c:extLst xmlns:c15="http://schemas.microsoft.com/office/drawing/2012/chart">
                      <c:ext xmlns:c15="http://schemas.microsoft.com/office/drawing/2012/chart" uri="{CE6537A1-D6FC-4f65-9D91-7224C49458BB}">
                        <c15:dlblFieldTable/>
                        <c15:showDataLabelsRange val="0"/>
                      </c:ext>
                      <c:ext xmlns:c16="http://schemas.microsoft.com/office/drawing/2014/chart" uri="{C3380CC4-5D6E-409C-BE32-E72D297353CC}">
                        <c16:uniqueId val="{00000019-6062-4AED-994F-7BE0B7EFF078}"/>
                      </c:ext>
                    </c:extLst>
                  </c:dLbl>
                  <c:spPr>
                    <a:noFill/>
                    <a:ln>
                      <a:noFill/>
                    </a:ln>
                    <a:effectLst/>
                  </c:spPr>
                  <c:dLblPos val="t"/>
                  <c:showLegendKey val="0"/>
                  <c:showVal val="0"/>
                  <c:showCatName val="0"/>
                  <c:showSerName val="1"/>
                  <c:showPercent val="0"/>
                  <c:showBubbleSize val="0"/>
                  <c:showLeaderLines val="0"/>
                  <c:extLst xmlns:c15="http://schemas.microsoft.com/office/drawing/2012/chart">
                    <c:ext xmlns:c15="http://schemas.microsoft.com/office/drawing/2012/chart" uri="{CE6537A1-D6FC-4f65-9D91-7224C49458BB}">
                      <c15:showLeaderLines val="0"/>
                    </c:ext>
                  </c:extLst>
                </c:dLbls>
                <c:yVal>
                  <c:numRef>
                    <c:extLst xmlns:c15="http://schemas.microsoft.com/office/drawing/2012/chart">
                      <c:ext xmlns:c15="http://schemas.microsoft.com/office/drawing/2012/chart" uri="{02D57815-91ED-43cb-92C2-25804820EDAC}">
                        <c15:formulaRef>
                          <c15:sqref>Carbon!$AT$21:$AU$21</c15:sqref>
                        </c15:formulaRef>
                      </c:ext>
                    </c:extLst>
                    <c:numCache>
                      <c:formatCode>_(* #,##0.0_);_(* \(#,##0.0\);_(* "-"??_);_(@_)</c:formatCode>
                      <c:ptCount val="2"/>
                      <c:pt idx="0">
                        <c:v>0</c:v>
                      </c:pt>
                      <c:pt idx="1">
                        <c:v>0</c:v>
                      </c:pt>
                    </c:numCache>
                  </c:numRef>
                </c:yVal>
                <c:smooth val="0"/>
                <c:extLst xmlns:c15="http://schemas.microsoft.com/office/drawing/2012/chart">
                  <c:ext xmlns:c16="http://schemas.microsoft.com/office/drawing/2014/chart" uri="{C3380CC4-5D6E-409C-BE32-E72D297353CC}">
                    <c16:uniqueId val="{0000001A-6062-4AED-994F-7BE0B7EFF078}"/>
                  </c:ext>
                </c:extLst>
              </c15:ser>
            </c15:filteredScatterSeries>
          </c:ext>
        </c:extLst>
      </c:scatterChart>
      <c:catAx>
        <c:axId val="208880192"/>
        <c:scaling>
          <c:orientation val="minMax"/>
        </c:scaling>
        <c:delete val="0"/>
        <c:axPos val="b"/>
        <c:numFmt formatCode="General" sourceLinked="0"/>
        <c:majorTickMark val="out"/>
        <c:minorTickMark val="none"/>
        <c:tickLblPos val="nextTo"/>
        <c:txPr>
          <a:bodyPr/>
          <a:lstStyle/>
          <a:p>
            <a:pPr>
              <a:defRPr sz="800">
                <a:solidFill>
                  <a:schemeClr val="bg1">
                    <a:lumMod val="50000"/>
                  </a:schemeClr>
                </a:solidFill>
                <a:latin typeface="Franklin Gothic Book" panose="020B0503020102020204" pitchFamily="34" charset="0"/>
                <a:cs typeface="Arial" panose="020B0604020202020204" pitchFamily="34" charset="0"/>
              </a:defRPr>
            </a:pPr>
            <a:endParaRPr lang="en-US"/>
          </a:p>
        </c:txPr>
        <c:crossAx val="208882936"/>
        <c:crosses val="autoZero"/>
        <c:auto val="1"/>
        <c:lblAlgn val="ctr"/>
        <c:lblOffset val="100"/>
        <c:noMultiLvlLbl val="0"/>
      </c:catAx>
      <c:valAx>
        <c:axId val="208882936"/>
        <c:scaling>
          <c:orientation val="minMax"/>
        </c:scaling>
        <c:delete val="0"/>
        <c:axPos val="l"/>
        <c:majorGridlines>
          <c:spPr>
            <a:ln>
              <a:solidFill>
                <a:schemeClr val="bg1">
                  <a:lumMod val="85000"/>
                </a:schemeClr>
              </a:solidFill>
            </a:ln>
          </c:spPr>
        </c:majorGridlines>
        <c:title>
          <c:tx>
            <c:strRef>
              <c:f>Carbon!$S$19</c:f>
              <c:strCache>
                <c:ptCount val="1"/>
                <c:pt idx="0">
                  <c:v>Carbon Emissions Intensity (kg CO2e/ft²)</c:v>
                </c:pt>
              </c:strCache>
            </c:strRef>
          </c:tx>
          <c:overlay val="0"/>
          <c:txPr>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sz="1000" b="1" i="0" u="none" strike="noStrike" kern="1200" baseline="0">
                  <a:solidFill>
                    <a:schemeClr val="bg1">
                      <a:lumMod val="50000"/>
                    </a:schemeClr>
                  </a:solidFill>
                  <a:latin typeface="Franklin Gothic Book" panose="020B0503020102020204" pitchFamily="34" charset="0"/>
                  <a:ea typeface="+mn-ea"/>
                  <a:cs typeface="+mn-cs"/>
                </a:defRPr>
              </a:pPr>
              <a:endParaRPr lang="en-US"/>
            </a:p>
          </c:txPr>
        </c:title>
        <c:numFmt formatCode="#,##0" sourceLinked="0"/>
        <c:majorTickMark val="out"/>
        <c:minorTickMark val="none"/>
        <c:tickLblPos val="nextTo"/>
        <c:spPr>
          <a:ln>
            <a:tailEnd type="triangle"/>
          </a:ln>
        </c:spPr>
        <c:txPr>
          <a:bodyPr/>
          <a:lstStyle/>
          <a:p>
            <a:pPr>
              <a:defRPr sz="800">
                <a:solidFill>
                  <a:schemeClr val="bg1">
                    <a:lumMod val="50000"/>
                  </a:schemeClr>
                </a:solidFill>
                <a:latin typeface="Franklin Gothic Book" panose="020B0503020102020204" pitchFamily="34" charset="0"/>
                <a:cs typeface="Arial" panose="020B0604020202020204" pitchFamily="34" charset="0"/>
              </a:defRPr>
            </a:pPr>
            <a:endParaRPr lang="en-US"/>
          </a:p>
        </c:txPr>
        <c:crossAx val="208880192"/>
        <c:crosses val="autoZero"/>
        <c:crossBetween val="between"/>
      </c:valAx>
      <c:valAx>
        <c:axId val="496618591"/>
        <c:scaling>
          <c:orientation val="minMax"/>
        </c:scaling>
        <c:delete val="1"/>
        <c:axPos val="r"/>
        <c:numFmt formatCode="_(* #,##0.0_);_(* \(#,##0.0\);_(* &quot;-&quot;??_);_(@_)" sourceLinked="1"/>
        <c:majorTickMark val="out"/>
        <c:minorTickMark val="none"/>
        <c:tickLblPos val="nextTo"/>
        <c:crossAx val="496616111"/>
        <c:crosses val="max"/>
        <c:crossBetween val="midCat"/>
      </c:valAx>
      <c:valAx>
        <c:axId val="496616111"/>
        <c:scaling>
          <c:orientation val="minMax"/>
          <c:max val="2"/>
          <c:min val="1"/>
        </c:scaling>
        <c:delete val="1"/>
        <c:axPos val="t"/>
        <c:majorTickMark val="out"/>
        <c:minorTickMark val="none"/>
        <c:tickLblPos val="nextTo"/>
        <c:crossAx val="496618591"/>
        <c:crosses val="max"/>
        <c:crossBetween val="midCat"/>
      </c:valAx>
    </c:plotArea>
    <c:legend>
      <c:legendPos val="t"/>
      <c:overlay val="0"/>
      <c:txPr>
        <a:bodyPr/>
        <a:lstStyle/>
        <a:p>
          <a:pPr>
            <a:defRPr sz="800">
              <a:latin typeface="Franklin Gothic Book" panose="020B0503020102020204" pitchFamily="34" charset="0"/>
              <a:cs typeface="Arial" panose="020B0604020202020204" pitchFamily="34" charset="0"/>
            </a:defRPr>
          </a:pPr>
          <a:endParaRPr lang="en-US"/>
        </a:p>
      </c:txPr>
    </c:legend>
    <c:plotVisOnly val="1"/>
    <c:dispBlanksAs val="gap"/>
    <c:showDLblsOverMax val="0"/>
  </c:chart>
  <c:spPr>
    <a:ln>
      <a:noFill/>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stacked"/>
        <c:varyColors val="0"/>
        <c:ser>
          <c:idx val="1"/>
          <c:order val="0"/>
          <c:tx>
            <c:strRef>
              <c:f>Cost!$U$3</c:f>
              <c:strCache>
                <c:ptCount val="1"/>
                <c:pt idx="0">
                  <c:v>Heating</c:v>
                </c:pt>
              </c:strCache>
            </c:strRef>
          </c:tx>
          <c:spPr>
            <a:solidFill>
              <a:srgbClr val="EE3524"/>
            </a:solidFill>
          </c:spPr>
          <c:invertIfNegative val="0"/>
          <c:cat>
            <c:strRef>
              <c:f>Cost!$S$6:$S$12</c:f>
              <c:strCache>
                <c:ptCount val="7"/>
                <c:pt idx="0">
                  <c:v> Proposed Design </c:v>
                </c:pt>
                <c:pt idx="1">
                  <c:v>   </c:v>
                </c:pt>
                <c:pt idx="2">
                  <c:v>   </c:v>
                </c:pt>
                <c:pt idx="3">
                  <c:v>   </c:v>
                </c:pt>
                <c:pt idx="4">
                  <c:v>   </c:v>
                </c:pt>
                <c:pt idx="5">
                  <c:v>   </c:v>
                </c:pt>
                <c:pt idx="6">
                  <c:v>   </c:v>
                </c:pt>
              </c:strCache>
            </c:strRef>
          </c:cat>
          <c:val>
            <c:numRef>
              <c:f>Cost!Cost_01</c:f>
              <c:numCache>
                <c:formatCode>_(* #,##0_);_(* \(#,##0\);_(* "-"??_);_(@_)</c:formatCode>
                <c:ptCount val="1"/>
                <c:pt idx="0">
                  <c:v>1393.2068344206273</c:v>
                </c:pt>
              </c:numCache>
            </c:numRef>
          </c:val>
          <c:extLst>
            <c:ext xmlns:c16="http://schemas.microsoft.com/office/drawing/2014/chart" uri="{C3380CC4-5D6E-409C-BE32-E72D297353CC}">
              <c16:uniqueId val="{00000000-4A36-4E44-BEE7-AA06DE09D9DE}"/>
            </c:ext>
          </c:extLst>
        </c:ser>
        <c:ser>
          <c:idx val="2"/>
          <c:order val="1"/>
          <c:tx>
            <c:strRef>
              <c:f>Cost!$V$3</c:f>
              <c:strCache>
                <c:ptCount val="1"/>
                <c:pt idx="0">
                  <c:v>Cooling</c:v>
                </c:pt>
              </c:strCache>
            </c:strRef>
          </c:tx>
          <c:spPr>
            <a:solidFill>
              <a:srgbClr val="00B4ED"/>
            </a:solidFill>
            <a:ln>
              <a:noFill/>
            </a:ln>
          </c:spPr>
          <c:invertIfNegative val="0"/>
          <c:cat>
            <c:strRef>
              <c:f>Cost!$S$6:$S$12</c:f>
              <c:strCache>
                <c:ptCount val="7"/>
                <c:pt idx="0">
                  <c:v> Proposed Design </c:v>
                </c:pt>
                <c:pt idx="1">
                  <c:v>   </c:v>
                </c:pt>
                <c:pt idx="2">
                  <c:v>   </c:v>
                </c:pt>
                <c:pt idx="3">
                  <c:v>   </c:v>
                </c:pt>
                <c:pt idx="4">
                  <c:v>   </c:v>
                </c:pt>
                <c:pt idx="5">
                  <c:v>   </c:v>
                </c:pt>
                <c:pt idx="6">
                  <c:v>   </c:v>
                </c:pt>
              </c:strCache>
            </c:strRef>
          </c:cat>
          <c:val>
            <c:numRef>
              <c:f>Cost!Cost_02</c:f>
              <c:numCache>
                <c:formatCode>_(* #,##0_);_(* \(#,##0\);_(* "-"??_);_(@_)</c:formatCode>
                <c:ptCount val="1"/>
                <c:pt idx="0">
                  <c:v>5192.4729442519947</c:v>
                </c:pt>
              </c:numCache>
            </c:numRef>
          </c:val>
          <c:extLst>
            <c:ext xmlns:c16="http://schemas.microsoft.com/office/drawing/2014/chart" uri="{C3380CC4-5D6E-409C-BE32-E72D297353CC}">
              <c16:uniqueId val="{00000001-4A36-4E44-BEE7-AA06DE09D9DE}"/>
            </c:ext>
          </c:extLst>
        </c:ser>
        <c:ser>
          <c:idx val="10"/>
          <c:order val="2"/>
          <c:tx>
            <c:strRef>
              <c:f>Cost!$W$3</c:f>
              <c:strCache>
                <c:ptCount val="1"/>
                <c:pt idx="0">
                  <c:v>Lighting</c:v>
                </c:pt>
              </c:strCache>
            </c:strRef>
          </c:tx>
          <c:spPr>
            <a:solidFill>
              <a:srgbClr val="FFD334"/>
            </a:solidFill>
          </c:spPr>
          <c:invertIfNegative val="0"/>
          <c:cat>
            <c:strRef>
              <c:f>Cost!$S$6:$S$12</c:f>
              <c:strCache>
                <c:ptCount val="7"/>
                <c:pt idx="0">
                  <c:v> Proposed Design </c:v>
                </c:pt>
                <c:pt idx="1">
                  <c:v>   </c:v>
                </c:pt>
                <c:pt idx="2">
                  <c:v>   </c:v>
                </c:pt>
                <c:pt idx="3">
                  <c:v>   </c:v>
                </c:pt>
                <c:pt idx="4">
                  <c:v>   </c:v>
                </c:pt>
                <c:pt idx="5">
                  <c:v>   </c:v>
                </c:pt>
                <c:pt idx="6">
                  <c:v>   </c:v>
                </c:pt>
              </c:strCache>
            </c:strRef>
          </c:cat>
          <c:val>
            <c:numRef>
              <c:f>Cost!Cost_03</c:f>
              <c:numCache>
                <c:formatCode>_(* #,##0_);_(* \(#,##0\);_(* "-"??_);_(@_)</c:formatCode>
                <c:ptCount val="1"/>
                <c:pt idx="0">
                  <c:v>5573.6953020684969</c:v>
                </c:pt>
              </c:numCache>
            </c:numRef>
          </c:val>
          <c:extLst>
            <c:ext xmlns:c16="http://schemas.microsoft.com/office/drawing/2014/chart" uri="{C3380CC4-5D6E-409C-BE32-E72D297353CC}">
              <c16:uniqueId val="{00000002-4A36-4E44-BEE7-AA06DE09D9DE}"/>
            </c:ext>
          </c:extLst>
        </c:ser>
        <c:ser>
          <c:idx val="3"/>
          <c:order val="4"/>
          <c:tx>
            <c:strRef>
              <c:f>Cost!$Y$3</c:f>
              <c:strCache>
                <c:ptCount val="1"/>
                <c:pt idx="0">
                  <c:v>Equipment</c:v>
                </c:pt>
              </c:strCache>
            </c:strRef>
          </c:tx>
          <c:spPr>
            <a:solidFill>
              <a:srgbClr val="E4E1DC"/>
            </a:solidFill>
          </c:spPr>
          <c:invertIfNegative val="0"/>
          <c:cat>
            <c:strRef>
              <c:f>Cost!$S$6:$S$12</c:f>
              <c:strCache>
                <c:ptCount val="7"/>
                <c:pt idx="0">
                  <c:v> Proposed Design </c:v>
                </c:pt>
                <c:pt idx="1">
                  <c:v>   </c:v>
                </c:pt>
                <c:pt idx="2">
                  <c:v>   </c:v>
                </c:pt>
                <c:pt idx="3">
                  <c:v>   </c:v>
                </c:pt>
                <c:pt idx="4">
                  <c:v>   </c:v>
                </c:pt>
                <c:pt idx="5">
                  <c:v>   </c:v>
                </c:pt>
                <c:pt idx="6">
                  <c:v>   </c:v>
                </c:pt>
              </c:strCache>
            </c:strRef>
          </c:cat>
          <c:val>
            <c:numRef>
              <c:f>Cost!Cost_05</c:f>
              <c:numCache>
                <c:formatCode>_(* #,##0_);_(* \(#,##0\);_(* "-"??_);_(@_)</c:formatCode>
                <c:ptCount val="1"/>
                <c:pt idx="0">
                  <c:v>6544.3274754259792</c:v>
                </c:pt>
              </c:numCache>
            </c:numRef>
          </c:val>
          <c:extLst>
            <c:ext xmlns:c16="http://schemas.microsoft.com/office/drawing/2014/chart" uri="{C3380CC4-5D6E-409C-BE32-E72D297353CC}">
              <c16:uniqueId val="{00000004-4A36-4E44-BEE7-AA06DE09D9DE}"/>
            </c:ext>
          </c:extLst>
        </c:ser>
        <c:ser>
          <c:idx val="4"/>
          <c:order val="6"/>
          <c:tx>
            <c:strRef>
              <c:f>Cost!$AA$3</c:f>
              <c:strCache>
                <c:ptCount val="1"/>
                <c:pt idx="0">
                  <c:v>Fans</c:v>
                </c:pt>
              </c:strCache>
            </c:strRef>
          </c:tx>
          <c:spPr>
            <a:solidFill>
              <a:srgbClr val="322110"/>
            </a:solidFill>
          </c:spPr>
          <c:invertIfNegative val="0"/>
          <c:cat>
            <c:strRef>
              <c:f>Cost!$S$6:$S$12</c:f>
              <c:strCache>
                <c:ptCount val="7"/>
                <c:pt idx="0">
                  <c:v> Proposed Design </c:v>
                </c:pt>
                <c:pt idx="1">
                  <c:v>   </c:v>
                </c:pt>
                <c:pt idx="2">
                  <c:v>   </c:v>
                </c:pt>
                <c:pt idx="3">
                  <c:v>   </c:v>
                </c:pt>
                <c:pt idx="4">
                  <c:v>   </c:v>
                </c:pt>
                <c:pt idx="5">
                  <c:v>   </c:v>
                </c:pt>
                <c:pt idx="6">
                  <c:v>   </c:v>
                </c:pt>
              </c:strCache>
            </c:strRef>
          </c:cat>
          <c:val>
            <c:numRef>
              <c:f>Cost!Cost_07</c:f>
              <c:numCache>
                <c:formatCode>_(* #,##0_);_(* \(#,##0\);_(* "-"??_);_(@_)</c:formatCode>
                <c:ptCount val="1"/>
                <c:pt idx="0">
                  <c:v>6352.2283575703223</c:v>
                </c:pt>
              </c:numCache>
            </c:numRef>
          </c:val>
          <c:extLst>
            <c:ext xmlns:c16="http://schemas.microsoft.com/office/drawing/2014/chart" uri="{C3380CC4-5D6E-409C-BE32-E72D297353CC}">
              <c16:uniqueId val="{00000006-4A36-4E44-BEE7-AA06DE09D9DE}"/>
            </c:ext>
          </c:extLst>
        </c:ser>
        <c:dLbls>
          <c:showLegendKey val="0"/>
          <c:showVal val="0"/>
          <c:showCatName val="0"/>
          <c:showSerName val="0"/>
          <c:showPercent val="0"/>
          <c:showBubbleSize val="0"/>
        </c:dLbls>
        <c:gapWidth val="150"/>
        <c:overlap val="100"/>
        <c:axId val="453735448"/>
        <c:axId val="453733880"/>
        <c:extLst>
          <c:ext xmlns:c15="http://schemas.microsoft.com/office/drawing/2012/chart" uri="{02D57815-91ED-43cb-92C2-25804820EDAC}">
            <c15:filteredBarSeries>
              <c15:ser>
                <c:idx val="0"/>
                <c:order val="3"/>
                <c:tx>
                  <c:strRef>
                    <c:extLst>
                      <c:ext uri="{02D57815-91ED-43cb-92C2-25804820EDAC}">
                        <c15:formulaRef>
                          <c15:sqref>Cost!$X$3</c15:sqref>
                        </c15:formulaRef>
                      </c:ext>
                    </c:extLst>
                    <c:strCache>
                      <c:ptCount val="1"/>
                      <c:pt idx="0">
                        <c:v>Exterior Lighting</c:v>
                      </c:pt>
                    </c:strCache>
                  </c:strRef>
                </c:tx>
                <c:spPr>
                  <a:solidFill>
                    <a:srgbClr val="F9A01B"/>
                  </a:solidFill>
                </c:spPr>
                <c:invertIfNegative val="0"/>
                <c:cat>
                  <c:strRef>
                    <c:extLst>
                      <c:ext uri="{02D57815-91ED-43cb-92C2-25804820EDAC}">
                        <c15:formulaRef>
                          <c15:sqref>Cost!$S$6:$S$12</c15:sqref>
                        </c15:formulaRef>
                      </c:ext>
                    </c:extLst>
                    <c:strCache>
                      <c:ptCount val="7"/>
                      <c:pt idx="0">
                        <c:v> Proposed Design </c:v>
                      </c:pt>
                      <c:pt idx="1">
                        <c:v>   </c:v>
                      </c:pt>
                      <c:pt idx="2">
                        <c:v>   </c:v>
                      </c:pt>
                      <c:pt idx="3">
                        <c:v>   </c:v>
                      </c:pt>
                      <c:pt idx="4">
                        <c:v>   </c:v>
                      </c:pt>
                      <c:pt idx="5">
                        <c:v>   </c:v>
                      </c:pt>
                      <c:pt idx="6">
                        <c:v>   </c:v>
                      </c:pt>
                    </c:strCache>
                  </c:strRef>
                </c:cat>
                <c:val>
                  <c:numRef>
                    <c:extLst>
                      <c:ext uri="{02D57815-91ED-43cb-92C2-25804820EDAC}">
                        <c15:formulaRef>
                          <c15:sqref>Cost!Cost_04</c15:sqref>
                        </c15:formulaRef>
                      </c:ext>
                    </c:extLst>
                    <c:numCache>
                      <c:formatCode>_(* #,##0_);_(* \(#,##0\);_(* "-"??_);_(@_)</c:formatCode>
                      <c:ptCount val="1"/>
                      <c:pt idx="0">
                        <c:v>0</c:v>
                      </c:pt>
                    </c:numCache>
                  </c:numRef>
                </c:val>
                <c:extLst>
                  <c:ext xmlns:c16="http://schemas.microsoft.com/office/drawing/2014/chart" uri="{C3380CC4-5D6E-409C-BE32-E72D297353CC}">
                    <c16:uniqueId val="{00000003-4A36-4E44-BEE7-AA06DE09D9DE}"/>
                  </c:ext>
                </c:extLst>
              </c15:ser>
            </c15:filteredBarSeries>
            <c15:filteredBarSeries>
              <c15:ser>
                <c:idx val="9"/>
                <c:order val="5"/>
                <c:tx>
                  <c:strRef>
                    <c:extLst>
                      <c:ext xmlns:c15="http://schemas.microsoft.com/office/drawing/2012/chart" uri="{02D57815-91ED-43cb-92C2-25804820EDAC}">
                        <c15:formulaRef>
                          <c15:sqref>Cost!$Z$3</c15:sqref>
                        </c15:formulaRef>
                      </c:ext>
                    </c:extLst>
                    <c:strCache>
                      <c:ptCount val="1"/>
                      <c:pt idx="0">
                        <c:v>Exterior Equipment</c:v>
                      </c:pt>
                    </c:strCache>
                  </c:strRef>
                </c:tx>
                <c:spPr>
                  <a:solidFill>
                    <a:srgbClr val="D4CFCB"/>
                  </a:solidFill>
                </c:spPr>
                <c:invertIfNegative val="0"/>
                <c:cat>
                  <c:strRef>
                    <c:extLst>
                      <c:ext xmlns:c15="http://schemas.microsoft.com/office/drawing/2012/chart" uri="{02D57815-91ED-43cb-92C2-25804820EDAC}">
                        <c15:formulaRef>
                          <c15:sqref>Cost!$S$6:$S$12</c15:sqref>
                        </c15:formulaRef>
                      </c:ext>
                    </c:extLst>
                    <c:strCache>
                      <c:ptCount val="7"/>
                      <c:pt idx="0">
                        <c:v> Proposed Design </c:v>
                      </c:pt>
                      <c:pt idx="1">
                        <c:v>   </c:v>
                      </c:pt>
                      <c:pt idx="2">
                        <c:v>   </c:v>
                      </c:pt>
                      <c:pt idx="3">
                        <c:v>   </c:v>
                      </c:pt>
                      <c:pt idx="4">
                        <c:v>   </c:v>
                      </c:pt>
                      <c:pt idx="5">
                        <c:v>   </c:v>
                      </c:pt>
                      <c:pt idx="6">
                        <c:v>   </c:v>
                      </c:pt>
                    </c:strCache>
                  </c:strRef>
                </c:cat>
                <c:val>
                  <c:numRef>
                    <c:extLst>
                      <c:ext xmlns:c15="http://schemas.microsoft.com/office/drawing/2012/chart" uri="{02D57815-91ED-43cb-92C2-25804820EDAC}">
                        <c15:formulaRef>
                          <c15:sqref>Cost!Cost_06</c15:sqref>
                        </c15:formulaRef>
                      </c:ext>
                    </c:extLst>
                    <c:numCache>
                      <c:formatCode>_(* #,##0_);_(* \(#,##0\);_(* "-"??_);_(@_)</c:formatCode>
                      <c:ptCount val="1"/>
                      <c:pt idx="0">
                        <c:v>0</c:v>
                      </c:pt>
                    </c:numCache>
                  </c:numRef>
                </c:val>
                <c:extLst>
                  <c:ext xmlns:c16="http://schemas.microsoft.com/office/drawing/2014/chart" uri="{C3380CC4-5D6E-409C-BE32-E72D297353CC}">
                    <c16:uniqueId val="{00000005-4A36-4E44-BEE7-AA06DE09D9DE}"/>
                  </c:ext>
                </c:extLst>
              </c15:ser>
            </c15:filteredBarSeries>
            <c15:filteredBarSeries>
              <c15:ser>
                <c:idx val="5"/>
                <c:order val="7"/>
                <c:tx>
                  <c:strRef>
                    <c:extLst>
                      <c:ext xmlns:c15="http://schemas.microsoft.com/office/drawing/2012/chart" uri="{02D57815-91ED-43cb-92C2-25804820EDAC}">
                        <c15:formulaRef>
                          <c15:sqref>Cost!$AB$3</c15:sqref>
                        </c15:formulaRef>
                      </c:ext>
                    </c:extLst>
                    <c:strCache>
                      <c:ptCount val="1"/>
                      <c:pt idx="0">
                        <c:v>Pumps</c:v>
                      </c:pt>
                    </c:strCache>
                  </c:strRef>
                </c:tx>
                <c:spPr>
                  <a:solidFill>
                    <a:srgbClr val="4E4540"/>
                  </a:solidFill>
                </c:spPr>
                <c:invertIfNegative val="0"/>
                <c:cat>
                  <c:strRef>
                    <c:extLst>
                      <c:ext xmlns:c15="http://schemas.microsoft.com/office/drawing/2012/chart" uri="{02D57815-91ED-43cb-92C2-25804820EDAC}">
                        <c15:formulaRef>
                          <c15:sqref>Cost!$S$6:$S$12</c15:sqref>
                        </c15:formulaRef>
                      </c:ext>
                    </c:extLst>
                    <c:strCache>
                      <c:ptCount val="7"/>
                      <c:pt idx="0">
                        <c:v> Proposed Design </c:v>
                      </c:pt>
                      <c:pt idx="1">
                        <c:v>   </c:v>
                      </c:pt>
                      <c:pt idx="2">
                        <c:v>   </c:v>
                      </c:pt>
                      <c:pt idx="3">
                        <c:v>   </c:v>
                      </c:pt>
                      <c:pt idx="4">
                        <c:v>   </c:v>
                      </c:pt>
                      <c:pt idx="5">
                        <c:v>   </c:v>
                      </c:pt>
                      <c:pt idx="6">
                        <c:v>   </c:v>
                      </c:pt>
                    </c:strCache>
                  </c:strRef>
                </c:cat>
                <c:val>
                  <c:numRef>
                    <c:extLst>
                      <c:ext xmlns:c15="http://schemas.microsoft.com/office/drawing/2012/chart" uri="{02D57815-91ED-43cb-92C2-25804820EDAC}">
                        <c15:formulaRef>
                          <c15:sqref>Cost!Cost_08</c15:sqref>
                        </c15:formulaRef>
                      </c:ext>
                    </c:extLst>
                    <c:numCache>
                      <c:formatCode>_(* #,##0_);_(* \(#,##0\);_(* "-"??_);_(@_)</c:formatCode>
                      <c:ptCount val="1"/>
                      <c:pt idx="0">
                        <c:v>0</c:v>
                      </c:pt>
                    </c:numCache>
                  </c:numRef>
                </c:val>
                <c:extLst>
                  <c:ext xmlns:c16="http://schemas.microsoft.com/office/drawing/2014/chart" uri="{C3380CC4-5D6E-409C-BE32-E72D297353CC}">
                    <c16:uniqueId val="{00000007-4A36-4E44-BEE7-AA06DE09D9DE}"/>
                  </c:ext>
                </c:extLst>
              </c15:ser>
            </c15:filteredBarSeries>
            <c15:filteredBarSeries>
              <c15:ser>
                <c:idx val="8"/>
                <c:order val="8"/>
                <c:tx>
                  <c:strRef>
                    <c:extLst>
                      <c:ext xmlns:c15="http://schemas.microsoft.com/office/drawing/2012/chart" uri="{02D57815-91ED-43cb-92C2-25804820EDAC}">
                        <c15:formulaRef>
                          <c15:sqref>Cost!$AC$3</c15:sqref>
                        </c15:formulaRef>
                      </c:ext>
                    </c:extLst>
                    <c:strCache>
                      <c:ptCount val="1"/>
                      <c:pt idx="0">
                        <c:v>Heat Rejection</c:v>
                      </c:pt>
                    </c:strCache>
                  </c:strRef>
                </c:tx>
                <c:spPr>
                  <a:solidFill>
                    <a:srgbClr val="F05D77"/>
                  </a:solidFill>
                </c:spPr>
                <c:invertIfNegative val="0"/>
                <c:cat>
                  <c:strRef>
                    <c:extLst>
                      <c:ext xmlns:c15="http://schemas.microsoft.com/office/drawing/2012/chart" uri="{02D57815-91ED-43cb-92C2-25804820EDAC}">
                        <c15:formulaRef>
                          <c15:sqref>Cost!$S$6:$S$12</c15:sqref>
                        </c15:formulaRef>
                      </c:ext>
                    </c:extLst>
                    <c:strCache>
                      <c:ptCount val="7"/>
                      <c:pt idx="0">
                        <c:v> Proposed Design </c:v>
                      </c:pt>
                      <c:pt idx="1">
                        <c:v>   </c:v>
                      </c:pt>
                      <c:pt idx="2">
                        <c:v>   </c:v>
                      </c:pt>
                      <c:pt idx="3">
                        <c:v>   </c:v>
                      </c:pt>
                      <c:pt idx="4">
                        <c:v>   </c:v>
                      </c:pt>
                      <c:pt idx="5">
                        <c:v>   </c:v>
                      </c:pt>
                      <c:pt idx="6">
                        <c:v>   </c:v>
                      </c:pt>
                    </c:strCache>
                  </c:strRef>
                </c:cat>
                <c:val>
                  <c:numRef>
                    <c:extLst>
                      <c:ext xmlns:c15="http://schemas.microsoft.com/office/drawing/2012/chart" uri="{02D57815-91ED-43cb-92C2-25804820EDAC}">
                        <c15:formulaRef>
                          <c15:sqref>Cost!Cost_09</c15:sqref>
                        </c15:formulaRef>
                      </c:ext>
                    </c:extLst>
                    <c:numCache>
                      <c:formatCode>_(* #,##0_);_(* \(#,##0\);_(* "-"??_);_(@_)</c:formatCode>
                      <c:ptCount val="1"/>
                      <c:pt idx="0">
                        <c:v>0</c:v>
                      </c:pt>
                    </c:numCache>
                  </c:numRef>
                </c:val>
                <c:extLst>
                  <c:ext xmlns:c16="http://schemas.microsoft.com/office/drawing/2014/chart" uri="{C3380CC4-5D6E-409C-BE32-E72D297353CC}">
                    <c16:uniqueId val="{00000008-4A36-4E44-BEE7-AA06DE09D9DE}"/>
                  </c:ext>
                </c:extLst>
              </c15:ser>
            </c15:filteredBarSeries>
            <c15:filteredBarSeries>
              <c15:ser>
                <c:idx val="7"/>
                <c:order val="9"/>
                <c:tx>
                  <c:strRef>
                    <c:extLst xmlns:c15="http://schemas.microsoft.com/office/drawing/2012/chart">
                      <c:ext xmlns:c15="http://schemas.microsoft.com/office/drawing/2012/chart" uri="{02D57815-91ED-43cb-92C2-25804820EDAC}">
                        <c15:formulaRef>
                          <c15:sqref>Cost!$AD$3</c15:sqref>
                        </c15:formulaRef>
                      </c:ext>
                    </c:extLst>
                    <c:strCache>
                      <c:ptCount val="1"/>
                      <c:pt idx="0">
                        <c:v>Humidification</c:v>
                      </c:pt>
                    </c:strCache>
                  </c:strRef>
                </c:tx>
                <c:spPr>
                  <a:solidFill>
                    <a:srgbClr val="0058A4"/>
                  </a:solidFill>
                </c:spPr>
                <c:invertIfNegative val="0"/>
                <c:cat>
                  <c:strRef>
                    <c:extLst xmlns:c15="http://schemas.microsoft.com/office/drawing/2012/chart">
                      <c:ext xmlns:c15="http://schemas.microsoft.com/office/drawing/2012/chart" uri="{02D57815-91ED-43cb-92C2-25804820EDAC}">
                        <c15:formulaRef>
                          <c15:sqref>Cost!$S$6:$S$12</c15:sqref>
                        </c15:formulaRef>
                      </c:ext>
                    </c:extLst>
                    <c:strCache>
                      <c:ptCount val="7"/>
                      <c:pt idx="0">
                        <c:v> Proposed Design </c:v>
                      </c:pt>
                      <c:pt idx="1">
                        <c:v>   </c:v>
                      </c:pt>
                      <c:pt idx="2">
                        <c:v>   </c:v>
                      </c:pt>
                      <c:pt idx="3">
                        <c:v>   </c:v>
                      </c:pt>
                      <c:pt idx="4">
                        <c:v>   </c:v>
                      </c:pt>
                      <c:pt idx="5">
                        <c:v>   </c:v>
                      </c:pt>
                      <c:pt idx="6">
                        <c:v>   </c:v>
                      </c:pt>
                    </c:strCache>
                  </c:strRef>
                </c:cat>
                <c:val>
                  <c:numRef>
                    <c:extLst xmlns:c15="http://schemas.microsoft.com/office/drawing/2012/chart">
                      <c:ext xmlns:c15="http://schemas.microsoft.com/office/drawing/2012/chart" uri="{02D57815-91ED-43cb-92C2-25804820EDAC}">
                        <c15:formulaRef>
                          <c15:sqref>Cost!Cost_10</c15:sqref>
                        </c15:formulaRef>
                      </c:ext>
                    </c:extLst>
                    <c:numCache>
                      <c:formatCode>_(* #,##0_);_(* \(#,##0\);_(* "-"??_);_(@_)</c:formatCode>
                      <c:ptCount val="1"/>
                      <c:pt idx="0">
                        <c:v>0</c:v>
                      </c:pt>
                    </c:numCache>
                  </c:numRef>
                </c:val>
                <c:extLst xmlns:c15="http://schemas.microsoft.com/office/drawing/2012/chart">
                  <c:ext xmlns:c16="http://schemas.microsoft.com/office/drawing/2014/chart" uri="{C3380CC4-5D6E-409C-BE32-E72D297353CC}">
                    <c16:uniqueId val="{00000009-4A36-4E44-BEE7-AA06DE09D9DE}"/>
                  </c:ext>
                </c:extLst>
              </c15:ser>
            </c15:filteredBarSeries>
            <c15:filteredBarSeries>
              <c15:ser>
                <c:idx val="19"/>
                <c:order val="10"/>
                <c:tx>
                  <c:strRef>
                    <c:extLst xmlns:c15="http://schemas.microsoft.com/office/drawing/2012/chart">
                      <c:ext xmlns:c15="http://schemas.microsoft.com/office/drawing/2012/chart" uri="{02D57815-91ED-43cb-92C2-25804820EDAC}">
                        <c15:formulaRef>
                          <c15:sqref>Cost!$AE$3</c15:sqref>
                        </c15:formulaRef>
                      </c:ext>
                    </c:extLst>
                    <c:strCache>
                      <c:ptCount val="1"/>
                      <c:pt idx="0">
                        <c:v>Heat Recovery</c:v>
                      </c:pt>
                    </c:strCache>
                  </c:strRef>
                </c:tx>
                <c:spPr>
                  <a:solidFill>
                    <a:srgbClr val="F8B1AA"/>
                  </a:solidFill>
                </c:spPr>
                <c:invertIfNegative val="0"/>
                <c:cat>
                  <c:strRef>
                    <c:extLst xmlns:c15="http://schemas.microsoft.com/office/drawing/2012/chart">
                      <c:ext xmlns:c15="http://schemas.microsoft.com/office/drawing/2012/chart" uri="{02D57815-91ED-43cb-92C2-25804820EDAC}">
                        <c15:formulaRef>
                          <c15:sqref>Cost!$S$6:$S$12</c15:sqref>
                        </c15:formulaRef>
                      </c:ext>
                    </c:extLst>
                    <c:strCache>
                      <c:ptCount val="7"/>
                      <c:pt idx="0">
                        <c:v> Proposed Design </c:v>
                      </c:pt>
                      <c:pt idx="1">
                        <c:v>   </c:v>
                      </c:pt>
                      <c:pt idx="2">
                        <c:v>   </c:v>
                      </c:pt>
                      <c:pt idx="3">
                        <c:v>   </c:v>
                      </c:pt>
                      <c:pt idx="4">
                        <c:v>   </c:v>
                      </c:pt>
                      <c:pt idx="5">
                        <c:v>   </c:v>
                      </c:pt>
                      <c:pt idx="6">
                        <c:v>   </c:v>
                      </c:pt>
                    </c:strCache>
                  </c:strRef>
                </c:cat>
                <c:val>
                  <c:numRef>
                    <c:extLst xmlns:c15="http://schemas.microsoft.com/office/drawing/2012/chart">
                      <c:ext xmlns:c15="http://schemas.microsoft.com/office/drawing/2012/chart" uri="{02D57815-91ED-43cb-92C2-25804820EDAC}">
                        <c15:formulaRef>
                          <c15:sqref>Cost!Cost_11</c15:sqref>
                        </c15:formulaRef>
                      </c:ext>
                    </c:extLst>
                    <c:numCache>
                      <c:formatCode>_(* #,##0_);_(* \(#,##0\);_(* "-"??_);_(@_)</c:formatCode>
                      <c:ptCount val="1"/>
                      <c:pt idx="0">
                        <c:v>0</c:v>
                      </c:pt>
                    </c:numCache>
                  </c:numRef>
                </c:val>
                <c:extLst xmlns:c15="http://schemas.microsoft.com/office/drawing/2012/chart">
                  <c:ext xmlns:c16="http://schemas.microsoft.com/office/drawing/2014/chart" uri="{C3380CC4-5D6E-409C-BE32-E72D297353CC}">
                    <c16:uniqueId val="{0000000A-4A36-4E44-BEE7-AA06DE09D9DE}"/>
                  </c:ext>
                </c:extLst>
              </c15:ser>
            </c15:filteredBarSeries>
            <c15:filteredBarSeries>
              <c15:ser>
                <c:idx val="14"/>
                <c:order val="11"/>
                <c:tx>
                  <c:strRef>
                    <c:extLst>
                      <c:ext xmlns:c15="http://schemas.microsoft.com/office/drawing/2012/chart" uri="{02D57815-91ED-43cb-92C2-25804820EDAC}">
                        <c15:formulaRef>
                          <c15:sqref>Cost!$AF$3</c15:sqref>
                        </c15:formulaRef>
                      </c:ext>
                    </c:extLst>
                    <c:strCache>
                      <c:ptCount val="1"/>
                      <c:pt idx="0">
                        <c:v>Water Systems</c:v>
                      </c:pt>
                    </c:strCache>
                  </c:strRef>
                </c:tx>
                <c:spPr>
                  <a:solidFill>
                    <a:srgbClr val="A71C0D"/>
                  </a:solidFill>
                </c:spPr>
                <c:invertIfNegative val="0"/>
                <c:cat>
                  <c:strRef>
                    <c:extLst>
                      <c:ext xmlns:c15="http://schemas.microsoft.com/office/drawing/2012/chart" uri="{02D57815-91ED-43cb-92C2-25804820EDAC}">
                        <c15:formulaRef>
                          <c15:sqref>Cost!$S$6:$S$12</c15:sqref>
                        </c15:formulaRef>
                      </c:ext>
                    </c:extLst>
                    <c:strCache>
                      <c:ptCount val="7"/>
                      <c:pt idx="0">
                        <c:v> Proposed Design </c:v>
                      </c:pt>
                      <c:pt idx="1">
                        <c:v>   </c:v>
                      </c:pt>
                      <c:pt idx="2">
                        <c:v>   </c:v>
                      </c:pt>
                      <c:pt idx="3">
                        <c:v>   </c:v>
                      </c:pt>
                      <c:pt idx="4">
                        <c:v>   </c:v>
                      </c:pt>
                      <c:pt idx="5">
                        <c:v>   </c:v>
                      </c:pt>
                      <c:pt idx="6">
                        <c:v>   </c:v>
                      </c:pt>
                    </c:strCache>
                  </c:strRef>
                </c:cat>
                <c:val>
                  <c:numRef>
                    <c:extLst>
                      <c:ext xmlns:c15="http://schemas.microsoft.com/office/drawing/2012/chart" uri="{02D57815-91ED-43cb-92C2-25804820EDAC}">
                        <c15:formulaRef>
                          <c15:sqref>Cost!Cost_12</c15:sqref>
                        </c15:formulaRef>
                      </c:ext>
                    </c:extLst>
                    <c:numCache>
                      <c:formatCode>_(* #,##0_);_(* \(#,##0\);_(* "-"??_);_(@_)</c:formatCode>
                      <c:ptCount val="1"/>
                      <c:pt idx="0">
                        <c:v>0</c:v>
                      </c:pt>
                    </c:numCache>
                  </c:numRef>
                </c:val>
                <c:extLst xmlns:c15="http://schemas.microsoft.com/office/drawing/2012/chart">
                  <c:ext xmlns:c16="http://schemas.microsoft.com/office/drawing/2014/chart" uri="{C3380CC4-5D6E-409C-BE32-E72D297353CC}">
                    <c16:uniqueId val="{0000000B-4A36-4E44-BEE7-AA06DE09D9DE}"/>
                  </c:ext>
                </c:extLst>
              </c15:ser>
            </c15:filteredBarSeries>
            <c15:filteredBarSeries>
              <c15:ser>
                <c:idx val="15"/>
                <c:order val="12"/>
                <c:tx>
                  <c:strRef>
                    <c:extLst xmlns:c15="http://schemas.microsoft.com/office/drawing/2012/chart">
                      <c:ext xmlns:c15="http://schemas.microsoft.com/office/drawing/2012/chart" uri="{02D57815-91ED-43cb-92C2-25804820EDAC}">
                        <c15:formulaRef>
                          <c15:sqref>Cost!$AG$3</c15:sqref>
                        </c15:formulaRef>
                      </c:ext>
                    </c:extLst>
                    <c:strCache>
                      <c:ptCount val="1"/>
                      <c:pt idx="0">
                        <c:v>Refrigeration</c:v>
                      </c:pt>
                    </c:strCache>
                  </c:strRef>
                </c:tx>
                <c:spPr>
                  <a:solidFill>
                    <a:srgbClr val="A1ABB2"/>
                  </a:solidFill>
                </c:spPr>
                <c:invertIfNegative val="0"/>
                <c:cat>
                  <c:strRef>
                    <c:extLst xmlns:c15="http://schemas.microsoft.com/office/drawing/2012/chart">
                      <c:ext xmlns:c15="http://schemas.microsoft.com/office/drawing/2012/chart" uri="{02D57815-91ED-43cb-92C2-25804820EDAC}">
                        <c15:formulaRef>
                          <c15:sqref>Cost!$S$6:$S$12</c15:sqref>
                        </c15:formulaRef>
                      </c:ext>
                    </c:extLst>
                    <c:strCache>
                      <c:ptCount val="7"/>
                      <c:pt idx="0">
                        <c:v> Proposed Design </c:v>
                      </c:pt>
                      <c:pt idx="1">
                        <c:v>   </c:v>
                      </c:pt>
                      <c:pt idx="2">
                        <c:v>   </c:v>
                      </c:pt>
                      <c:pt idx="3">
                        <c:v>   </c:v>
                      </c:pt>
                      <c:pt idx="4">
                        <c:v>   </c:v>
                      </c:pt>
                      <c:pt idx="5">
                        <c:v>   </c:v>
                      </c:pt>
                      <c:pt idx="6">
                        <c:v>   </c:v>
                      </c:pt>
                    </c:strCache>
                  </c:strRef>
                </c:cat>
                <c:val>
                  <c:numRef>
                    <c:extLst xmlns:c15="http://schemas.microsoft.com/office/drawing/2012/chart">
                      <c:ext xmlns:c15="http://schemas.microsoft.com/office/drawing/2012/chart" uri="{02D57815-91ED-43cb-92C2-25804820EDAC}">
                        <c15:formulaRef>
                          <c15:sqref>Cost!Cost_13</c15:sqref>
                        </c15:formulaRef>
                      </c:ext>
                    </c:extLst>
                    <c:numCache>
                      <c:formatCode>_(* #,##0_);_(* \(#,##0\);_(* "-"??_);_(@_)</c:formatCode>
                      <c:ptCount val="1"/>
                      <c:pt idx="0">
                        <c:v>0</c:v>
                      </c:pt>
                    </c:numCache>
                  </c:numRef>
                </c:val>
                <c:extLst xmlns:c15="http://schemas.microsoft.com/office/drawing/2012/chart">
                  <c:ext xmlns:c16="http://schemas.microsoft.com/office/drawing/2014/chart" uri="{C3380CC4-5D6E-409C-BE32-E72D297353CC}">
                    <c16:uniqueId val="{0000000C-4A36-4E44-BEE7-AA06DE09D9DE}"/>
                  </c:ext>
                </c:extLst>
              </c15:ser>
            </c15:filteredBarSeries>
            <c15:filteredBarSeries>
              <c15:ser>
                <c:idx val="11"/>
                <c:order val="13"/>
                <c:tx>
                  <c:strRef>
                    <c:extLst xmlns:c15="http://schemas.microsoft.com/office/drawing/2012/chart">
                      <c:ext xmlns:c15="http://schemas.microsoft.com/office/drawing/2012/chart" uri="{02D57815-91ED-43cb-92C2-25804820EDAC}">
                        <c15:formulaRef>
                          <c15:sqref>Cost!$AH$3</c15:sqref>
                        </c15:formulaRef>
                      </c:ext>
                    </c:extLst>
                    <c:strCache>
                      <c:ptCount val="1"/>
                      <c:pt idx="0">
                        <c:v>Generators</c:v>
                      </c:pt>
                    </c:strCache>
                  </c:strRef>
                </c:tx>
                <c:spPr>
                  <a:solidFill>
                    <a:srgbClr val="A1ABB2"/>
                  </a:solidFill>
                </c:spPr>
                <c:invertIfNegative val="0"/>
                <c:cat>
                  <c:strRef>
                    <c:extLst xmlns:c15="http://schemas.microsoft.com/office/drawing/2012/chart">
                      <c:ext xmlns:c15="http://schemas.microsoft.com/office/drawing/2012/chart" uri="{02D57815-91ED-43cb-92C2-25804820EDAC}">
                        <c15:formulaRef>
                          <c15:sqref>Cost!$S$6:$S$12</c15:sqref>
                        </c15:formulaRef>
                      </c:ext>
                    </c:extLst>
                    <c:strCache>
                      <c:ptCount val="7"/>
                      <c:pt idx="0">
                        <c:v> Proposed Design </c:v>
                      </c:pt>
                      <c:pt idx="1">
                        <c:v>   </c:v>
                      </c:pt>
                      <c:pt idx="2">
                        <c:v>   </c:v>
                      </c:pt>
                      <c:pt idx="3">
                        <c:v>   </c:v>
                      </c:pt>
                      <c:pt idx="4">
                        <c:v>   </c:v>
                      </c:pt>
                      <c:pt idx="5">
                        <c:v>   </c:v>
                      </c:pt>
                      <c:pt idx="6">
                        <c:v>   </c:v>
                      </c:pt>
                    </c:strCache>
                  </c:strRef>
                </c:cat>
                <c:val>
                  <c:numRef>
                    <c:extLst xmlns:c15="http://schemas.microsoft.com/office/drawing/2012/chart">
                      <c:ext xmlns:c15="http://schemas.microsoft.com/office/drawing/2012/chart" uri="{02D57815-91ED-43cb-92C2-25804820EDAC}">
                        <c15:formulaRef>
                          <c15:sqref>Cost!Cost_14</c15:sqref>
                        </c15:formulaRef>
                      </c:ext>
                    </c:extLst>
                    <c:numCache>
                      <c:formatCode>_(* #,##0_);_(* \(#,##0\);_(* "-"??_);_(@_)</c:formatCode>
                      <c:ptCount val="1"/>
                      <c:pt idx="0">
                        <c:v>0</c:v>
                      </c:pt>
                    </c:numCache>
                  </c:numRef>
                </c:val>
                <c:extLst xmlns:c15="http://schemas.microsoft.com/office/drawing/2012/chart">
                  <c:ext xmlns:c16="http://schemas.microsoft.com/office/drawing/2014/chart" uri="{C3380CC4-5D6E-409C-BE32-E72D297353CC}">
                    <c16:uniqueId val="{0000000F-4A36-4E44-BEE7-AA06DE09D9DE}"/>
                  </c:ext>
                </c:extLst>
              </c15:ser>
            </c15:filteredBarSeries>
            <c15:filteredBarSeries>
              <c15:ser>
                <c:idx val="16"/>
                <c:order val="14"/>
                <c:tx>
                  <c:strRef>
                    <c:extLst xmlns:c15="http://schemas.microsoft.com/office/drawing/2012/chart">
                      <c:ext xmlns:c15="http://schemas.microsoft.com/office/drawing/2012/chart" uri="{02D57815-91ED-43cb-92C2-25804820EDAC}">
                        <c15:formulaRef>
                          <c15:sqref>Cost!$AI$3</c15:sqref>
                        </c15:formulaRef>
                      </c:ext>
                    </c:extLst>
                    <c:strCache>
                      <c:ptCount val="1"/>
                      <c:pt idx="0">
                        <c:v> </c:v>
                      </c:pt>
                    </c:strCache>
                  </c:strRef>
                </c:tx>
                <c:invertIfNegative val="0"/>
                <c:cat>
                  <c:strRef>
                    <c:extLst xmlns:c15="http://schemas.microsoft.com/office/drawing/2012/chart">
                      <c:ext xmlns:c15="http://schemas.microsoft.com/office/drawing/2012/chart" uri="{02D57815-91ED-43cb-92C2-25804820EDAC}">
                        <c15:formulaRef>
                          <c15:sqref>Cost!$S$6:$S$12</c15:sqref>
                        </c15:formulaRef>
                      </c:ext>
                    </c:extLst>
                    <c:strCache>
                      <c:ptCount val="7"/>
                      <c:pt idx="0">
                        <c:v> Proposed Design </c:v>
                      </c:pt>
                      <c:pt idx="1">
                        <c:v>   </c:v>
                      </c:pt>
                      <c:pt idx="2">
                        <c:v>   </c:v>
                      </c:pt>
                      <c:pt idx="3">
                        <c:v>   </c:v>
                      </c:pt>
                      <c:pt idx="4">
                        <c:v>   </c:v>
                      </c:pt>
                      <c:pt idx="5">
                        <c:v>   </c:v>
                      </c:pt>
                      <c:pt idx="6">
                        <c:v>   </c:v>
                      </c:pt>
                    </c:strCache>
                  </c:strRef>
                </c:cat>
                <c:val>
                  <c:numRef>
                    <c:extLst xmlns:c15="http://schemas.microsoft.com/office/drawing/2012/chart">
                      <c:ext xmlns:c15="http://schemas.microsoft.com/office/drawing/2012/chart" uri="{02D57815-91ED-43cb-92C2-25804820EDAC}">
                        <c15:formulaRef>
                          <c15:sqref>Cost!Cost_15</c15:sqref>
                        </c15:formulaRef>
                      </c:ext>
                    </c:extLst>
                    <c:numCache>
                      <c:formatCode>_(* #,##0_);_(* \(#,##0\);_(* "-"??_);_(@_)</c:formatCode>
                      <c:ptCount val="1"/>
                      <c:pt idx="0">
                        <c:v>0</c:v>
                      </c:pt>
                    </c:numCache>
                  </c:numRef>
                </c:val>
                <c:extLst xmlns:c15="http://schemas.microsoft.com/office/drawing/2012/chart">
                  <c:ext xmlns:c16="http://schemas.microsoft.com/office/drawing/2014/chart" uri="{C3380CC4-5D6E-409C-BE32-E72D297353CC}">
                    <c16:uniqueId val="{00000012-4A36-4E44-BEE7-AA06DE09D9DE}"/>
                  </c:ext>
                </c:extLst>
              </c15:ser>
            </c15:filteredBarSeries>
            <c15:filteredBarSeries>
              <c15:ser>
                <c:idx val="18"/>
                <c:order val="15"/>
                <c:tx>
                  <c:strRef>
                    <c:extLst xmlns:c15="http://schemas.microsoft.com/office/drawing/2012/chart">
                      <c:ext xmlns:c15="http://schemas.microsoft.com/office/drawing/2012/chart" uri="{02D57815-91ED-43cb-92C2-25804820EDAC}">
                        <c15:formulaRef>
                          <c15:sqref>Cost!$AJ$3</c15:sqref>
                        </c15:formulaRef>
                      </c:ext>
                    </c:extLst>
                    <c:strCache>
                      <c:ptCount val="1"/>
                      <c:pt idx="0">
                        <c:v> </c:v>
                      </c:pt>
                    </c:strCache>
                  </c:strRef>
                </c:tx>
                <c:spPr>
                  <a:solidFill>
                    <a:srgbClr val="3C393C"/>
                  </a:solidFill>
                </c:spPr>
                <c:invertIfNegative val="0"/>
                <c:cat>
                  <c:strRef>
                    <c:extLst xmlns:c15="http://schemas.microsoft.com/office/drawing/2012/chart">
                      <c:ext xmlns:c15="http://schemas.microsoft.com/office/drawing/2012/chart" uri="{02D57815-91ED-43cb-92C2-25804820EDAC}">
                        <c15:formulaRef>
                          <c15:sqref>Cost!$S$6:$S$12</c15:sqref>
                        </c15:formulaRef>
                      </c:ext>
                    </c:extLst>
                    <c:strCache>
                      <c:ptCount val="7"/>
                      <c:pt idx="0">
                        <c:v> Proposed Design </c:v>
                      </c:pt>
                      <c:pt idx="1">
                        <c:v>   </c:v>
                      </c:pt>
                      <c:pt idx="2">
                        <c:v>   </c:v>
                      </c:pt>
                      <c:pt idx="3">
                        <c:v>   </c:v>
                      </c:pt>
                      <c:pt idx="4">
                        <c:v>   </c:v>
                      </c:pt>
                      <c:pt idx="5">
                        <c:v>   </c:v>
                      </c:pt>
                      <c:pt idx="6">
                        <c:v>   </c:v>
                      </c:pt>
                    </c:strCache>
                  </c:strRef>
                </c:cat>
                <c:val>
                  <c:numRef>
                    <c:extLst xmlns:c15="http://schemas.microsoft.com/office/drawing/2012/chart">
                      <c:ext xmlns:c15="http://schemas.microsoft.com/office/drawing/2012/chart" uri="{02D57815-91ED-43cb-92C2-25804820EDAC}">
                        <c15:formulaRef>
                          <c15:sqref>Cost!Cost_16</c15:sqref>
                        </c15:formulaRef>
                      </c:ext>
                    </c:extLst>
                    <c:numCache>
                      <c:formatCode>_(* #,##0_);_(* \(#,##0\);_(* "-"??_);_(@_)</c:formatCode>
                      <c:ptCount val="1"/>
                      <c:pt idx="0">
                        <c:v>0</c:v>
                      </c:pt>
                    </c:numCache>
                  </c:numRef>
                </c:val>
                <c:extLst xmlns:c15="http://schemas.microsoft.com/office/drawing/2012/chart">
                  <c:ext xmlns:c16="http://schemas.microsoft.com/office/drawing/2014/chart" uri="{C3380CC4-5D6E-409C-BE32-E72D297353CC}">
                    <c16:uniqueId val="{00000013-4A36-4E44-BEE7-AA06DE09D9DE}"/>
                  </c:ext>
                </c:extLst>
              </c15:ser>
            </c15:filteredBarSeries>
            <c15:filteredBarSeries>
              <c15:ser>
                <c:idx val="17"/>
                <c:order val="16"/>
                <c:tx>
                  <c:strRef>
                    <c:extLst xmlns:c15="http://schemas.microsoft.com/office/drawing/2012/chart">
                      <c:ext xmlns:c15="http://schemas.microsoft.com/office/drawing/2012/chart" uri="{02D57815-91ED-43cb-92C2-25804820EDAC}">
                        <c15:formulaRef>
                          <c15:sqref>Cost!$AK$3</c15:sqref>
                        </c15:formulaRef>
                      </c:ext>
                    </c:extLst>
                    <c:strCache>
                      <c:ptCount val="1"/>
                      <c:pt idx="0">
                        <c:v>Uncertainty</c:v>
                      </c:pt>
                    </c:strCache>
                  </c:strRef>
                </c:tx>
                <c:spPr>
                  <a:noFill/>
                  <a:ln w="12700">
                    <a:solidFill>
                      <a:schemeClr val="bg1">
                        <a:lumMod val="50000"/>
                      </a:schemeClr>
                    </a:solidFill>
                    <a:prstDash val="dash"/>
                  </a:ln>
                </c:spPr>
                <c:invertIfNegative val="0"/>
                <c:cat>
                  <c:strRef>
                    <c:extLst xmlns:c15="http://schemas.microsoft.com/office/drawing/2012/chart">
                      <c:ext xmlns:c15="http://schemas.microsoft.com/office/drawing/2012/chart" uri="{02D57815-91ED-43cb-92C2-25804820EDAC}">
                        <c15:formulaRef>
                          <c15:sqref>Cost!$S$6:$S$12</c15:sqref>
                        </c15:formulaRef>
                      </c:ext>
                    </c:extLst>
                    <c:strCache>
                      <c:ptCount val="7"/>
                      <c:pt idx="0">
                        <c:v> Proposed Design </c:v>
                      </c:pt>
                      <c:pt idx="1">
                        <c:v>   </c:v>
                      </c:pt>
                      <c:pt idx="2">
                        <c:v>   </c:v>
                      </c:pt>
                      <c:pt idx="3">
                        <c:v>   </c:v>
                      </c:pt>
                      <c:pt idx="4">
                        <c:v>   </c:v>
                      </c:pt>
                      <c:pt idx="5">
                        <c:v>   </c:v>
                      </c:pt>
                      <c:pt idx="6">
                        <c:v>   </c:v>
                      </c:pt>
                    </c:strCache>
                  </c:strRef>
                </c:cat>
                <c:val>
                  <c:numRef>
                    <c:extLst xmlns:c15="http://schemas.microsoft.com/office/drawing/2012/chart">
                      <c:ext xmlns:c15="http://schemas.microsoft.com/office/drawing/2012/chart" uri="{02D57815-91ED-43cb-92C2-25804820EDAC}">
                        <c15:formulaRef>
                          <c15:sqref>Cost!Cost_17</c15:sqref>
                        </c15:formulaRef>
                      </c:ext>
                    </c:extLst>
                    <c:numCache>
                      <c:formatCode>_(* #,##0_);_(* \(#,##0\);_(* "-"??_);_(@_)</c:formatCode>
                      <c:ptCount val="1"/>
                      <c:pt idx="0">
                        <c:v>0</c:v>
                      </c:pt>
                    </c:numCache>
                  </c:numRef>
                </c:val>
                <c:extLst xmlns:c15="http://schemas.microsoft.com/office/drawing/2012/chart">
                  <c:ext xmlns:c16="http://schemas.microsoft.com/office/drawing/2014/chart" uri="{C3380CC4-5D6E-409C-BE32-E72D297353CC}">
                    <c16:uniqueId val="{00000014-4A36-4E44-BEE7-AA06DE09D9DE}"/>
                  </c:ext>
                </c:extLst>
              </c15:ser>
            </c15:filteredBarSeries>
            <c15:filteredBarSeries>
              <c15:ser>
                <c:idx val="6"/>
                <c:order val="17"/>
                <c:tx>
                  <c:strRef>
                    <c:extLst xmlns:c15="http://schemas.microsoft.com/office/drawing/2012/chart">
                      <c:ext xmlns:c15="http://schemas.microsoft.com/office/drawing/2012/chart" uri="{02D57815-91ED-43cb-92C2-25804820EDAC}">
                        <c15:formulaRef>
                          <c15:sqref>Cost!$AL$3</c15:sqref>
                        </c15:formulaRef>
                      </c:ext>
                    </c:extLst>
                    <c:strCache>
                      <c:ptCount val="1"/>
                      <c:pt idx="0">
                        <c:v>PV</c:v>
                      </c:pt>
                    </c:strCache>
                  </c:strRef>
                </c:tx>
                <c:invertIfNegative val="0"/>
                <c:cat>
                  <c:strRef>
                    <c:extLst xmlns:c15="http://schemas.microsoft.com/office/drawing/2012/chart">
                      <c:ext xmlns:c15="http://schemas.microsoft.com/office/drawing/2012/chart" uri="{02D57815-91ED-43cb-92C2-25804820EDAC}">
                        <c15:formulaRef>
                          <c15:sqref>Cost!$S$6:$S$12</c15:sqref>
                        </c15:formulaRef>
                      </c:ext>
                    </c:extLst>
                    <c:strCache>
                      <c:ptCount val="7"/>
                      <c:pt idx="0">
                        <c:v> Proposed Design </c:v>
                      </c:pt>
                      <c:pt idx="1">
                        <c:v>   </c:v>
                      </c:pt>
                      <c:pt idx="2">
                        <c:v>   </c:v>
                      </c:pt>
                      <c:pt idx="3">
                        <c:v>   </c:v>
                      </c:pt>
                      <c:pt idx="4">
                        <c:v>   </c:v>
                      </c:pt>
                      <c:pt idx="5">
                        <c:v>   </c:v>
                      </c:pt>
                      <c:pt idx="6">
                        <c:v>   </c:v>
                      </c:pt>
                    </c:strCache>
                  </c:strRef>
                </c:cat>
                <c:val>
                  <c:numRef>
                    <c:extLst xmlns:c15="http://schemas.microsoft.com/office/drawing/2012/chart">
                      <c:ext xmlns:c15="http://schemas.microsoft.com/office/drawing/2012/chart" uri="{02D57815-91ED-43cb-92C2-25804820EDAC}">
                        <c15:formulaRef>
                          <c15:sqref>Cost!Cost_18</c15:sqref>
                        </c15:formulaRef>
                      </c:ext>
                    </c:extLst>
                    <c:numCache>
                      <c:formatCode>_(* #,##0_);_(* \(#,##0\);_(* "-"??_);_(@_)</c:formatCode>
                      <c:ptCount val="1"/>
                      <c:pt idx="0">
                        <c:v>0</c:v>
                      </c:pt>
                    </c:numCache>
                  </c:numRef>
                </c:val>
                <c:extLst xmlns:c15="http://schemas.microsoft.com/office/drawing/2012/chart">
                  <c:ext xmlns:c16="http://schemas.microsoft.com/office/drawing/2014/chart" uri="{C3380CC4-5D6E-409C-BE32-E72D297353CC}">
                    <c16:uniqueId val="{00000015-4A36-4E44-BEE7-AA06DE09D9DE}"/>
                  </c:ext>
                </c:extLst>
              </c15:ser>
            </c15:filteredBarSeries>
            <c15:filteredBarSeries>
              <c15:ser>
                <c:idx val="12"/>
                <c:order val="18"/>
                <c:tx>
                  <c:strRef>
                    <c:extLst xmlns:c15="http://schemas.microsoft.com/office/drawing/2012/chart">
                      <c:ext xmlns:c15="http://schemas.microsoft.com/office/drawing/2012/chart" uri="{02D57815-91ED-43cb-92C2-25804820EDAC}">
                        <c15:formulaRef>
                          <c15:sqref>Cost!$AM$3</c15:sqref>
                        </c15:formulaRef>
                      </c:ext>
                    </c:extLst>
                    <c:strCache>
                      <c:ptCount val="1"/>
                      <c:pt idx="0">
                        <c:v>Wind</c:v>
                      </c:pt>
                    </c:strCache>
                  </c:strRef>
                </c:tx>
                <c:invertIfNegative val="0"/>
                <c:cat>
                  <c:strRef>
                    <c:extLst xmlns:c15="http://schemas.microsoft.com/office/drawing/2012/chart">
                      <c:ext xmlns:c15="http://schemas.microsoft.com/office/drawing/2012/chart" uri="{02D57815-91ED-43cb-92C2-25804820EDAC}">
                        <c15:formulaRef>
                          <c15:sqref>Cost!$S$6:$S$12</c15:sqref>
                        </c15:formulaRef>
                      </c:ext>
                    </c:extLst>
                    <c:strCache>
                      <c:ptCount val="7"/>
                      <c:pt idx="0">
                        <c:v> Proposed Design </c:v>
                      </c:pt>
                      <c:pt idx="1">
                        <c:v>   </c:v>
                      </c:pt>
                      <c:pt idx="2">
                        <c:v>   </c:v>
                      </c:pt>
                      <c:pt idx="3">
                        <c:v>   </c:v>
                      </c:pt>
                      <c:pt idx="4">
                        <c:v>   </c:v>
                      </c:pt>
                      <c:pt idx="5">
                        <c:v>   </c:v>
                      </c:pt>
                      <c:pt idx="6">
                        <c:v>   </c:v>
                      </c:pt>
                    </c:strCache>
                  </c:strRef>
                </c:cat>
                <c:val>
                  <c:numRef>
                    <c:extLst xmlns:c15="http://schemas.microsoft.com/office/drawing/2012/chart">
                      <c:ext xmlns:c15="http://schemas.microsoft.com/office/drawing/2012/chart" uri="{02D57815-91ED-43cb-92C2-25804820EDAC}">
                        <c15:formulaRef>
                          <c15:sqref>Cost!Cost_19</c15:sqref>
                        </c15:formulaRef>
                      </c:ext>
                    </c:extLst>
                    <c:numCache>
                      <c:formatCode>_(* #,##0_);_(* \(#,##0\);_(* "-"??_);_(@_)</c:formatCode>
                      <c:ptCount val="1"/>
                      <c:pt idx="0">
                        <c:v>0</c:v>
                      </c:pt>
                    </c:numCache>
                  </c:numRef>
                </c:val>
                <c:extLst xmlns:c15="http://schemas.microsoft.com/office/drawing/2012/chart">
                  <c:ext xmlns:c16="http://schemas.microsoft.com/office/drawing/2014/chart" uri="{C3380CC4-5D6E-409C-BE32-E72D297353CC}">
                    <c16:uniqueId val="{00000016-4A36-4E44-BEE7-AA06DE09D9DE}"/>
                  </c:ext>
                </c:extLst>
              </c15:ser>
            </c15:filteredBarSeries>
            <c15:filteredBarSeries>
              <c15:ser>
                <c:idx val="13"/>
                <c:order val="19"/>
                <c:tx>
                  <c:strRef>
                    <c:extLst>
                      <c:ext xmlns:c15="http://schemas.microsoft.com/office/drawing/2012/chart" uri="{02D57815-91ED-43cb-92C2-25804820EDAC}">
                        <c15:formulaRef>
                          <c15:sqref>Cost!$AN$3</c15:sqref>
                        </c15:formulaRef>
                      </c:ext>
                    </c:extLst>
                    <c:strCache>
                      <c:ptCount val="1"/>
                      <c:pt idx="0">
                        <c:v>SHW</c:v>
                      </c:pt>
                    </c:strCache>
                  </c:strRef>
                </c:tx>
                <c:invertIfNegative val="0"/>
                <c:cat>
                  <c:strRef>
                    <c:extLst>
                      <c:ext xmlns:c15="http://schemas.microsoft.com/office/drawing/2012/chart" uri="{02D57815-91ED-43cb-92C2-25804820EDAC}">
                        <c15:formulaRef>
                          <c15:sqref>Cost!$S$6:$S$12</c15:sqref>
                        </c15:formulaRef>
                      </c:ext>
                    </c:extLst>
                    <c:strCache>
                      <c:ptCount val="7"/>
                      <c:pt idx="0">
                        <c:v> Proposed Design </c:v>
                      </c:pt>
                      <c:pt idx="1">
                        <c:v>   </c:v>
                      </c:pt>
                      <c:pt idx="2">
                        <c:v>   </c:v>
                      </c:pt>
                      <c:pt idx="3">
                        <c:v>   </c:v>
                      </c:pt>
                      <c:pt idx="4">
                        <c:v>   </c:v>
                      </c:pt>
                      <c:pt idx="5">
                        <c:v>   </c:v>
                      </c:pt>
                      <c:pt idx="6">
                        <c:v>   </c:v>
                      </c:pt>
                    </c:strCache>
                  </c:strRef>
                </c:cat>
                <c:val>
                  <c:numRef>
                    <c:extLst>
                      <c:ext xmlns:c15="http://schemas.microsoft.com/office/drawing/2012/chart" uri="{02D57815-91ED-43cb-92C2-25804820EDAC}">
                        <c15:formulaRef>
                          <c15:sqref>Cost!Cost_20</c15:sqref>
                        </c15:formulaRef>
                      </c:ext>
                    </c:extLst>
                    <c:numCache>
                      <c:formatCode>_(* #,##0_);_(* \(#,##0\);_(* "-"??_);_(@_)</c:formatCode>
                      <c:ptCount val="1"/>
                      <c:pt idx="0">
                        <c:v>0</c:v>
                      </c:pt>
                    </c:numCache>
                  </c:numRef>
                </c:val>
                <c:extLst xmlns:c15="http://schemas.microsoft.com/office/drawing/2012/chart">
                  <c:ext xmlns:c16="http://schemas.microsoft.com/office/drawing/2014/chart" uri="{C3380CC4-5D6E-409C-BE32-E72D297353CC}">
                    <c16:uniqueId val="{00000017-4A36-4E44-BEE7-AA06DE09D9DE}"/>
                  </c:ext>
                </c:extLst>
              </c15:ser>
            </c15:filteredBarSeries>
          </c:ext>
        </c:extLst>
      </c:barChart>
      <c:scatterChart>
        <c:scatterStyle val="lineMarker"/>
        <c:varyColors val="0"/>
        <c:dLbls>
          <c:showLegendKey val="0"/>
          <c:showVal val="0"/>
          <c:showCatName val="0"/>
          <c:showSerName val="0"/>
          <c:showPercent val="0"/>
          <c:showBubbleSize val="0"/>
        </c:dLbls>
        <c:axId val="408371823"/>
        <c:axId val="408372319"/>
        <c:extLst>
          <c:ext xmlns:c15="http://schemas.microsoft.com/office/drawing/2012/chart" uri="{02D57815-91ED-43cb-92C2-25804820EDAC}">
            <c15:filteredScatterSeries>
              <c15:ser>
                <c:idx val="20"/>
                <c:order val="20"/>
                <c:tx>
                  <c:strRef>
                    <c:extLst>
                      <c:ext uri="{02D57815-91ED-43cb-92C2-25804820EDAC}">
                        <c15:formulaRef>
                          <c15:sqref>Cost!$AS$6</c15:sqref>
                        </c15:formulaRef>
                      </c:ext>
                    </c:extLst>
                    <c:strCache>
                      <c:ptCount val="1"/>
                      <c:pt idx="0">
                        <c:v>#VALUE!</c:v>
                      </c:pt>
                    </c:strCache>
                  </c:strRef>
                </c:tx>
                <c:spPr>
                  <a:ln>
                    <a:solidFill>
                      <a:srgbClr val="C00000"/>
                    </a:solidFill>
                    <a:prstDash val="sysDash"/>
                  </a:ln>
                </c:spPr>
                <c:marker>
                  <c:symbol val="none"/>
                </c:marker>
                <c:dLbls>
                  <c:dLbl>
                    <c:idx val="0"/>
                    <c:delete val="1"/>
                    <c:extLst>
                      <c:ext uri="{CE6537A1-D6FC-4f65-9D91-7224C49458BB}"/>
                      <c:ext xmlns:c16="http://schemas.microsoft.com/office/drawing/2014/chart" uri="{C3380CC4-5D6E-409C-BE32-E72D297353CC}">
                        <c16:uniqueId val="{00000018-4A36-4E44-BEE7-AA06DE09D9DE}"/>
                      </c:ext>
                    </c:extLst>
                  </c:dLbl>
                  <c:dLbl>
                    <c:idx val="1"/>
                    <c:spPr>
                      <a:noFill/>
                      <a:ln>
                        <a:noFill/>
                      </a:ln>
                      <a:effectLst/>
                    </c:spPr>
                    <c:txPr>
                      <a:bodyPr wrap="square" lIns="38100" tIns="19050" rIns="38100" bIns="19050" anchor="ctr">
                        <a:spAutoFit/>
                      </a:bodyPr>
                      <a:lstStyle/>
                      <a:p>
                        <a:pPr>
                          <a:defRPr sz="800">
                            <a:latin typeface="Franklin Gothic Book" panose="020B0503020102020204" pitchFamily="34" charset="0"/>
                          </a:defRPr>
                        </a:pPr>
                        <a:endParaRPr lang="en-US"/>
                      </a:p>
                    </c:txPr>
                    <c:dLblPos val="t"/>
                    <c:showLegendKey val="0"/>
                    <c:showVal val="0"/>
                    <c:showCatName val="0"/>
                    <c:showSerName val="1"/>
                    <c:showPercent val="0"/>
                    <c:showBubbleSize val="0"/>
                    <c:extLst>
                      <c:ext uri="{CE6537A1-D6FC-4f65-9D91-7224C49458BB}"/>
                      <c:ext xmlns:c16="http://schemas.microsoft.com/office/drawing/2014/chart" uri="{C3380CC4-5D6E-409C-BE32-E72D297353CC}">
                        <c16:uniqueId val="{00000019-4A36-4E44-BEE7-AA06DE09D9DE}"/>
                      </c:ext>
                    </c:extLst>
                  </c:dLbl>
                  <c:spPr>
                    <a:noFill/>
                    <a:ln>
                      <a:noFill/>
                    </a:ln>
                    <a:effectLst/>
                  </c:spPr>
                  <c:showLegendKey val="0"/>
                  <c:showVal val="1"/>
                  <c:showCatName val="0"/>
                  <c:showSerName val="0"/>
                  <c:showPercent val="0"/>
                  <c:showBubbleSize val="0"/>
                  <c:showLeaderLines val="0"/>
                  <c:extLst>
                    <c:ext uri="{CE6537A1-D6FC-4f65-9D91-7224C49458BB}">
                      <c15:showLeaderLines val="1"/>
                    </c:ext>
                  </c:extLst>
                </c:dLbls>
                <c:yVal>
                  <c:numRef>
                    <c:extLst>
                      <c:ext uri="{02D57815-91ED-43cb-92C2-25804820EDAC}">
                        <c15:formulaRef>
                          <c15:sqref>Cost!$AT$6:$AU$6</c15:sqref>
                        </c15:formulaRef>
                      </c:ext>
                    </c:extLst>
                    <c:numCache>
                      <c:formatCode>_(* #,##0_);_(* \(#,##0\);_(* "-"??_);_(@_)</c:formatCode>
                      <c:ptCount val="2"/>
                      <c:pt idx="0">
                        <c:v>0</c:v>
                      </c:pt>
                      <c:pt idx="1">
                        <c:v>0</c:v>
                      </c:pt>
                    </c:numCache>
                  </c:numRef>
                </c:yVal>
                <c:smooth val="0"/>
                <c:extLst>
                  <c:ext xmlns:c16="http://schemas.microsoft.com/office/drawing/2014/chart" uri="{C3380CC4-5D6E-409C-BE32-E72D297353CC}">
                    <c16:uniqueId val="{0000001A-4A36-4E44-BEE7-AA06DE09D9DE}"/>
                  </c:ext>
                </c:extLst>
              </c15:ser>
            </c15:filteredScatterSeries>
            <c15:filteredScatterSeries>
              <c15:ser>
                <c:idx val="21"/>
                <c:order val="21"/>
                <c:tx>
                  <c:strRef>
                    <c:extLst xmlns:c15="http://schemas.microsoft.com/office/drawing/2012/chart">
                      <c:ext xmlns:c15="http://schemas.microsoft.com/office/drawing/2012/chart" uri="{02D57815-91ED-43cb-92C2-25804820EDAC}">
                        <c15:formulaRef>
                          <c15:sqref>Cost!$AS$7</c15:sqref>
                        </c15:formulaRef>
                      </c:ext>
                    </c:extLst>
                    <c:strCache>
                      <c:ptCount val="1"/>
                      <c:pt idx="0">
                        <c:v>#VALUE!</c:v>
                      </c:pt>
                    </c:strCache>
                  </c:strRef>
                </c:tx>
                <c:spPr>
                  <a:ln>
                    <a:solidFill>
                      <a:schemeClr val="tx2"/>
                    </a:solidFill>
                    <a:prstDash val="sysDash"/>
                  </a:ln>
                </c:spPr>
                <c:marker>
                  <c:symbol val="none"/>
                </c:marker>
                <c:dLbls>
                  <c:dLbl>
                    <c:idx val="0"/>
                    <c:delete val="1"/>
                    <c:extLst xmlns:c15="http://schemas.microsoft.com/office/drawing/2012/chart">
                      <c:ext xmlns:c15="http://schemas.microsoft.com/office/drawing/2012/chart" uri="{CE6537A1-D6FC-4f65-9D91-7224C49458BB}"/>
                      <c:ext xmlns:c16="http://schemas.microsoft.com/office/drawing/2014/chart" uri="{C3380CC4-5D6E-409C-BE32-E72D297353CC}">
                        <c16:uniqueId val="{0000001B-4A36-4E44-BEE7-AA06DE09D9DE}"/>
                      </c:ext>
                    </c:extLst>
                  </c:dLbl>
                  <c:dLbl>
                    <c:idx val="1"/>
                    <c:spPr>
                      <a:noFill/>
                      <a:ln>
                        <a:noFill/>
                      </a:ln>
                      <a:effectLst/>
                    </c:spPr>
                    <c:txPr>
                      <a:bodyPr wrap="square" lIns="38100" tIns="19050" rIns="38100" bIns="19050" anchor="ctr">
                        <a:spAutoFit/>
                      </a:bodyPr>
                      <a:lstStyle/>
                      <a:p>
                        <a:pPr>
                          <a:defRPr sz="800">
                            <a:latin typeface="Franklin Gothic Book" panose="020B0503020102020204" pitchFamily="34" charset="0"/>
                          </a:defRPr>
                        </a:pPr>
                        <a:endParaRPr lang="en-US"/>
                      </a:p>
                    </c:txPr>
                    <c:dLblPos val="t"/>
                    <c:showLegendKey val="0"/>
                    <c:showVal val="0"/>
                    <c:showCatName val="0"/>
                    <c:showSerName val="1"/>
                    <c:showPercent val="0"/>
                    <c:showBubbleSize val="0"/>
                    <c:extLst xmlns:c15="http://schemas.microsoft.com/office/drawing/2012/chart">
                      <c:ext xmlns:c16="http://schemas.microsoft.com/office/drawing/2014/chart" uri="{C3380CC4-5D6E-409C-BE32-E72D297353CC}">
                        <c16:uniqueId val="{0000001C-4A36-4E44-BEE7-AA06DE09D9DE}"/>
                      </c:ext>
                    </c:extLst>
                  </c:dLbl>
                  <c:spPr>
                    <a:noFill/>
                    <a:ln>
                      <a:noFill/>
                    </a:ln>
                    <a:effectLst/>
                  </c:spPr>
                  <c:dLblPos val="t"/>
                  <c:showLegendKey val="0"/>
                  <c:showVal val="0"/>
                  <c:showCatName val="0"/>
                  <c:showSerName val="1"/>
                  <c:showPercent val="0"/>
                  <c:showBubbleSize val="0"/>
                  <c:showLeaderLines val="0"/>
                  <c:extLst xmlns:c15="http://schemas.microsoft.com/office/drawing/2012/chart">
                    <c:ext xmlns:c15="http://schemas.microsoft.com/office/drawing/2012/chart" uri="{CE6537A1-D6FC-4f65-9D91-7224C49458BB}">
                      <c15:showLeaderLines val="0"/>
                    </c:ext>
                  </c:extLst>
                </c:dLbls>
                <c:yVal>
                  <c:numRef>
                    <c:extLst xmlns:c15="http://schemas.microsoft.com/office/drawing/2012/chart">
                      <c:ext xmlns:c15="http://schemas.microsoft.com/office/drawing/2012/chart" uri="{02D57815-91ED-43cb-92C2-25804820EDAC}">
                        <c15:formulaRef>
                          <c15:sqref>Cost!$AT$7:$AU$7</c15:sqref>
                        </c15:formulaRef>
                      </c:ext>
                    </c:extLst>
                    <c:numCache>
                      <c:formatCode>_(* #,##0_);_(* \(#,##0\);_(* "-"??_);_(@_)</c:formatCode>
                      <c:ptCount val="2"/>
                      <c:pt idx="0">
                        <c:v>0</c:v>
                      </c:pt>
                      <c:pt idx="1">
                        <c:v>0</c:v>
                      </c:pt>
                    </c:numCache>
                  </c:numRef>
                </c:yVal>
                <c:smooth val="0"/>
                <c:extLst xmlns:c15="http://schemas.microsoft.com/office/drawing/2012/chart">
                  <c:ext xmlns:c16="http://schemas.microsoft.com/office/drawing/2014/chart" uri="{C3380CC4-5D6E-409C-BE32-E72D297353CC}">
                    <c16:uniqueId val="{0000001D-4A36-4E44-BEE7-AA06DE09D9DE}"/>
                  </c:ext>
                </c:extLst>
              </c15:ser>
            </c15:filteredScatterSeries>
          </c:ext>
        </c:extLst>
      </c:scatterChart>
      <c:catAx>
        <c:axId val="453735448"/>
        <c:scaling>
          <c:orientation val="minMax"/>
        </c:scaling>
        <c:delete val="0"/>
        <c:axPos val="b"/>
        <c:numFmt formatCode="General" sourceLinked="0"/>
        <c:majorTickMark val="out"/>
        <c:minorTickMark val="none"/>
        <c:tickLblPos val="nextTo"/>
        <c:txPr>
          <a:bodyPr/>
          <a:lstStyle/>
          <a:p>
            <a:pPr>
              <a:defRPr sz="800">
                <a:solidFill>
                  <a:schemeClr val="bg1">
                    <a:lumMod val="50000"/>
                  </a:schemeClr>
                </a:solidFill>
                <a:latin typeface="Franklin Gothic Book" panose="020B0503020102020204" pitchFamily="34" charset="0"/>
                <a:cs typeface="Arial" panose="020B0604020202020204" pitchFamily="34" charset="0"/>
              </a:defRPr>
            </a:pPr>
            <a:endParaRPr lang="en-US"/>
          </a:p>
        </c:txPr>
        <c:crossAx val="453733880"/>
        <c:crosses val="autoZero"/>
        <c:auto val="1"/>
        <c:lblAlgn val="ctr"/>
        <c:lblOffset val="100"/>
        <c:tickMarkSkip val="1"/>
        <c:noMultiLvlLbl val="0"/>
      </c:catAx>
      <c:valAx>
        <c:axId val="453733880"/>
        <c:scaling>
          <c:orientation val="minMax"/>
        </c:scaling>
        <c:delete val="0"/>
        <c:axPos val="l"/>
        <c:majorGridlines>
          <c:spPr>
            <a:ln>
              <a:solidFill>
                <a:schemeClr val="bg1">
                  <a:lumMod val="85000"/>
                </a:schemeClr>
              </a:solidFill>
            </a:ln>
          </c:spPr>
        </c:majorGridlines>
        <c:title>
          <c:tx>
            <c:strRef>
              <c:f>Cost!$S$5</c:f>
              <c:strCache>
                <c:ptCount val="1"/>
                <c:pt idx="0">
                  <c:v>Energy Cost ($)</c:v>
                </c:pt>
              </c:strCache>
            </c:strRef>
          </c:tx>
          <c:overlay val="0"/>
          <c:txPr>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sz="1000" b="1" i="0" u="none" strike="noStrike" kern="1200" baseline="0">
                  <a:solidFill>
                    <a:schemeClr val="bg1">
                      <a:lumMod val="50000"/>
                    </a:schemeClr>
                  </a:solidFill>
                  <a:latin typeface="Franklin Gothic Book" panose="020B0503020102020204" pitchFamily="34" charset="0"/>
                  <a:ea typeface="+mn-ea"/>
                  <a:cs typeface="+mn-cs"/>
                </a:defRPr>
              </a:pPr>
              <a:endParaRPr lang="en-US"/>
            </a:p>
          </c:txPr>
        </c:title>
        <c:numFmt formatCode="#,##0" sourceLinked="0"/>
        <c:majorTickMark val="out"/>
        <c:minorTickMark val="none"/>
        <c:tickLblPos val="nextTo"/>
        <c:spPr>
          <a:ln>
            <a:tailEnd type="triangle"/>
          </a:ln>
        </c:spPr>
        <c:txPr>
          <a:bodyPr/>
          <a:lstStyle/>
          <a:p>
            <a:pPr>
              <a:defRPr sz="800">
                <a:solidFill>
                  <a:schemeClr val="bg1">
                    <a:lumMod val="50000"/>
                  </a:schemeClr>
                </a:solidFill>
                <a:latin typeface="Franklin Gothic Book" panose="020B0503020102020204" pitchFamily="34" charset="0"/>
                <a:cs typeface="Arial" panose="020B0604020202020204" pitchFamily="34" charset="0"/>
              </a:defRPr>
            </a:pPr>
            <a:endParaRPr lang="en-US"/>
          </a:p>
        </c:txPr>
        <c:crossAx val="453735448"/>
        <c:crosses val="autoZero"/>
        <c:crossBetween val="between"/>
      </c:valAx>
      <c:valAx>
        <c:axId val="408372319"/>
        <c:scaling>
          <c:orientation val="minMax"/>
        </c:scaling>
        <c:delete val="1"/>
        <c:axPos val="r"/>
        <c:numFmt formatCode="_(* #,##0_);_(* \(#,##0\);_(* &quot;-&quot;??_);_(@_)" sourceLinked="1"/>
        <c:majorTickMark val="out"/>
        <c:minorTickMark val="none"/>
        <c:tickLblPos val="nextTo"/>
        <c:crossAx val="408371823"/>
        <c:crosses val="max"/>
        <c:crossBetween val="midCat"/>
      </c:valAx>
      <c:valAx>
        <c:axId val="408371823"/>
        <c:scaling>
          <c:orientation val="minMax"/>
          <c:max val="2"/>
          <c:min val="1"/>
        </c:scaling>
        <c:delete val="1"/>
        <c:axPos val="t"/>
        <c:majorTickMark val="out"/>
        <c:minorTickMark val="none"/>
        <c:tickLblPos val="nextTo"/>
        <c:crossAx val="408372319"/>
        <c:crosses val="max"/>
        <c:crossBetween val="midCat"/>
      </c:valAx>
    </c:plotArea>
    <c:legend>
      <c:legendPos val="t"/>
      <c:overlay val="0"/>
      <c:txPr>
        <a:bodyPr/>
        <a:lstStyle/>
        <a:p>
          <a:pPr>
            <a:defRPr sz="800">
              <a:latin typeface="Franklin Gothic Book" panose="020B0503020102020204" pitchFamily="34" charset="0"/>
              <a:cs typeface="Arial" panose="020B0604020202020204" pitchFamily="34" charset="0"/>
            </a:defRPr>
          </a:pPr>
          <a:endParaRPr lang="en-US"/>
        </a:p>
      </c:txPr>
    </c:legend>
    <c:plotVisOnly val="1"/>
    <c:dispBlanksAs val="gap"/>
    <c:showDLblsOverMax val="0"/>
  </c:chart>
  <c:spPr>
    <a:ln>
      <a:noFill/>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stacked"/>
        <c:varyColors val="0"/>
        <c:ser>
          <c:idx val="1"/>
          <c:order val="0"/>
          <c:tx>
            <c:strRef>
              <c:f>Cost!$U$3</c:f>
              <c:strCache>
                <c:ptCount val="1"/>
                <c:pt idx="0">
                  <c:v>Heating</c:v>
                </c:pt>
              </c:strCache>
            </c:strRef>
          </c:tx>
          <c:spPr>
            <a:solidFill>
              <a:srgbClr val="EE3524"/>
            </a:solidFill>
          </c:spPr>
          <c:invertIfNegative val="0"/>
          <c:cat>
            <c:strRef>
              <c:f>Cost!$S$6:$S$12</c:f>
              <c:strCache>
                <c:ptCount val="7"/>
                <c:pt idx="0">
                  <c:v> Proposed Design </c:v>
                </c:pt>
                <c:pt idx="1">
                  <c:v>   </c:v>
                </c:pt>
                <c:pt idx="2">
                  <c:v>   </c:v>
                </c:pt>
                <c:pt idx="3">
                  <c:v>   </c:v>
                </c:pt>
                <c:pt idx="4">
                  <c:v>   </c:v>
                </c:pt>
                <c:pt idx="5">
                  <c:v>   </c:v>
                </c:pt>
                <c:pt idx="6">
                  <c:v>   </c:v>
                </c:pt>
              </c:strCache>
            </c:strRef>
          </c:cat>
          <c:val>
            <c:numRef>
              <c:f>Cost!ECI_01</c:f>
              <c:numCache>
                <c:formatCode>_(* #,##0.0_);_(* \(#,##0.0\);_(* "-"??_);_(@_)</c:formatCode>
                <c:ptCount val="1"/>
                <c:pt idx="0">
                  <c:v>0.10205148215797152</c:v>
                </c:pt>
              </c:numCache>
            </c:numRef>
          </c:val>
          <c:extLst>
            <c:ext xmlns:c16="http://schemas.microsoft.com/office/drawing/2014/chart" uri="{C3380CC4-5D6E-409C-BE32-E72D297353CC}">
              <c16:uniqueId val="{00000000-B339-447C-93D8-32ABFEB9E966}"/>
            </c:ext>
          </c:extLst>
        </c:ser>
        <c:ser>
          <c:idx val="2"/>
          <c:order val="1"/>
          <c:tx>
            <c:strRef>
              <c:f>Cost!$V$3</c:f>
              <c:strCache>
                <c:ptCount val="1"/>
                <c:pt idx="0">
                  <c:v>Cooling</c:v>
                </c:pt>
              </c:strCache>
            </c:strRef>
          </c:tx>
          <c:spPr>
            <a:solidFill>
              <a:srgbClr val="00B4ED"/>
            </a:solidFill>
          </c:spPr>
          <c:invertIfNegative val="0"/>
          <c:cat>
            <c:strRef>
              <c:f>Cost!$S$6:$S$12</c:f>
              <c:strCache>
                <c:ptCount val="7"/>
                <c:pt idx="0">
                  <c:v> Proposed Design </c:v>
                </c:pt>
                <c:pt idx="1">
                  <c:v>   </c:v>
                </c:pt>
                <c:pt idx="2">
                  <c:v>   </c:v>
                </c:pt>
                <c:pt idx="3">
                  <c:v>   </c:v>
                </c:pt>
                <c:pt idx="4">
                  <c:v>   </c:v>
                </c:pt>
                <c:pt idx="5">
                  <c:v>   </c:v>
                </c:pt>
                <c:pt idx="6">
                  <c:v>   </c:v>
                </c:pt>
              </c:strCache>
            </c:strRef>
          </c:cat>
          <c:val>
            <c:numRef>
              <c:f>Cost!ECI_02</c:f>
              <c:numCache>
                <c:formatCode>_(* #,##0.0_);_(* \(#,##0.0\);_(* "-"??_);_(@_)</c:formatCode>
                <c:ptCount val="1"/>
                <c:pt idx="0">
                  <c:v>0.38034522005947807</c:v>
                </c:pt>
              </c:numCache>
            </c:numRef>
          </c:val>
          <c:extLst>
            <c:ext xmlns:c16="http://schemas.microsoft.com/office/drawing/2014/chart" uri="{C3380CC4-5D6E-409C-BE32-E72D297353CC}">
              <c16:uniqueId val="{00000001-B339-447C-93D8-32ABFEB9E966}"/>
            </c:ext>
          </c:extLst>
        </c:ser>
        <c:ser>
          <c:idx val="10"/>
          <c:order val="2"/>
          <c:tx>
            <c:strRef>
              <c:f>Cost!$W$3</c:f>
              <c:strCache>
                <c:ptCount val="1"/>
                <c:pt idx="0">
                  <c:v>Lighting</c:v>
                </c:pt>
              </c:strCache>
            </c:strRef>
          </c:tx>
          <c:spPr>
            <a:solidFill>
              <a:srgbClr val="FFD334"/>
            </a:solidFill>
          </c:spPr>
          <c:invertIfNegative val="0"/>
          <c:cat>
            <c:strRef>
              <c:f>Cost!$S$6:$S$12</c:f>
              <c:strCache>
                <c:ptCount val="7"/>
                <c:pt idx="0">
                  <c:v> Proposed Design </c:v>
                </c:pt>
                <c:pt idx="1">
                  <c:v>   </c:v>
                </c:pt>
                <c:pt idx="2">
                  <c:v>   </c:v>
                </c:pt>
                <c:pt idx="3">
                  <c:v>   </c:v>
                </c:pt>
                <c:pt idx="4">
                  <c:v>   </c:v>
                </c:pt>
                <c:pt idx="5">
                  <c:v>   </c:v>
                </c:pt>
                <c:pt idx="6">
                  <c:v>   </c:v>
                </c:pt>
              </c:strCache>
            </c:strRef>
          </c:cat>
          <c:val>
            <c:numRef>
              <c:f>Cost!ECI_03</c:f>
              <c:numCache>
                <c:formatCode>_(* #,##0.0_);_(* \(#,##0.0\);_(* "-"??_);_(@_)</c:formatCode>
                <c:ptCount val="1"/>
                <c:pt idx="0">
                  <c:v>0.40826950645095933</c:v>
                </c:pt>
              </c:numCache>
            </c:numRef>
          </c:val>
          <c:extLst>
            <c:ext xmlns:c16="http://schemas.microsoft.com/office/drawing/2014/chart" uri="{C3380CC4-5D6E-409C-BE32-E72D297353CC}">
              <c16:uniqueId val="{00000002-B339-447C-93D8-32ABFEB9E966}"/>
            </c:ext>
          </c:extLst>
        </c:ser>
        <c:ser>
          <c:idx val="3"/>
          <c:order val="4"/>
          <c:tx>
            <c:strRef>
              <c:f>Cost!$Y$3</c:f>
              <c:strCache>
                <c:ptCount val="1"/>
                <c:pt idx="0">
                  <c:v>Equipment</c:v>
                </c:pt>
              </c:strCache>
            </c:strRef>
          </c:tx>
          <c:spPr>
            <a:solidFill>
              <a:srgbClr val="E4E1DC"/>
            </a:solidFill>
          </c:spPr>
          <c:invertIfNegative val="0"/>
          <c:cat>
            <c:strRef>
              <c:f>Cost!$S$6:$S$12</c:f>
              <c:strCache>
                <c:ptCount val="7"/>
                <c:pt idx="0">
                  <c:v> Proposed Design </c:v>
                </c:pt>
                <c:pt idx="1">
                  <c:v>   </c:v>
                </c:pt>
                <c:pt idx="2">
                  <c:v>   </c:v>
                </c:pt>
                <c:pt idx="3">
                  <c:v>   </c:v>
                </c:pt>
                <c:pt idx="4">
                  <c:v>   </c:v>
                </c:pt>
                <c:pt idx="5">
                  <c:v>   </c:v>
                </c:pt>
                <c:pt idx="6">
                  <c:v>   </c:v>
                </c:pt>
              </c:strCache>
            </c:strRef>
          </c:cat>
          <c:val>
            <c:numRef>
              <c:f>Cost!ECI_05</c:f>
              <c:numCache>
                <c:formatCode>_(* #,##0.0_);_(* \(#,##0.0\);_(* "-"??_);_(@_)</c:formatCode>
                <c:ptCount val="1"/>
                <c:pt idx="0">
                  <c:v>0.47936767326589358</c:v>
                </c:pt>
              </c:numCache>
            </c:numRef>
          </c:val>
          <c:extLst>
            <c:ext xmlns:c16="http://schemas.microsoft.com/office/drawing/2014/chart" uri="{C3380CC4-5D6E-409C-BE32-E72D297353CC}">
              <c16:uniqueId val="{00000004-B339-447C-93D8-32ABFEB9E966}"/>
            </c:ext>
          </c:extLst>
        </c:ser>
        <c:ser>
          <c:idx val="4"/>
          <c:order val="6"/>
          <c:tx>
            <c:strRef>
              <c:f>Cost!$AA$3</c:f>
              <c:strCache>
                <c:ptCount val="1"/>
                <c:pt idx="0">
                  <c:v>Fans</c:v>
                </c:pt>
              </c:strCache>
            </c:strRef>
          </c:tx>
          <c:spPr>
            <a:solidFill>
              <a:srgbClr val="322110"/>
            </a:solidFill>
          </c:spPr>
          <c:invertIfNegative val="0"/>
          <c:cat>
            <c:strRef>
              <c:f>Cost!$S$6:$S$12</c:f>
              <c:strCache>
                <c:ptCount val="7"/>
                <c:pt idx="0">
                  <c:v> Proposed Design </c:v>
                </c:pt>
                <c:pt idx="1">
                  <c:v>   </c:v>
                </c:pt>
                <c:pt idx="2">
                  <c:v>   </c:v>
                </c:pt>
                <c:pt idx="3">
                  <c:v>   </c:v>
                </c:pt>
                <c:pt idx="4">
                  <c:v>   </c:v>
                </c:pt>
                <c:pt idx="5">
                  <c:v>   </c:v>
                </c:pt>
                <c:pt idx="6">
                  <c:v>   </c:v>
                </c:pt>
              </c:strCache>
            </c:strRef>
          </c:cat>
          <c:val>
            <c:numRef>
              <c:f>Cost!ECI_07</c:f>
              <c:numCache>
                <c:formatCode>_(* #,##0.0_);_(* \(#,##0.0\);_(* "-"??_);_(@_)</c:formatCode>
                <c:ptCount val="1"/>
                <c:pt idx="0">
                  <c:v>0.4652965395231704</c:v>
                </c:pt>
              </c:numCache>
            </c:numRef>
          </c:val>
          <c:extLst>
            <c:ext xmlns:c16="http://schemas.microsoft.com/office/drawing/2014/chart" uri="{C3380CC4-5D6E-409C-BE32-E72D297353CC}">
              <c16:uniqueId val="{00000006-B339-447C-93D8-32ABFEB9E966}"/>
            </c:ext>
          </c:extLst>
        </c:ser>
        <c:dLbls>
          <c:showLegendKey val="0"/>
          <c:showVal val="0"/>
          <c:showCatName val="0"/>
          <c:showSerName val="0"/>
          <c:showPercent val="0"/>
          <c:showBubbleSize val="0"/>
        </c:dLbls>
        <c:gapWidth val="150"/>
        <c:overlap val="100"/>
        <c:axId val="208880192"/>
        <c:axId val="208882936"/>
        <c:extLst>
          <c:ext xmlns:c15="http://schemas.microsoft.com/office/drawing/2012/chart" uri="{02D57815-91ED-43cb-92C2-25804820EDAC}">
            <c15:filteredBarSeries>
              <c15:ser>
                <c:idx val="0"/>
                <c:order val="3"/>
                <c:tx>
                  <c:strRef>
                    <c:extLst>
                      <c:ext uri="{02D57815-91ED-43cb-92C2-25804820EDAC}">
                        <c15:formulaRef>
                          <c15:sqref>Cost!$X$3</c15:sqref>
                        </c15:formulaRef>
                      </c:ext>
                    </c:extLst>
                    <c:strCache>
                      <c:ptCount val="1"/>
                      <c:pt idx="0">
                        <c:v>Exterior Lighting</c:v>
                      </c:pt>
                    </c:strCache>
                  </c:strRef>
                </c:tx>
                <c:spPr>
                  <a:solidFill>
                    <a:srgbClr val="F9A01B"/>
                  </a:solidFill>
                </c:spPr>
                <c:invertIfNegative val="0"/>
                <c:cat>
                  <c:strRef>
                    <c:extLst>
                      <c:ext uri="{02D57815-91ED-43cb-92C2-25804820EDAC}">
                        <c15:formulaRef>
                          <c15:sqref>Cost!$S$6:$S$12</c15:sqref>
                        </c15:formulaRef>
                      </c:ext>
                    </c:extLst>
                    <c:strCache>
                      <c:ptCount val="7"/>
                      <c:pt idx="0">
                        <c:v> Proposed Design </c:v>
                      </c:pt>
                      <c:pt idx="1">
                        <c:v>   </c:v>
                      </c:pt>
                      <c:pt idx="2">
                        <c:v>   </c:v>
                      </c:pt>
                      <c:pt idx="3">
                        <c:v>   </c:v>
                      </c:pt>
                      <c:pt idx="4">
                        <c:v>   </c:v>
                      </c:pt>
                      <c:pt idx="5">
                        <c:v>   </c:v>
                      </c:pt>
                      <c:pt idx="6">
                        <c:v>   </c:v>
                      </c:pt>
                    </c:strCache>
                  </c:strRef>
                </c:cat>
                <c:val>
                  <c:numRef>
                    <c:extLst>
                      <c:ext uri="{02D57815-91ED-43cb-92C2-25804820EDAC}">
                        <c15:formulaRef>
                          <c15:sqref>Cost!ECI_04</c15:sqref>
                        </c15:formulaRef>
                      </c:ext>
                    </c:extLst>
                    <c:numCache>
                      <c:formatCode>_(* #,##0.0_);_(* \(#,##0.0\);_(* "-"??_);_(@_)</c:formatCode>
                      <c:ptCount val="1"/>
                      <c:pt idx="0">
                        <c:v>0</c:v>
                      </c:pt>
                    </c:numCache>
                  </c:numRef>
                </c:val>
                <c:extLst>
                  <c:ext xmlns:c16="http://schemas.microsoft.com/office/drawing/2014/chart" uri="{C3380CC4-5D6E-409C-BE32-E72D297353CC}">
                    <c16:uniqueId val="{00000003-B339-447C-93D8-32ABFEB9E966}"/>
                  </c:ext>
                </c:extLst>
              </c15:ser>
            </c15:filteredBarSeries>
            <c15:filteredBarSeries>
              <c15:ser>
                <c:idx val="9"/>
                <c:order val="5"/>
                <c:tx>
                  <c:strRef>
                    <c:extLst>
                      <c:ext xmlns:c15="http://schemas.microsoft.com/office/drawing/2012/chart" uri="{02D57815-91ED-43cb-92C2-25804820EDAC}">
                        <c15:formulaRef>
                          <c15:sqref>Cost!$Z$3</c15:sqref>
                        </c15:formulaRef>
                      </c:ext>
                    </c:extLst>
                    <c:strCache>
                      <c:ptCount val="1"/>
                      <c:pt idx="0">
                        <c:v>Exterior Equipment</c:v>
                      </c:pt>
                    </c:strCache>
                  </c:strRef>
                </c:tx>
                <c:spPr>
                  <a:solidFill>
                    <a:srgbClr val="D4CFCB"/>
                  </a:solidFill>
                </c:spPr>
                <c:invertIfNegative val="0"/>
                <c:cat>
                  <c:strRef>
                    <c:extLst>
                      <c:ext xmlns:c15="http://schemas.microsoft.com/office/drawing/2012/chart" uri="{02D57815-91ED-43cb-92C2-25804820EDAC}">
                        <c15:formulaRef>
                          <c15:sqref>Cost!$S$6:$S$12</c15:sqref>
                        </c15:formulaRef>
                      </c:ext>
                    </c:extLst>
                    <c:strCache>
                      <c:ptCount val="7"/>
                      <c:pt idx="0">
                        <c:v> Proposed Design </c:v>
                      </c:pt>
                      <c:pt idx="1">
                        <c:v>   </c:v>
                      </c:pt>
                      <c:pt idx="2">
                        <c:v>   </c:v>
                      </c:pt>
                      <c:pt idx="3">
                        <c:v>   </c:v>
                      </c:pt>
                      <c:pt idx="4">
                        <c:v>   </c:v>
                      </c:pt>
                      <c:pt idx="5">
                        <c:v>   </c:v>
                      </c:pt>
                      <c:pt idx="6">
                        <c:v>   </c:v>
                      </c:pt>
                    </c:strCache>
                  </c:strRef>
                </c:cat>
                <c:val>
                  <c:numRef>
                    <c:extLst>
                      <c:ext xmlns:c15="http://schemas.microsoft.com/office/drawing/2012/chart" uri="{02D57815-91ED-43cb-92C2-25804820EDAC}">
                        <c15:formulaRef>
                          <c15:sqref>Cost!ECI_06</c15:sqref>
                        </c15:formulaRef>
                      </c:ext>
                    </c:extLst>
                    <c:numCache>
                      <c:formatCode>_(* #,##0.0_);_(* \(#,##0.0\);_(* "-"??_);_(@_)</c:formatCode>
                      <c:ptCount val="1"/>
                      <c:pt idx="0">
                        <c:v>0</c:v>
                      </c:pt>
                    </c:numCache>
                  </c:numRef>
                </c:val>
                <c:extLst>
                  <c:ext xmlns:c16="http://schemas.microsoft.com/office/drawing/2014/chart" uri="{C3380CC4-5D6E-409C-BE32-E72D297353CC}">
                    <c16:uniqueId val="{00000005-B339-447C-93D8-32ABFEB9E966}"/>
                  </c:ext>
                </c:extLst>
              </c15:ser>
            </c15:filteredBarSeries>
            <c15:filteredBarSeries>
              <c15:ser>
                <c:idx val="5"/>
                <c:order val="7"/>
                <c:tx>
                  <c:strRef>
                    <c:extLst>
                      <c:ext xmlns:c15="http://schemas.microsoft.com/office/drawing/2012/chart" uri="{02D57815-91ED-43cb-92C2-25804820EDAC}">
                        <c15:formulaRef>
                          <c15:sqref>Cost!$AB$3</c15:sqref>
                        </c15:formulaRef>
                      </c:ext>
                    </c:extLst>
                    <c:strCache>
                      <c:ptCount val="1"/>
                      <c:pt idx="0">
                        <c:v>Pumps</c:v>
                      </c:pt>
                    </c:strCache>
                  </c:strRef>
                </c:tx>
                <c:spPr>
                  <a:solidFill>
                    <a:srgbClr val="4E4540"/>
                  </a:solidFill>
                </c:spPr>
                <c:invertIfNegative val="0"/>
                <c:cat>
                  <c:strRef>
                    <c:extLst>
                      <c:ext xmlns:c15="http://schemas.microsoft.com/office/drawing/2012/chart" uri="{02D57815-91ED-43cb-92C2-25804820EDAC}">
                        <c15:formulaRef>
                          <c15:sqref>Cost!$S$6:$S$12</c15:sqref>
                        </c15:formulaRef>
                      </c:ext>
                    </c:extLst>
                    <c:strCache>
                      <c:ptCount val="7"/>
                      <c:pt idx="0">
                        <c:v> Proposed Design </c:v>
                      </c:pt>
                      <c:pt idx="1">
                        <c:v>   </c:v>
                      </c:pt>
                      <c:pt idx="2">
                        <c:v>   </c:v>
                      </c:pt>
                      <c:pt idx="3">
                        <c:v>   </c:v>
                      </c:pt>
                      <c:pt idx="4">
                        <c:v>   </c:v>
                      </c:pt>
                      <c:pt idx="5">
                        <c:v>   </c:v>
                      </c:pt>
                      <c:pt idx="6">
                        <c:v>   </c:v>
                      </c:pt>
                    </c:strCache>
                  </c:strRef>
                </c:cat>
                <c:val>
                  <c:numRef>
                    <c:extLst>
                      <c:ext xmlns:c15="http://schemas.microsoft.com/office/drawing/2012/chart" uri="{02D57815-91ED-43cb-92C2-25804820EDAC}">
                        <c15:formulaRef>
                          <c15:sqref>Cost!ECI_08</c15:sqref>
                        </c15:formulaRef>
                      </c:ext>
                    </c:extLst>
                    <c:numCache>
                      <c:formatCode>_(* #,##0.0_);_(* \(#,##0.0\);_(* "-"??_);_(@_)</c:formatCode>
                      <c:ptCount val="1"/>
                      <c:pt idx="0">
                        <c:v>0</c:v>
                      </c:pt>
                    </c:numCache>
                  </c:numRef>
                </c:val>
                <c:extLst>
                  <c:ext xmlns:c16="http://schemas.microsoft.com/office/drawing/2014/chart" uri="{C3380CC4-5D6E-409C-BE32-E72D297353CC}">
                    <c16:uniqueId val="{00000007-B339-447C-93D8-32ABFEB9E966}"/>
                  </c:ext>
                </c:extLst>
              </c15:ser>
            </c15:filteredBarSeries>
            <c15:filteredBarSeries>
              <c15:ser>
                <c:idx val="8"/>
                <c:order val="8"/>
                <c:tx>
                  <c:strRef>
                    <c:extLst>
                      <c:ext xmlns:c15="http://schemas.microsoft.com/office/drawing/2012/chart" uri="{02D57815-91ED-43cb-92C2-25804820EDAC}">
                        <c15:formulaRef>
                          <c15:sqref>Cost!$AC$3</c15:sqref>
                        </c15:formulaRef>
                      </c:ext>
                    </c:extLst>
                    <c:strCache>
                      <c:ptCount val="1"/>
                      <c:pt idx="0">
                        <c:v>Heat Rejection</c:v>
                      </c:pt>
                    </c:strCache>
                  </c:strRef>
                </c:tx>
                <c:spPr>
                  <a:solidFill>
                    <a:srgbClr val="F05D77"/>
                  </a:solidFill>
                </c:spPr>
                <c:invertIfNegative val="0"/>
                <c:dPt>
                  <c:idx val="0"/>
                  <c:invertIfNegative val="0"/>
                  <c:bubble3D val="0"/>
                  <c:extLst>
                    <c:ext xmlns:c16="http://schemas.microsoft.com/office/drawing/2014/chart" uri="{C3380CC4-5D6E-409C-BE32-E72D297353CC}">
                      <c16:uniqueId val="{00000008-B339-447C-93D8-32ABFEB9E966}"/>
                    </c:ext>
                  </c:extLst>
                </c:dPt>
                <c:cat>
                  <c:strRef>
                    <c:extLst>
                      <c:ext xmlns:c15="http://schemas.microsoft.com/office/drawing/2012/chart" uri="{02D57815-91ED-43cb-92C2-25804820EDAC}">
                        <c15:formulaRef>
                          <c15:sqref>Cost!$S$6:$S$12</c15:sqref>
                        </c15:formulaRef>
                      </c:ext>
                    </c:extLst>
                    <c:strCache>
                      <c:ptCount val="7"/>
                      <c:pt idx="0">
                        <c:v> Proposed Design </c:v>
                      </c:pt>
                      <c:pt idx="1">
                        <c:v>   </c:v>
                      </c:pt>
                      <c:pt idx="2">
                        <c:v>   </c:v>
                      </c:pt>
                      <c:pt idx="3">
                        <c:v>   </c:v>
                      </c:pt>
                      <c:pt idx="4">
                        <c:v>   </c:v>
                      </c:pt>
                      <c:pt idx="5">
                        <c:v>   </c:v>
                      </c:pt>
                      <c:pt idx="6">
                        <c:v>   </c:v>
                      </c:pt>
                    </c:strCache>
                  </c:strRef>
                </c:cat>
                <c:val>
                  <c:numRef>
                    <c:extLst>
                      <c:ext xmlns:c15="http://schemas.microsoft.com/office/drawing/2012/chart" uri="{02D57815-91ED-43cb-92C2-25804820EDAC}">
                        <c15:formulaRef>
                          <c15:sqref>Cost!ECI_09</c15:sqref>
                        </c15:formulaRef>
                      </c:ext>
                    </c:extLst>
                    <c:numCache>
                      <c:formatCode>_(* #,##0.0_);_(* \(#,##0.0\);_(* "-"??_);_(@_)</c:formatCode>
                      <c:ptCount val="1"/>
                      <c:pt idx="0">
                        <c:v>0</c:v>
                      </c:pt>
                    </c:numCache>
                  </c:numRef>
                </c:val>
                <c:extLst xmlns:c15="http://schemas.microsoft.com/office/drawing/2012/chart">
                  <c:ext xmlns:c16="http://schemas.microsoft.com/office/drawing/2014/chart" uri="{C3380CC4-5D6E-409C-BE32-E72D297353CC}">
                    <c16:uniqueId val="{00000009-B339-447C-93D8-32ABFEB9E966}"/>
                  </c:ext>
                </c:extLst>
              </c15:ser>
            </c15:filteredBarSeries>
            <c15:filteredBarSeries>
              <c15:ser>
                <c:idx val="7"/>
                <c:order val="9"/>
                <c:tx>
                  <c:strRef>
                    <c:extLst xmlns:c15="http://schemas.microsoft.com/office/drawing/2012/chart">
                      <c:ext xmlns:c15="http://schemas.microsoft.com/office/drawing/2012/chart" uri="{02D57815-91ED-43cb-92C2-25804820EDAC}">
                        <c15:formulaRef>
                          <c15:sqref>Cost!$AD$3</c15:sqref>
                        </c15:formulaRef>
                      </c:ext>
                    </c:extLst>
                    <c:strCache>
                      <c:ptCount val="1"/>
                      <c:pt idx="0">
                        <c:v>Humidification</c:v>
                      </c:pt>
                    </c:strCache>
                  </c:strRef>
                </c:tx>
                <c:spPr>
                  <a:solidFill>
                    <a:srgbClr val="0058A4"/>
                  </a:solidFill>
                </c:spPr>
                <c:invertIfNegative val="0"/>
                <c:cat>
                  <c:strRef>
                    <c:extLst xmlns:c15="http://schemas.microsoft.com/office/drawing/2012/chart">
                      <c:ext xmlns:c15="http://schemas.microsoft.com/office/drawing/2012/chart" uri="{02D57815-91ED-43cb-92C2-25804820EDAC}">
                        <c15:formulaRef>
                          <c15:sqref>Cost!$S$6:$S$12</c15:sqref>
                        </c15:formulaRef>
                      </c:ext>
                    </c:extLst>
                    <c:strCache>
                      <c:ptCount val="7"/>
                      <c:pt idx="0">
                        <c:v> Proposed Design </c:v>
                      </c:pt>
                      <c:pt idx="1">
                        <c:v>   </c:v>
                      </c:pt>
                      <c:pt idx="2">
                        <c:v>   </c:v>
                      </c:pt>
                      <c:pt idx="3">
                        <c:v>   </c:v>
                      </c:pt>
                      <c:pt idx="4">
                        <c:v>   </c:v>
                      </c:pt>
                      <c:pt idx="5">
                        <c:v>   </c:v>
                      </c:pt>
                      <c:pt idx="6">
                        <c:v>   </c:v>
                      </c:pt>
                    </c:strCache>
                  </c:strRef>
                </c:cat>
                <c:val>
                  <c:numRef>
                    <c:extLst xmlns:c15="http://schemas.microsoft.com/office/drawing/2012/chart">
                      <c:ext xmlns:c15="http://schemas.microsoft.com/office/drawing/2012/chart" uri="{02D57815-91ED-43cb-92C2-25804820EDAC}">
                        <c15:formulaRef>
                          <c15:sqref>Cost!ECI_10</c15:sqref>
                        </c15:formulaRef>
                      </c:ext>
                    </c:extLst>
                    <c:numCache>
                      <c:formatCode>_(* #,##0.0_);_(* \(#,##0.0\);_(* "-"??_);_(@_)</c:formatCode>
                      <c:ptCount val="1"/>
                      <c:pt idx="0">
                        <c:v>0</c:v>
                      </c:pt>
                    </c:numCache>
                  </c:numRef>
                </c:val>
                <c:extLst xmlns:c15="http://schemas.microsoft.com/office/drawing/2012/chart">
                  <c:ext xmlns:c16="http://schemas.microsoft.com/office/drawing/2014/chart" uri="{C3380CC4-5D6E-409C-BE32-E72D297353CC}">
                    <c16:uniqueId val="{0000000A-B339-447C-93D8-32ABFEB9E966}"/>
                  </c:ext>
                </c:extLst>
              </c15:ser>
            </c15:filteredBarSeries>
            <c15:filteredBarSeries>
              <c15:ser>
                <c:idx val="19"/>
                <c:order val="10"/>
                <c:tx>
                  <c:strRef>
                    <c:extLst xmlns:c15="http://schemas.microsoft.com/office/drawing/2012/chart">
                      <c:ext xmlns:c15="http://schemas.microsoft.com/office/drawing/2012/chart" uri="{02D57815-91ED-43cb-92C2-25804820EDAC}">
                        <c15:formulaRef>
                          <c15:sqref>Cost!$AE$3</c15:sqref>
                        </c15:formulaRef>
                      </c:ext>
                    </c:extLst>
                    <c:strCache>
                      <c:ptCount val="1"/>
                      <c:pt idx="0">
                        <c:v>Heat Recovery</c:v>
                      </c:pt>
                    </c:strCache>
                  </c:strRef>
                </c:tx>
                <c:spPr>
                  <a:solidFill>
                    <a:srgbClr val="F8B1AA"/>
                  </a:solidFill>
                </c:spPr>
                <c:invertIfNegative val="0"/>
                <c:cat>
                  <c:strRef>
                    <c:extLst xmlns:c15="http://schemas.microsoft.com/office/drawing/2012/chart">
                      <c:ext xmlns:c15="http://schemas.microsoft.com/office/drawing/2012/chart" uri="{02D57815-91ED-43cb-92C2-25804820EDAC}">
                        <c15:formulaRef>
                          <c15:sqref>Cost!$S$6:$S$12</c15:sqref>
                        </c15:formulaRef>
                      </c:ext>
                    </c:extLst>
                    <c:strCache>
                      <c:ptCount val="7"/>
                      <c:pt idx="0">
                        <c:v> Proposed Design </c:v>
                      </c:pt>
                      <c:pt idx="1">
                        <c:v>   </c:v>
                      </c:pt>
                      <c:pt idx="2">
                        <c:v>   </c:v>
                      </c:pt>
                      <c:pt idx="3">
                        <c:v>   </c:v>
                      </c:pt>
                      <c:pt idx="4">
                        <c:v>   </c:v>
                      </c:pt>
                      <c:pt idx="5">
                        <c:v>   </c:v>
                      </c:pt>
                      <c:pt idx="6">
                        <c:v>   </c:v>
                      </c:pt>
                    </c:strCache>
                  </c:strRef>
                </c:cat>
                <c:val>
                  <c:numRef>
                    <c:extLst xmlns:c15="http://schemas.microsoft.com/office/drawing/2012/chart">
                      <c:ext xmlns:c15="http://schemas.microsoft.com/office/drawing/2012/chart" uri="{02D57815-91ED-43cb-92C2-25804820EDAC}">
                        <c15:formulaRef>
                          <c15:sqref>Cost!ECI_11</c15:sqref>
                        </c15:formulaRef>
                      </c:ext>
                    </c:extLst>
                    <c:numCache>
                      <c:formatCode>_(* #,##0.0_);_(* \(#,##0.0\);_(* "-"??_);_(@_)</c:formatCode>
                      <c:ptCount val="1"/>
                      <c:pt idx="0">
                        <c:v>0</c:v>
                      </c:pt>
                    </c:numCache>
                  </c:numRef>
                </c:val>
                <c:extLst xmlns:c15="http://schemas.microsoft.com/office/drawing/2012/chart">
                  <c:ext xmlns:c16="http://schemas.microsoft.com/office/drawing/2014/chart" uri="{C3380CC4-5D6E-409C-BE32-E72D297353CC}">
                    <c16:uniqueId val="{0000000B-B339-447C-93D8-32ABFEB9E966}"/>
                  </c:ext>
                </c:extLst>
              </c15:ser>
            </c15:filteredBarSeries>
            <c15:filteredBarSeries>
              <c15:ser>
                <c:idx val="14"/>
                <c:order val="11"/>
                <c:tx>
                  <c:strRef>
                    <c:extLst>
                      <c:ext xmlns:c15="http://schemas.microsoft.com/office/drawing/2012/chart" uri="{02D57815-91ED-43cb-92C2-25804820EDAC}">
                        <c15:formulaRef>
                          <c15:sqref>Cost!$AF$3</c15:sqref>
                        </c15:formulaRef>
                      </c:ext>
                    </c:extLst>
                    <c:strCache>
                      <c:ptCount val="1"/>
                      <c:pt idx="0">
                        <c:v>Water Systems</c:v>
                      </c:pt>
                    </c:strCache>
                  </c:strRef>
                </c:tx>
                <c:spPr>
                  <a:solidFill>
                    <a:srgbClr val="A71C0D"/>
                  </a:solidFill>
                </c:spPr>
                <c:invertIfNegative val="0"/>
                <c:cat>
                  <c:strRef>
                    <c:extLst>
                      <c:ext xmlns:c15="http://schemas.microsoft.com/office/drawing/2012/chart" uri="{02D57815-91ED-43cb-92C2-25804820EDAC}">
                        <c15:formulaRef>
                          <c15:sqref>Cost!$S$6:$S$12</c15:sqref>
                        </c15:formulaRef>
                      </c:ext>
                    </c:extLst>
                    <c:strCache>
                      <c:ptCount val="7"/>
                      <c:pt idx="0">
                        <c:v> Proposed Design </c:v>
                      </c:pt>
                      <c:pt idx="1">
                        <c:v>   </c:v>
                      </c:pt>
                      <c:pt idx="2">
                        <c:v>   </c:v>
                      </c:pt>
                      <c:pt idx="3">
                        <c:v>   </c:v>
                      </c:pt>
                      <c:pt idx="4">
                        <c:v>   </c:v>
                      </c:pt>
                      <c:pt idx="5">
                        <c:v>   </c:v>
                      </c:pt>
                      <c:pt idx="6">
                        <c:v>   </c:v>
                      </c:pt>
                    </c:strCache>
                  </c:strRef>
                </c:cat>
                <c:val>
                  <c:numRef>
                    <c:extLst>
                      <c:ext xmlns:c15="http://schemas.microsoft.com/office/drawing/2012/chart" uri="{02D57815-91ED-43cb-92C2-25804820EDAC}">
                        <c15:formulaRef>
                          <c15:sqref>Cost!ECI_12</c15:sqref>
                        </c15:formulaRef>
                      </c:ext>
                    </c:extLst>
                    <c:numCache>
                      <c:formatCode>_(* #,##0.0_);_(* \(#,##0.0\);_(* "-"??_);_(@_)</c:formatCode>
                      <c:ptCount val="1"/>
                      <c:pt idx="0">
                        <c:v>0</c:v>
                      </c:pt>
                    </c:numCache>
                  </c:numRef>
                </c:val>
                <c:extLst xmlns:c15="http://schemas.microsoft.com/office/drawing/2012/chart">
                  <c:ext xmlns:c16="http://schemas.microsoft.com/office/drawing/2014/chart" uri="{C3380CC4-5D6E-409C-BE32-E72D297353CC}">
                    <c16:uniqueId val="{0000000C-B339-447C-93D8-32ABFEB9E966}"/>
                  </c:ext>
                </c:extLst>
              </c15:ser>
            </c15:filteredBarSeries>
            <c15:filteredBarSeries>
              <c15:ser>
                <c:idx val="15"/>
                <c:order val="12"/>
                <c:tx>
                  <c:strRef>
                    <c:extLst xmlns:c15="http://schemas.microsoft.com/office/drawing/2012/chart">
                      <c:ext xmlns:c15="http://schemas.microsoft.com/office/drawing/2012/chart" uri="{02D57815-91ED-43cb-92C2-25804820EDAC}">
                        <c15:formulaRef>
                          <c15:sqref>Cost!$AG$3</c15:sqref>
                        </c15:formulaRef>
                      </c:ext>
                    </c:extLst>
                    <c:strCache>
                      <c:ptCount val="1"/>
                      <c:pt idx="0">
                        <c:v>Refrigeration</c:v>
                      </c:pt>
                    </c:strCache>
                  </c:strRef>
                </c:tx>
                <c:spPr>
                  <a:solidFill>
                    <a:srgbClr val="A1ABB2"/>
                  </a:solidFill>
                </c:spPr>
                <c:invertIfNegative val="0"/>
                <c:cat>
                  <c:strRef>
                    <c:extLst xmlns:c15="http://schemas.microsoft.com/office/drawing/2012/chart">
                      <c:ext xmlns:c15="http://schemas.microsoft.com/office/drawing/2012/chart" uri="{02D57815-91ED-43cb-92C2-25804820EDAC}">
                        <c15:formulaRef>
                          <c15:sqref>Cost!$S$6:$S$12</c15:sqref>
                        </c15:formulaRef>
                      </c:ext>
                    </c:extLst>
                    <c:strCache>
                      <c:ptCount val="7"/>
                      <c:pt idx="0">
                        <c:v> Proposed Design </c:v>
                      </c:pt>
                      <c:pt idx="1">
                        <c:v>   </c:v>
                      </c:pt>
                      <c:pt idx="2">
                        <c:v>   </c:v>
                      </c:pt>
                      <c:pt idx="3">
                        <c:v>   </c:v>
                      </c:pt>
                      <c:pt idx="4">
                        <c:v>   </c:v>
                      </c:pt>
                      <c:pt idx="5">
                        <c:v>   </c:v>
                      </c:pt>
                      <c:pt idx="6">
                        <c:v>   </c:v>
                      </c:pt>
                    </c:strCache>
                  </c:strRef>
                </c:cat>
                <c:val>
                  <c:numRef>
                    <c:extLst xmlns:c15="http://schemas.microsoft.com/office/drawing/2012/chart">
                      <c:ext xmlns:c15="http://schemas.microsoft.com/office/drawing/2012/chart" uri="{02D57815-91ED-43cb-92C2-25804820EDAC}">
                        <c15:formulaRef>
                          <c15:sqref>Cost!ECI_13</c15:sqref>
                        </c15:formulaRef>
                      </c:ext>
                    </c:extLst>
                    <c:numCache>
                      <c:formatCode>_(* #,##0.0_);_(* \(#,##0.0\);_(* "-"??_);_(@_)</c:formatCode>
                      <c:ptCount val="1"/>
                      <c:pt idx="0">
                        <c:v>0</c:v>
                      </c:pt>
                    </c:numCache>
                  </c:numRef>
                </c:val>
                <c:extLst xmlns:c15="http://schemas.microsoft.com/office/drawing/2012/chart">
                  <c:ext xmlns:c16="http://schemas.microsoft.com/office/drawing/2014/chart" uri="{C3380CC4-5D6E-409C-BE32-E72D297353CC}">
                    <c16:uniqueId val="{0000000D-B339-447C-93D8-32ABFEB9E966}"/>
                  </c:ext>
                </c:extLst>
              </c15:ser>
            </c15:filteredBarSeries>
            <c15:filteredBarSeries>
              <c15:ser>
                <c:idx val="11"/>
                <c:order val="13"/>
                <c:tx>
                  <c:strRef>
                    <c:extLst xmlns:c15="http://schemas.microsoft.com/office/drawing/2012/chart">
                      <c:ext xmlns:c15="http://schemas.microsoft.com/office/drawing/2012/chart" uri="{02D57815-91ED-43cb-92C2-25804820EDAC}">
                        <c15:formulaRef>
                          <c15:sqref>Cost!$AH$3</c15:sqref>
                        </c15:formulaRef>
                      </c:ext>
                    </c:extLst>
                    <c:strCache>
                      <c:ptCount val="1"/>
                      <c:pt idx="0">
                        <c:v>Generators</c:v>
                      </c:pt>
                    </c:strCache>
                  </c:strRef>
                </c:tx>
                <c:spPr>
                  <a:solidFill>
                    <a:srgbClr val="89AF5B"/>
                  </a:solidFill>
                </c:spPr>
                <c:invertIfNegative val="0"/>
                <c:cat>
                  <c:strRef>
                    <c:extLst xmlns:c15="http://schemas.microsoft.com/office/drawing/2012/chart">
                      <c:ext xmlns:c15="http://schemas.microsoft.com/office/drawing/2012/chart" uri="{02D57815-91ED-43cb-92C2-25804820EDAC}">
                        <c15:formulaRef>
                          <c15:sqref>Cost!$S$6:$S$12</c15:sqref>
                        </c15:formulaRef>
                      </c:ext>
                    </c:extLst>
                    <c:strCache>
                      <c:ptCount val="7"/>
                      <c:pt idx="0">
                        <c:v> Proposed Design </c:v>
                      </c:pt>
                      <c:pt idx="1">
                        <c:v>   </c:v>
                      </c:pt>
                      <c:pt idx="2">
                        <c:v>   </c:v>
                      </c:pt>
                      <c:pt idx="3">
                        <c:v>   </c:v>
                      </c:pt>
                      <c:pt idx="4">
                        <c:v>   </c:v>
                      </c:pt>
                      <c:pt idx="5">
                        <c:v>   </c:v>
                      </c:pt>
                      <c:pt idx="6">
                        <c:v>   </c:v>
                      </c:pt>
                    </c:strCache>
                  </c:strRef>
                </c:cat>
                <c:val>
                  <c:numRef>
                    <c:extLst xmlns:c15="http://schemas.microsoft.com/office/drawing/2012/chart">
                      <c:ext xmlns:c15="http://schemas.microsoft.com/office/drawing/2012/chart" uri="{02D57815-91ED-43cb-92C2-25804820EDAC}">
                        <c15:formulaRef>
                          <c15:sqref>Cost!ECI_14</c15:sqref>
                        </c15:formulaRef>
                      </c:ext>
                    </c:extLst>
                    <c:numCache>
                      <c:formatCode>_(* #,##0.0_);_(* \(#,##0.0\);_(* "-"??_);_(@_)</c:formatCode>
                      <c:ptCount val="1"/>
                      <c:pt idx="0">
                        <c:v>0</c:v>
                      </c:pt>
                    </c:numCache>
                  </c:numRef>
                </c:val>
                <c:extLst xmlns:c15="http://schemas.microsoft.com/office/drawing/2012/chart">
                  <c:ext xmlns:c16="http://schemas.microsoft.com/office/drawing/2014/chart" uri="{C3380CC4-5D6E-409C-BE32-E72D297353CC}">
                    <c16:uniqueId val="{0000000E-B339-447C-93D8-32ABFEB9E966}"/>
                  </c:ext>
                </c:extLst>
              </c15:ser>
            </c15:filteredBarSeries>
            <c15:filteredBarSeries>
              <c15:ser>
                <c:idx val="16"/>
                <c:order val="14"/>
                <c:tx>
                  <c:strRef>
                    <c:extLst xmlns:c15="http://schemas.microsoft.com/office/drawing/2012/chart">
                      <c:ext xmlns:c15="http://schemas.microsoft.com/office/drawing/2012/chart" uri="{02D57815-91ED-43cb-92C2-25804820EDAC}">
                        <c15:formulaRef>
                          <c15:sqref>Cost!$AI$3</c15:sqref>
                        </c15:formulaRef>
                      </c:ext>
                    </c:extLst>
                    <c:strCache>
                      <c:ptCount val="1"/>
                      <c:pt idx="0">
                        <c:v> </c:v>
                      </c:pt>
                    </c:strCache>
                  </c:strRef>
                </c:tx>
                <c:spPr>
                  <a:solidFill>
                    <a:srgbClr val="64696F"/>
                  </a:solidFill>
                </c:spPr>
                <c:invertIfNegative val="0"/>
                <c:cat>
                  <c:strRef>
                    <c:extLst xmlns:c15="http://schemas.microsoft.com/office/drawing/2012/chart">
                      <c:ext xmlns:c15="http://schemas.microsoft.com/office/drawing/2012/chart" uri="{02D57815-91ED-43cb-92C2-25804820EDAC}">
                        <c15:formulaRef>
                          <c15:sqref>Cost!$S$6:$S$12</c15:sqref>
                        </c15:formulaRef>
                      </c:ext>
                    </c:extLst>
                    <c:strCache>
                      <c:ptCount val="7"/>
                      <c:pt idx="0">
                        <c:v> Proposed Design </c:v>
                      </c:pt>
                      <c:pt idx="1">
                        <c:v>   </c:v>
                      </c:pt>
                      <c:pt idx="2">
                        <c:v>   </c:v>
                      </c:pt>
                      <c:pt idx="3">
                        <c:v>   </c:v>
                      </c:pt>
                      <c:pt idx="4">
                        <c:v>   </c:v>
                      </c:pt>
                      <c:pt idx="5">
                        <c:v>   </c:v>
                      </c:pt>
                      <c:pt idx="6">
                        <c:v>   </c:v>
                      </c:pt>
                    </c:strCache>
                  </c:strRef>
                </c:cat>
                <c:val>
                  <c:numRef>
                    <c:extLst xmlns:c15="http://schemas.microsoft.com/office/drawing/2012/chart">
                      <c:ext xmlns:c15="http://schemas.microsoft.com/office/drawing/2012/chart" uri="{02D57815-91ED-43cb-92C2-25804820EDAC}">
                        <c15:formulaRef>
                          <c15:sqref>Cost!ECI_15</c15:sqref>
                        </c15:formulaRef>
                      </c:ext>
                    </c:extLst>
                    <c:numCache>
                      <c:formatCode>_(* #,##0.0_);_(* \(#,##0.0\);_(* "-"??_);_(@_)</c:formatCode>
                      <c:ptCount val="1"/>
                      <c:pt idx="0">
                        <c:v>0</c:v>
                      </c:pt>
                    </c:numCache>
                  </c:numRef>
                </c:val>
                <c:extLst xmlns:c15="http://schemas.microsoft.com/office/drawing/2012/chart">
                  <c:ext xmlns:c16="http://schemas.microsoft.com/office/drawing/2014/chart" uri="{C3380CC4-5D6E-409C-BE32-E72D297353CC}">
                    <c16:uniqueId val="{0000000F-B339-447C-93D8-32ABFEB9E966}"/>
                  </c:ext>
                </c:extLst>
              </c15:ser>
            </c15:filteredBarSeries>
            <c15:filteredBarSeries>
              <c15:ser>
                <c:idx val="18"/>
                <c:order val="15"/>
                <c:tx>
                  <c:strRef>
                    <c:extLst xmlns:c15="http://schemas.microsoft.com/office/drawing/2012/chart">
                      <c:ext xmlns:c15="http://schemas.microsoft.com/office/drawing/2012/chart" uri="{02D57815-91ED-43cb-92C2-25804820EDAC}">
                        <c15:formulaRef>
                          <c15:sqref>Cost!$AJ$3</c15:sqref>
                        </c15:formulaRef>
                      </c:ext>
                    </c:extLst>
                    <c:strCache>
                      <c:ptCount val="1"/>
                      <c:pt idx="0">
                        <c:v> </c:v>
                      </c:pt>
                    </c:strCache>
                  </c:strRef>
                </c:tx>
                <c:spPr>
                  <a:solidFill>
                    <a:srgbClr val="3C393C"/>
                  </a:solidFill>
                </c:spPr>
                <c:invertIfNegative val="0"/>
                <c:cat>
                  <c:strRef>
                    <c:extLst xmlns:c15="http://schemas.microsoft.com/office/drawing/2012/chart">
                      <c:ext xmlns:c15="http://schemas.microsoft.com/office/drawing/2012/chart" uri="{02D57815-91ED-43cb-92C2-25804820EDAC}">
                        <c15:formulaRef>
                          <c15:sqref>Cost!$S$6:$S$12</c15:sqref>
                        </c15:formulaRef>
                      </c:ext>
                    </c:extLst>
                    <c:strCache>
                      <c:ptCount val="7"/>
                      <c:pt idx="0">
                        <c:v> Proposed Design </c:v>
                      </c:pt>
                      <c:pt idx="1">
                        <c:v>   </c:v>
                      </c:pt>
                      <c:pt idx="2">
                        <c:v>   </c:v>
                      </c:pt>
                      <c:pt idx="3">
                        <c:v>   </c:v>
                      </c:pt>
                      <c:pt idx="4">
                        <c:v>   </c:v>
                      </c:pt>
                      <c:pt idx="5">
                        <c:v>   </c:v>
                      </c:pt>
                      <c:pt idx="6">
                        <c:v>   </c:v>
                      </c:pt>
                    </c:strCache>
                  </c:strRef>
                </c:cat>
                <c:val>
                  <c:numRef>
                    <c:extLst xmlns:c15="http://schemas.microsoft.com/office/drawing/2012/chart">
                      <c:ext xmlns:c15="http://schemas.microsoft.com/office/drawing/2012/chart" uri="{02D57815-91ED-43cb-92C2-25804820EDAC}">
                        <c15:formulaRef>
                          <c15:sqref>Cost!ECI_16</c15:sqref>
                        </c15:formulaRef>
                      </c:ext>
                    </c:extLst>
                    <c:numCache>
                      <c:formatCode>_(* #,##0.0_);_(* \(#,##0.0\);_(* "-"??_);_(@_)</c:formatCode>
                      <c:ptCount val="1"/>
                      <c:pt idx="0">
                        <c:v>0</c:v>
                      </c:pt>
                    </c:numCache>
                  </c:numRef>
                </c:val>
                <c:extLst xmlns:c15="http://schemas.microsoft.com/office/drawing/2012/chart">
                  <c:ext xmlns:c16="http://schemas.microsoft.com/office/drawing/2014/chart" uri="{C3380CC4-5D6E-409C-BE32-E72D297353CC}">
                    <c16:uniqueId val="{00000010-B339-447C-93D8-32ABFEB9E966}"/>
                  </c:ext>
                </c:extLst>
              </c15:ser>
            </c15:filteredBarSeries>
            <c15:filteredBarSeries>
              <c15:ser>
                <c:idx val="17"/>
                <c:order val="16"/>
                <c:tx>
                  <c:strRef>
                    <c:extLst xmlns:c15="http://schemas.microsoft.com/office/drawing/2012/chart">
                      <c:ext xmlns:c15="http://schemas.microsoft.com/office/drawing/2012/chart" uri="{02D57815-91ED-43cb-92C2-25804820EDAC}">
                        <c15:formulaRef>
                          <c15:sqref>Cost!$AK$3</c15:sqref>
                        </c15:formulaRef>
                      </c:ext>
                    </c:extLst>
                    <c:strCache>
                      <c:ptCount val="1"/>
                      <c:pt idx="0">
                        <c:v>Uncertainty</c:v>
                      </c:pt>
                    </c:strCache>
                  </c:strRef>
                </c:tx>
                <c:spPr>
                  <a:noFill/>
                  <a:ln>
                    <a:solidFill>
                      <a:schemeClr val="bg1">
                        <a:lumMod val="50000"/>
                      </a:schemeClr>
                    </a:solidFill>
                    <a:prstDash val="dash"/>
                  </a:ln>
                </c:spPr>
                <c:invertIfNegative val="0"/>
                <c:cat>
                  <c:strRef>
                    <c:extLst xmlns:c15="http://schemas.microsoft.com/office/drawing/2012/chart">
                      <c:ext xmlns:c15="http://schemas.microsoft.com/office/drawing/2012/chart" uri="{02D57815-91ED-43cb-92C2-25804820EDAC}">
                        <c15:formulaRef>
                          <c15:sqref>Cost!$S$6:$S$12</c15:sqref>
                        </c15:formulaRef>
                      </c:ext>
                    </c:extLst>
                    <c:strCache>
                      <c:ptCount val="7"/>
                      <c:pt idx="0">
                        <c:v> Proposed Design </c:v>
                      </c:pt>
                      <c:pt idx="1">
                        <c:v>   </c:v>
                      </c:pt>
                      <c:pt idx="2">
                        <c:v>   </c:v>
                      </c:pt>
                      <c:pt idx="3">
                        <c:v>   </c:v>
                      </c:pt>
                      <c:pt idx="4">
                        <c:v>   </c:v>
                      </c:pt>
                      <c:pt idx="5">
                        <c:v>   </c:v>
                      </c:pt>
                      <c:pt idx="6">
                        <c:v>   </c:v>
                      </c:pt>
                    </c:strCache>
                  </c:strRef>
                </c:cat>
                <c:val>
                  <c:numRef>
                    <c:extLst xmlns:c15="http://schemas.microsoft.com/office/drawing/2012/chart">
                      <c:ext xmlns:c15="http://schemas.microsoft.com/office/drawing/2012/chart" uri="{02D57815-91ED-43cb-92C2-25804820EDAC}">
                        <c15:formulaRef>
                          <c15:sqref>Cost!ECI_17</c15:sqref>
                        </c15:formulaRef>
                      </c:ext>
                    </c:extLst>
                    <c:numCache>
                      <c:formatCode>_(* #,##0.0_);_(* \(#,##0.0\);_(* "-"??_);_(@_)</c:formatCode>
                      <c:ptCount val="1"/>
                      <c:pt idx="0">
                        <c:v>0</c:v>
                      </c:pt>
                    </c:numCache>
                  </c:numRef>
                </c:val>
                <c:extLst xmlns:c15="http://schemas.microsoft.com/office/drawing/2012/chart">
                  <c:ext xmlns:c16="http://schemas.microsoft.com/office/drawing/2014/chart" uri="{C3380CC4-5D6E-409C-BE32-E72D297353CC}">
                    <c16:uniqueId val="{00000011-B339-447C-93D8-32ABFEB9E966}"/>
                  </c:ext>
                </c:extLst>
              </c15:ser>
            </c15:filteredBarSeries>
            <c15:filteredBarSeries>
              <c15:ser>
                <c:idx val="6"/>
                <c:order val="17"/>
                <c:tx>
                  <c:strRef>
                    <c:extLst xmlns:c15="http://schemas.microsoft.com/office/drawing/2012/chart">
                      <c:ext xmlns:c15="http://schemas.microsoft.com/office/drawing/2012/chart" uri="{02D57815-91ED-43cb-92C2-25804820EDAC}">
                        <c15:formulaRef>
                          <c15:sqref>Cost!$AL$3</c15:sqref>
                        </c15:formulaRef>
                      </c:ext>
                    </c:extLst>
                    <c:strCache>
                      <c:ptCount val="1"/>
                      <c:pt idx="0">
                        <c:v>PV</c:v>
                      </c:pt>
                    </c:strCache>
                  </c:strRef>
                </c:tx>
                <c:invertIfNegative val="0"/>
                <c:cat>
                  <c:strRef>
                    <c:extLst xmlns:c15="http://schemas.microsoft.com/office/drawing/2012/chart">
                      <c:ext xmlns:c15="http://schemas.microsoft.com/office/drawing/2012/chart" uri="{02D57815-91ED-43cb-92C2-25804820EDAC}">
                        <c15:formulaRef>
                          <c15:sqref>Cost!$S$6:$S$12</c15:sqref>
                        </c15:formulaRef>
                      </c:ext>
                    </c:extLst>
                    <c:strCache>
                      <c:ptCount val="7"/>
                      <c:pt idx="0">
                        <c:v> Proposed Design </c:v>
                      </c:pt>
                      <c:pt idx="1">
                        <c:v>   </c:v>
                      </c:pt>
                      <c:pt idx="2">
                        <c:v>   </c:v>
                      </c:pt>
                      <c:pt idx="3">
                        <c:v>   </c:v>
                      </c:pt>
                      <c:pt idx="4">
                        <c:v>   </c:v>
                      </c:pt>
                      <c:pt idx="5">
                        <c:v>   </c:v>
                      </c:pt>
                      <c:pt idx="6">
                        <c:v>   </c:v>
                      </c:pt>
                    </c:strCache>
                  </c:strRef>
                </c:cat>
                <c:val>
                  <c:numRef>
                    <c:extLst xmlns:c15="http://schemas.microsoft.com/office/drawing/2012/chart">
                      <c:ext xmlns:c15="http://schemas.microsoft.com/office/drawing/2012/chart" uri="{02D57815-91ED-43cb-92C2-25804820EDAC}">
                        <c15:formulaRef>
                          <c15:sqref>Cost!ECI_18</c15:sqref>
                        </c15:formulaRef>
                      </c:ext>
                    </c:extLst>
                    <c:numCache>
                      <c:formatCode>_(* #,##0.0_);_(* \(#,##0.0\);_(* "-"??_);_(@_)</c:formatCode>
                      <c:ptCount val="1"/>
                      <c:pt idx="0">
                        <c:v>0</c:v>
                      </c:pt>
                    </c:numCache>
                  </c:numRef>
                </c:val>
                <c:extLst xmlns:c15="http://schemas.microsoft.com/office/drawing/2012/chart">
                  <c:ext xmlns:c16="http://schemas.microsoft.com/office/drawing/2014/chart" uri="{C3380CC4-5D6E-409C-BE32-E72D297353CC}">
                    <c16:uniqueId val="{00000012-B339-447C-93D8-32ABFEB9E966}"/>
                  </c:ext>
                </c:extLst>
              </c15:ser>
            </c15:filteredBarSeries>
            <c15:filteredBarSeries>
              <c15:ser>
                <c:idx val="12"/>
                <c:order val="18"/>
                <c:tx>
                  <c:strRef>
                    <c:extLst xmlns:c15="http://schemas.microsoft.com/office/drawing/2012/chart">
                      <c:ext xmlns:c15="http://schemas.microsoft.com/office/drawing/2012/chart" uri="{02D57815-91ED-43cb-92C2-25804820EDAC}">
                        <c15:formulaRef>
                          <c15:sqref>Cost!$AM$3</c15:sqref>
                        </c15:formulaRef>
                      </c:ext>
                    </c:extLst>
                    <c:strCache>
                      <c:ptCount val="1"/>
                      <c:pt idx="0">
                        <c:v>Wind</c:v>
                      </c:pt>
                    </c:strCache>
                  </c:strRef>
                </c:tx>
                <c:invertIfNegative val="0"/>
                <c:cat>
                  <c:strRef>
                    <c:extLst xmlns:c15="http://schemas.microsoft.com/office/drawing/2012/chart">
                      <c:ext xmlns:c15="http://schemas.microsoft.com/office/drawing/2012/chart" uri="{02D57815-91ED-43cb-92C2-25804820EDAC}">
                        <c15:formulaRef>
                          <c15:sqref>Cost!$S$6:$S$12</c15:sqref>
                        </c15:formulaRef>
                      </c:ext>
                    </c:extLst>
                    <c:strCache>
                      <c:ptCount val="7"/>
                      <c:pt idx="0">
                        <c:v> Proposed Design </c:v>
                      </c:pt>
                      <c:pt idx="1">
                        <c:v>   </c:v>
                      </c:pt>
                      <c:pt idx="2">
                        <c:v>   </c:v>
                      </c:pt>
                      <c:pt idx="3">
                        <c:v>   </c:v>
                      </c:pt>
                      <c:pt idx="4">
                        <c:v>   </c:v>
                      </c:pt>
                      <c:pt idx="5">
                        <c:v>   </c:v>
                      </c:pt>
                      <c:pt idx="6">
                        <c:v>   </c:v>
                      </c:pt>
                    </c:strCache>
                  </c:strRef>
                </c:cat>
                <c:val>
                  <c:numRef>
                    <c:extLst xmlns:c15="http://schemas.microsoft.com/office/drawing/2012/chart">
                      <c:ext xmlns:c15="http://schemas.microsoft.com/office/drawing/2012/chart" uri="{02D57815-91ED-43cb-92C2-25804820EDAC}">
                        <c15:formulaRef>
                          <c15:sqref>Cost!ECI_19</c15:sqref>
                        </c15:formulaRef>
                      </c:ext>
                    </c:extLst>
                    <c:numCache>
                      <c:formatCode>_(* #,##0.0_);_(* \(#,##0.0\);_(* "-"??_);_(@_)</c:formatCode>
                      <c:ptCount val="1"/>
                      <c:pt idx="0">
                        <c:v>0</c:v>
                      </c:pt>
                    </c:numCache>
                  </c:numRef>
                </c:val>
                <c:extLst xmlns:c15="http://schemas.microsoft.com/office/drawing/2012/chart">
                  <c:ext xmlns:c16="http://schemas.microsoft.com/office/drawing/2014/chart" uri="{C3380CC4-5D6E-409C-BE32-E72D297353CC}">
                    <c16:uniqueId val="{00000013-B339-447C-93D8-32ABFEB9E966}"/>
                  </c:ext>
                </c:extLst>
              </c15:ser>
            </c15:filteredBarSeries>
            <c15:filteredBarSeries>
              <c15:ser>
                <c:idx val="13"/>
                <c:order val="19"/>
                <c:tx>
                  <c:strRef>
                    <c:extLst>
                      <c:ext xmlns:c15="http://schemas.microsoft.com/office/drawing/2012/chart" uri="{02D57815-91ED-43cb-92C2-25804820EDAC}">
                        <c15:formulaRef>
                          <c15:sqref>Cost!$AN$3</c15:sqref>
                        </c15:formulaRef>
                      </c:ext>
                    </c:extLst>
                    <c:strCache>
                      <c:ptCount val="1"/>
                      <c:pt idx="0">
                        <c:v>SHW</c:v>
                      </c:pt>
                    </c:strCache>
                  </c:strRef>
                </c:tx>
                <c:invertIfNegative val="0"/>
                <c:cat>
                  <c:strRef>
                    <c:extLst>
                      <c:ext xmlns:c15="http://schemas.microsoft.com/office/drawing/2012/chart" uri="{02D57815-91ED-43cb-92C2-25804820EDAC}">
                        <c15:formulaRef>
                          <c15:sqref>Cost!$S$6:$S$12</c15:sqref>
                        </c15:formulaRef>
                      </c:ext>
                    </c:extLst>
                    <c:strCache>
                      <c:ptCount val="7"/>
                      <c:pt idx="0">
                        <c:v> Proposed Design </c:v>
                      </c:pt>
                      <c:pt idx="1">
                        <c:v>   </c:v>
                      </c:pt>
                      <c:pt idx="2">
                        <c:v>   </c:v>
                      </c:pt>
                      <c:pt idx="3">
                        <c:v>   </c:v>
                      </c:pt>
                      <c:pt idx="4">
                        <c:v>   </c:v>
                      </c:pt>
                      <c:pt idx="5">
                        <c:v>   </c:v>
                      </c:pt>
                      <c:pt idx="6">
                        <c:v>   </c:v>
                      </c:pt>
                    </c:strCache>
                  </c:strRef>
                </c:cat>
                <c:val>
                  <c:numRef>
                    <c:extLst>
                      <c:ext xmlns:c15="http://schemas.microsoft.com/office/drawing/2012/chart" uri="{02D57815-91ED-43cb-92C2-25804820EDAC}">
                        <c15:formulaRef>
                          <c15:sqref>Cost!ECI_20</c15:sqref>
                        </c15:formulaRef>
                      </c:ext>
                    </c:extLst>
                    <c:numCache>
                      <c:formatCode>_(* #,##0.0_);_(* \(#,##0.0\);_(* "-"??_);_(@_)</c:formatCode>
                      <c:ptCount val="1"/>
                      <c:pt idx="0">
                        <c:v>0</c:v>
                      </c:pt>
                    </c:numCache>
                  </c:numRef>
                </c:val>
                <c:extLst xmlns:c15="http://schemas.microsoft.com/office/drawing/2012/chart">
                  <c:ext xmlns:c16="http://schemas.microsoft.com/office/drawing/2014/chart" uri="{C3380CC4-5D6E-409C-BE32-E72D297353CC}">
                    <c16:uniqueId val="{00000014-B339-447C-93D8-32ABFEB9E966}"/>
                  </c:ext>
                </c:extLst>
              </c15:ser>
            </c15:filteredBarSeries>
          </c:ext>
        </c:extLst>
      </c:barChart>
      <c:scatterChart>
        <c:scatterStyle val="lineMarker"/>
        <c:varyColors val="0"/>
        <c:dLbls>
          <c:showLegendKey val="0"/>
          <c:showVal val="0"/>
          <c:showCatName val="0"/>
          <c:showSerName val="0"/>
          <c:showPercent val="0"/>
          <c:showBubbleSize val="0"/>
        </c:dLbls>
        <c:axId val="496616111"/>
        <c:axId val="496618591"/>
        <c:extLst>
          <c:ext xmlns:c15="http://schemas.microsoft.com/office/drawing/2012/chart" uri="{02D57815-91ED-43cb-92C2-25804820EDAC}">
            <c15:filteredScatterSeries>
              <c15:ser>
                <c:idx val="20"/>
                <c:order val="20"/>
                <c:tx>
                  <c:strRef>
                    <c:extLst>
                      <c:ext uri="{02D57815-91ED-43cb-92C2-25804820EDAC}">
                        <c15:formulaRef>
                          <c15:sqref>Cost!$AS$20</c15:sqref>
                        </c15:formulaRef>
                      </c:ext>
                    </c:extLst>
                    <c:strCache>
                      <c:ptCount val="1"/>
                      <c:pt idx="0">
                        <c:v>#VALUE!</c:v>
                      </c:pt>
                    </c:strCache>
                  </c:strRef>
                </c:tx>
                <c:spPr>
                  <a:ln>
                    <a:solidFill>
                      <a:srgbClr val="C00000"/>
                    </a:solidFill>
                    <a:prstDash val="sysDash"/>
                  </a:ln>
                </c:spPr>
                <c:marker>
                  <c:symbol val="none"/>
                </c:marker>
                <c:dLbls>
                  <c:dLbl>
                    <c:idx val="0"/>
                    <c:delete val="1"/>
                    <c:extLst>
                      <c:ext uri="{CE6537A1-D6FC-4f65-9D91-7224C49458BB}"/>
                      <c:ext xmlns:c16="http://schemas.microsoft.com/office/drawing/2014/chart" uri="{C3380CC4-5D6E-409C-BE32-E72D297353CC}">
                        <c16:uniqueId val="{00000015-B339-447C-93D8-32ABFEB9E966}"/>
                      </c:ext>
                    </c:extLst>
                  </c:dLbl>
                  <c:dLbl>
                    <c:idx val="1"/>
                    <c:spPr>
                      <a:noFill/>
                      <a:ln>
                        <a:noFill/>
                      </a:ln>
                      <a:effectLst/>
                    </c:spPr>
                    <c:txPr>
                      <a:bodyPr wrap="square" lIns="38100" tIns="19050" rIns="38100" bIns="19050" anchor="ctr">
                        <a:spAutoFit/>
                      </a:bodyPr>
                      <a:lstStyle/>
                      <a:p>
                        <a:pPr>
                          <a:defRPr sz="800">
                            <a:latin typeface="Franklin Gothic Book" panose="020B0503020102020204" pitchFamily="34" charset="0"/>
                          </a:defRPr>
                        </a:pPr>
                        <a:endParaRPr lang="en-US"/>
                      </a:p>
                    </c:txPr>
                    <c:dLblPos val="t"/>
                    <c:showLegendKey val="0"/>
                    <c:showVal val="0"/>
                    <c:showCatName val="0"/>
                    <c:showSerName val="1"/>
                    <c:showPercent val="0"/>
                    <c:showBubbleSize val="0"/>
                    <c:extLst>
                      <c:ext xmlns:c16="http://schemas.microsoft.com/office/drawing/2014/chart" uri="{C3380CC4-5D6E-409C-BE32-E72D297353CC}">
                        <c16:uniqueId val="{00000016-B339-447C-93D8-32ABFEB9E966}"/>
                      </c:ext>
                    </c:extLst>
                  </c:dLbl>
                  <c:spPr>
                    <a:noFill/>
                    <a:ln>
                      <a:noFill/>
                    </a:ln>
                    <a:effectLst/>
                  </c:spPr>
                  <c:dLblPos val="t"/>
                  <c:showLegendKey val="0"/>
                  <c:showVal val="0"/>
                  <c:showCatName val="0"/>
                  <c:showSerName val="1"/>
                  <c:showPercent val="0"/>
                  <c:showBubbleSize val="0"/>
                  <c:showLeaderLines val="0"/>
                  <c:extLst>
                    <c:ext uri="{CE6537A1-D6FC-4f65-9D91-7224C49458BB}">
                      <c15:showLeaderLines val="0"/>
                    </c:ext>
                  </c:extLst>
                </c:dLbls>
                <c:yVal>
                  <c:numRef>
                    <c:extLst>
                      <c:ext uri="{02D57815-91ED-43cb-92C2-25804820EDAC}">
                        <c15:formulaRef>
                          <c15:sqref>Cost!$AT$20:$AU$20</c15:sqref>
                        </c15:formulaRef>
                      </c:ext>
                    </c:extLst>
                    <c:numCache>
                      <c:formatCode>_(* #,##0.0_);_(* \(#,##0.0\);_(* "-"??_);_(@_)</c:formatCode>
                      <c:ptCount val="2"/>
                      <c:pt idx="0">
                        <c:v>0</c:v>
                      </c:pt>
                      <c:pt idx="1">
                        <c:v>0</c:v>
                      </c:pt>
                    </c:numCache>
                  </c:numRef>
                </c:yVal>
                <c:smooth val="0"/>
                <c:extLst>
                  <c:ext xmlns:c16="http://schemas.microsoft.com/office/drawing/2014/chart" uri="{C3380CC4-5D6E-409C-BE32-E72D297353CC}">
                    <c16:uniqueId val="{00000017-B339-447C-93D8-32ABFEB9E966}"/>
                  </c:ext>
                </c:extLst>
              </c15:ser>
            </c15:filteredScatterSeries>
            <c15:filteredScatterSeries>
              <c15:ser>
                <c:idx val="21"/>
                <c:order val="21"/>
                <c:tx>
                  <c:strRef>
                    <c:extLst xmlns:c15="http://schemas.microsoft.com/office/drawing/2012/chart">
                      <c:ext xmlns:c15="http://schemas.microsoft.com/office/drawing/2012/chart" uri="{02D57815-91ED-43cb-92C2-25804820EDAC}">
                        <c15:formulaRef>
                          <c15:sqref>Cost!$AS$21</c15:sqref>
                        </c15:formulaRef>
                      </c:ext>
                    </c:extLst>
                    <c:strCache>
                      <c:ptCount val="1"/>
                      <c:pt idx="0">
                        <c:v>#VALUE!</c:v>
                      </c:pt>
                    </c:strCache>
                  </c:strRef>
                </c:tx>
                <c:spPr>
                  <a:ln>
                    <a:solidFill>
                      <a:schemeClr val="tx2"/>
                    </a:solidFill>
                    <a:prstDash val="sysDash"/>
                  </a:ln>
                </c:spPr>
                <c:marker>
                  <c:symbol val="none"/>
                </c:marker>
                <c:dLbls>
                  <c:dLbl>
                    <c:idx val="0"/>
                    <c:delete val="1"/>
                    <c:extLst xmlns:c15="http://schemas.microsoft.com/office/drawing/2012/chart">
                      <c:ext xmlns:c15="http://schemas.microsoft.com/office/drawing/2012/chart" uri="{CE6537A1-D6FC-4f65-9D91-7224C49458BB}"/>
                      <c:ext xmlns:c16="http://schemas.microsoft.com/office/drawing/2014/chart" uri="{C3380CC4-5D6E-409C-BE32-E72D297353CC}">
                        <c16:uniqueId val="{00000018-B339-447C-93D8-32ABFEB9E966}"/>
                      </c:ext>
                    </c:extLst>
                  </c:dLbl>
                  <c:dLbl>
                    <c:idx val="1"/>
                    <c:tx>
                      <c:rich>
                        <a:bodyPr/>
                        <a:lstStyle/>
                        <a:p>
                          <a:fld id="{6E826609-AAFE-4FC1-BB89-D61F787E5C5A}" type="SERIESNAME">
                            <a:rPr lang="en-US" sz="800">
                              <a:latin typeface="Franklin Gothic Book" panose="020B0503020102020204" pitchFamily="34" charset="0"/>
                            </a:rPr>
                            <a:pPr/>
                            <a:t>[SERIES NAME]</a:t>
                          </a:fld>
                          <a:endParaRPr lang="en-US"/>
                        </a:p>
                      </c:rich>
                    </c:tx>
                    <c:dLblPos val="t"/>
                    <c:showLegendKey val="0"/>
                    <c:showVal val="0"/>
                    <c:showCatName val="0"/>
                    <c:showSerName val="1"/>
                    <c:showPercent val="0"/>
                    <c:showBubbleSize val="0"/>
                    <c:extLst xmlns:c15="http://schemas.microsoft.com/office/drawing/2012/chart">
                      <c:ext xmlns:c15="http://schemas.microsoft.com/office/drawing/2012/chart" uri="{CE6537A1-D6FC-4f65-9D91-7224C49458BB}">
                        <c15:dlblFieldTable/>
                        <c15:showDataLabelsRange val="0"/>
                      </c:ext>
                      <c:ext xmlns:c16="http://schemas.microsoft.com/office/drawing/2014/chart" uri="{C3380CC4-5D6E-409C-BE32-E72D297353CC}">
                        <c16:uniqueId val="{00000019-B339-447C-93D8-32ABFEB9E966}"/>
                      </c:ext>
                    </c:extLst>
                  </c:dLbl>
                  <c:spPr>
                    <a:noFill/>
                    <a:ln>
                      <a:noFill/>
                    </a:ln>
                    <a:effectLst/>
                  </c:spPr>
                  <c:dLblPos val="t"/>
                  <c:showLegendKey val="0"/>
                  <c:showVal val="0"/>
                  <c:showCatName val="0"/>
                  <c:showSerName val="1"/>
                  <c:showPercent val="0"/>
                  <c:showBubbleSize val="0"/>
                  <c:showLeaderLines val="0"/>
                  <c:extLst xmlns:c15="http://schemas.microsoft.com/office/drawing/2012/chart">
                    <c:ext xmlns:c15="http://schemas.microsoft.com/office/drawing/2012/chart" uri="{CE6537A1-D6FC-4f65-9D91-7224C49458BB}">
                      <c15:showLeaderLines val="0"/>
                    </c:ext>
                  </c:extLst>
                </c:dLbls>
                <c:yVal>
                  <c:numRef>
                    <c:extLst xmlns:c15="http://schemas.microsoft.com/office/drawing/2012/chart">
                      <c:ext xmlns:c15="http://schemas.microsoft.com/office/drawing/2012/chart" uri="{02D57815-91ED-43cb-92C2-25804820EDAC}">
                        <c15:formulaRef>
                          <c15:sqref>Cost!$AT$21:$AU$21</c15:sqref>
                        </c15:formulaRef>
                      </c:ext>
                    </c:extLst>
                    <c:numCache>
                      <c:formatCode>_(* #,##0.0_);_(* \(#,##0.0\);_(* "-"??_);_(@_)</c:formatCode>
                      <c:ptCount val="2"/>
                      <c:pt idx="0">
                        <c:v>0</c:v>
                      </c:pt>
                      <c:pt idx="1">
                        <c:v>0</c:v>
                      </c:pt>
                    </c:numCache>
                  </c:numRef>
                </c:yVal>
                <c:smooth val="0"/>
                <c:extLst xmlns:c15="http://schemas.microsoft.com/office/drawing/2012/chart">
                  <c:ext xmlns:c16="http://schemas.microsoft.com/office/drawing/2014/chart" uri="{C3380CC4-5D6E-409C-BE32-E72D297353CC}">
                    <c16:uniqueId val="{0000001A-B339-447C-93D8-32ABFEB9E966}"/>
                  </c:ext>
                </c:extLst>
              </c15:ser>
            </c15:filteredScatterSeries>
          </c:ext>
        </c:extLst>
      </c:scatterChart>
      <c:catAx>
        <c:axId val="208880192"/>
        <c:scaling>
          <c:orientation val="minMax"/>
        </c:scaling>
        <c:delete val="0"/>
        <c:axPos val="b"/>
        <c:numFmt formatCode="General" sourceLinked="0"/>
        <c:majorTickMark val="out"/>
        <c:minorTickMark val="none"/>
        <c:tickLblPos val="nextTo"/>
        <c:txPr>
          <a:bodyPr/>
          <a:lstStyle/>
          <a:p>
            <a:pPr>
              <a:defRPr sz="800">
                <a:solidFill>
                  <a:schemeClr val="bg1">
                    <a:lumMod val="50000"/>
                  </a:schemeClr>
                </a:solidFill>
                <a:latin typeface="Franklin Gothic Book" panose="020B0503020102020204" pitchFamily="34" charset="0"/>
                <a:cs typeface="Arial" panose="020B0604020202020204" pitchFamily="34" charset="0"/>
              </a:defRPr>
            </a:pPr>
            <a:endParaRPr lang="en-US"/>
          </a:p>
        </c:txPr>
        <c:crossAx val="208882936"/>
        <c:crosses val="autoZero"/>
        <c:auto val="1"/>
        <c:lblAlgn val="ctr"/>
        <c:lblOffset val="100"/>
        <c:noMultiLvlLbl val="0"/>
      </c:catAx>
      <c:valAx>
        <c:axId val="208882936"/>
        <c:scaling>
          <c:orientation val="minMax"/>
        </c:scaling>
        <c:delete val="0"/>
        <c:axPos val="l"/>
        <c:majorGridlines>
          <c:spPr>
            <a:ln>
              <a:solidFill>
                <a:schemeClr val="bg1">
                  <a:lumMod val="85000"/>
                </a:schemeClr>
              </a:solidFill>
            </a:ln>
          </c:spPr>
        </c:majorGridlines>
        <c:title>
          <c:tx>
            <c:strRef>
              <c:f>Cost!$S$19</c:f>
              <c:strCache>
                <c:ptCount val="1"/>
                <c:pt idx="0">
                  <c:v>Energy Cost Intensity ($/ft²)</c:v>
                </c:pt>
              </c:strCache>
            </c:strRef>
          </c:tx>
          <c:overlay val="0"/>
          <c:txPr>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sz="1000" b="1" i="0" u="none" strike="noStrike" kern="1200" baseline="0">
                  <a:solidFill>
                    <a:schemeClr val="bg1">
                      <a:lumMod val="50000"/>
                    </a:schemeClr>
                  </a:solidFill>
                  <a:latin typeface="Franklin Gothic Book" panose="020B0503020102020204" pitchFamily="34" charset="0"/>
                  <a:ea typeface="+mn-ea"/>
                  <a:cs typeface="+mn-cs"/>
                </a:defRPr>
              </a:pPr>
              <a:endParaRPr lang="en-US"/>
            </a:p>
          </c:txPr>
        </c:title>
        <c:numFmt formatCode="#,##0" sourceLinked="0"/>
        <c:majorTickMark val="out"/>
        <c:minorTickMark val="none"/>
        <c:tickLblPos val="nextTo"/>
        <c:spPr>
          <a:ln>
            <a:tailEnd type="triangle"/>
          </a:ln>
        </c:spPr>
        <c:txPr>
          <a:bodyPr/>
          <a:lstStyle/>
          <a:p>
            <a:pPr>
              <a:defRPr sz="800">
                <a:solidFill>
                  <a:schemeClr val="bg1">
                    <a:lumMod val="50000"/>
                  </a:schemeClr>
                </a:solidFill>
                <a:latin typeface="Franklin Gothic Book" panose="020B0503020102020204" pitchFamily="34" charset="0"/>
                <a:cs typeface="Arial" panose="020B0604020202020204" pitchFamily="34" charset="0"/>
              </a:defRPr>
            </a:pPr>
            <a:endParaRPr lang="en-US"/>
          </a:p>
        </c:txPr>
        <c:crossAx val="208880192"/>
        <c:crosses val="autoZero"/>
        <c:crossBetween val="between"/>
      </c:valAx>
      <c:valAx>
        <c:axId val="496618591"/>
        <c:scaling>
          <c:orientation val="minMax"/>
        </c:scaling>
        <c:delete val="1"/>
        <c:axPos val="r"/>
        <c:numFmt formatCode="_(* #,##0.0_);_(* \(#,##0.0\);_(* &quot;-&quot;??_);_(@_)" sourceLinked="1"/>
        <c:majorTickMark val="out"/>
        <c:minorTickMark val="none"/>
        <c:tickLblPos val="nextTo"/>
        <c:crossAx val="496616111"/>
        <c:crosses val="max"/>
        <c:crossBetween val="midCat"/>
      </c:valAx>
      <c:valAx>
        <c:axId val="496616111"/>
        <c:scaling>
          <c:orientation val="minMax"/>
          <c:max val="2"/>
          <c:min val="1"/>
        </c:scaling>
        <c:delete val="1"/>
        <c:axPos val="t"/>
        <c:majorTickMark val="out"/>
        <c:minorTickMark val="none"/>
        <c:tickLblPos val="nextTo"/>
        <c:crossAx val="496618591"/>
        <c:crosses val="max"/>
        <c:crossBetween val="midCat"/>
      </c:valAx>
    </c:plotArea>
    <c:legend>
      <c:legendPos val="t"/>
      <c:overlay val="0"/>
      <c:txPr>
        <a:bodyPr/>
        <a:lstStyle/>
        <a:p>
          <a:pPr>
            <a:defRPr sz="800">
              <a:latin typeface="Franklin Gothic Book" panose="020B0503020102020204" pitchFamily="34" charset="0"/>
              <a:cs typeface="Arial" panose="020B0604020202020204" pitchFamily="34" charset="0"/>
            </a:defRPr>
          </a:pPr>
          <a:endParaRPr lang="en-US"/>
        </a:p>
      </c:txPr>
    </c:legend>
    <c:plotVisOnly val="1"/>
    <c:dispBlanksAs val="gap"/>
    <c:showDLblsOverMax val="0"/>
  </c:chart>
  <c:spPr>
    <a:ln>
      <a:noFill/>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Report!$I$6</c:f>
              <c:strCache>
                <c:ptCount val="1"/>
                <c:pt idx="0">
                  <c:v>LEED Baseline</c:v>
                </c:pt>
              </c:strCache>
            </c:strRef>
          </c:tx>
          <c:spPr>
            <a:solidFill>
              <a:schemeClr val="accent1"/>
            </a:solidFill>
            <a:ln>
              <a:noFill/>
            </a:ln>
            <a:effectLst/>
          </c:spPr>
          <c:invertIfNegative val="0"/>
          <c:val>
            <c:numRef>
              <c:f>Report!$I$7:$I$22</c:f>
              <c:numCache>
                <c:formatCode>_(* #,##0_);_(* \(#,##0\);_(* "-"??_);_(@_)</c:formatCode>
                <c:ptCount val="16"/>
                <c:pt idx="0">
                  <c:v>38337.231999999996</c:v>
                </c:pt>
                <c:pt idx="1">
                  <c:v>142882.61800000002</c:v>
                </c:pt>
                <c:pt idx="2">
                  <c:v>153372.81200000001</c:v>
                </c:pt>
                <c:pt idx="3">
                  <c:v>0</c:v>
                </c:pt>
                <c:pt idx="4">
                  <c:v>180081.948</c:v>
                </c:pt>
                <c:pt idx="5">
                  <c:v>0</c:v>
                </c:pt>
                <c:pt idx="6">
                  <c:v>174795.90700000001</c:v>
                </c:pt>
                <c:pt idx="7">
                  <c:v>0</c:v>
                </c:pt>
                <c:pt idx="8">
                  <c:v>0</c:v>
                </c:pt>
                <c:pt idx="9">
                  <c:v>0</c:v>
                </c:pt>
                <c:pt idx="10">
                  <c:v>0</c:v>
                </c:pt>
                <c:pt idx="11">
                  <c:v>0</c:v>
                </c:pt>
                <c:pt idx="12">
                  <c:v>0</c:v>
                </c:pt>
                <c:pt idx="13">
                  <c:v>0</c:v>
                </c:pt>
                <c:pt idx="14">
                  <c:v>0</c:v>
                </c:pt>
                <c:pt idx="15">
                  <c:v>0</c:v>
                </c:pt>
              </c:numCache>
            </c:numRef>
          </c:val>
          <c:extLst>
            <c:ext xmlns:c15="http://schemas.microsoft.com/office/drawing/2012/chart" uri="{02D57815-91ED-43cb-92C2-25804820EDAC}">
              <c15:filteredCategoryTitle>
                <c15:cat>
                  <c:strRef>
                    <c:extLst>
                      <c:ext uri="{02D57815-91ED-43cb-92C2-25804820EDAC}">
                        <c15:formulaRef>
                          <c15:sqref>Report!$G$7:$G$22</c15:sqref>
                        </c15:formulaRef>
                      </c:ext>
                    </c:extLst>
                    <c:strCache>
                      <c:ptCount val="16"/>
                      <c:pt idx="0">
                        <c:v> Heating </c:v>
                      </c:pt>
                      <c:pt idx="1">
                        <c:v> Cooling </c:v>
                      </c:pt>
                      <c:pt idx="2">
                        <c:v> Lighting </c:v>
                      </c:pt>
                      <c:pt idx="3">
                        <c:v> Exterior Lighting </c:v>
                      </c:pt>
                      <c:pt idx="4">
                        <c:v> Equipment </c:v>
                      </c:pt>
                      <c:pt idx="5">
                        <c:v> Exterior Equipment </c:v>
                      </c:pt>
                      <c:pt idx="6">
                        <c:v> Fans </c:v>
                      </c:pt>
                      <c:pt idx="7">
                        <c:v> Pumps </c:v>
                      </c:pt>
                      <c:pt idx="8">
                        <c:v> Heat Rejection </c:v>
                      </c:pt>
                      <c:pt idx="9">
                        <c:v> Humidification </c:v>
                      </c:pt>
                      <c:pt idx="10">
                        <c:v> Heat Recovery </c:v>
                      </c:pt>
                      <c:pt idx="11">
                        <c:v> Water Systems </c:v>
                      </c:pt>
                      <c:pt idx="12">
                        <c:v> Refrigeration </c:v>
                      </c:pt>
                      <c:pt idx="13">
                        <c:v> Generators </c:v>
                      </c:pt>
                      <c:pt idx="14">
                        <c:v> -   </c:v>
                      </c:pt>
                      <c:pt idx="15">
                        <c:v> -   </c:v>
                      </c:pt>
                    </c:strCache>
                  </c:strRef>
                </c15:cat>
              </c15:filteredCategoryTitle>
            </c:ext>
            <c:ext xmlns:c16="http://schemas.microsoft.com/office/drawing/2014/chart" uri="{C3380CC4-5D6E-409C-BE32-E72D297353CC}">
              <c16:uniqueId val="{00000000-3EE8-457B-BFF7-69C904788BD0}"/>
            </c:ext>
          </c:extLst>
        </c:ser>
        <c:ser>
          <c:idx val="2"/>
          <c:order val="1"/>
          <c:tx>
            <c:strRef>
              <c:f>Report!$J$6</c:f>
              <c:strCache>
                <c:ptCount val="1"/>
                <c:pt idx="0">
                  <c:v>Code Baseline</c:v>
                </c:pt>
              </c:strCache>
            </c:strRef>
          </c:tx>
          <c:spPr>
            <a:solidFill>
              <a:schemeClr val="accent3"/>
            </a:solidFill>
            <a:ln>
              <a:noFill/>
            </a:ln>
            <a:effectLst/>
          </c:spPr>
          <c:invertIfNegative val="0"/>
          <c:val>
            <c:numRef>
              <c:f>Report!$J$7:$J$22</c:f>
              <c:numCache>
                <c:formatCode>_(* #,##0_);_(* \(#,##0\);_(* "-"??_);_(@_)</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5="http://schemas.microsoft.com/office/drawing/2012/chart" uri="{02D57815-91ED-43cb-92C2-25804820EDAC}">
              <c15:filteredCategoryTitle>
                <c15:cat>
                  <c:strRef>
                    <c:extLst>
                      <c:ext uri="{02D57815-91ED-43cb-92C2-25804820EDAC}">
                        <c15:formulaRef>
                          <c15:sqref>Report!$G$7:$G$22</c15:sqref>
                        </c15:formulaRef>
                      </c:ext>
                    </c:extLst>
                    <c:strCache>
                      <c:ptCount val="16"/>
                      <c:pt idx="0">
                        <c:v> Heating </c:v>
                      </c:pt>
                      <c:pt idx="1">
                        <c:v> Cooling </c:v>
                      </c:pt>
                      <c:pt idx="2">
                        <c:v> Lighting </c:v>
                      </c:pt>
                      <c:pt idx="3">
                        <c:v> Exterior Lighting </c:v>
                      </c:pt>
                      <c:pt idx="4">
                        <c:v> Equipment </c:v>
                      </c:pt>
                      <c:pt idx="5">
                        <c:v> Exterior Equipment </c:v>
                      </c:pt>
                      <c:pt idx="6">
                        <c:v> Fans </c:v>
                      </c:pt>
                      <c:pt idx="7">
                        <c:v> Pumps </c:v>
                      </c:pt>
                      <c:pt idx="8">
                        <c:v> Heat Rejection </c:v>
                      </c:pt>
                      <c:pt idx="9">
                        <c:v> Humidification </c:v>
                      </c:pt>
                      <c:pt idx="10">
                        <c:v> Heat Recovery </c:v>
                      </c:pt>
                      <c:pt idx="11">
                        <c:v> Water Systems </c:v>
                      </c:pt>
                      <c:pt idx="12">
                        <c:v> Refrigeration </c:v>
                      </c:pt>
                      <c:pt idx="13">
                        <c:v> Generators </c:v>
                      </c:pt>
                      <c:pt idx="14">
                        <c:v> -   </c:v>
                      </c:pt>
                      <c:pt idx="15">
                        <c:v> -   </c:v>
                      </c:pt>
                    </c:strCache>
                  </c:strRef>
                </c15:cat>
              </c15:filteredCategoryTitle>
            </c:ext>
            <c:ext xmlns:c16="http://schemas.microsoft.com/office/drawing/2014/chart" uri="{C3380CC4-5D6E-409C-BE32-E72D297353CC}">
              <c16:uniqueId val="{00000002-3EE8-457B-BFF7-69C904788BD0}"/>
            </c:ext>
          </c:extLst>
        </c:ser>
        <c:ser>
          <c:idx val="1"/>
          <c:order val="2"/>
          <c:tx>
            <c:strRef>
              <c:f>Report!$K$6</c:f>
              <c:strCache>
                <c:ptCount val="1"/>
                <c:pt idx="0">
                  <c:v>Proposed</c:v>
                </c:pt>
              </c:strCache>
            </c:strRef>
          </c:tx>
          <c:spPr>
            <a:solidFill>
              <a:schemeClr val="accent2"/>
            </a:solidFill>
            <a:ln>
              <a:noFill/>
            </a:ln>
            <a:effectLst/>
          </c:spPr>
          <c:invertIfNegative val="0"/>
          <c:val>
            <c:numRef>
              <c:f>Report!$K$7:$K$22</c:f>
              <c:numCache>
                <c:formatCode>_(* #,##0_);_(* \(#,##0\);_(* "-"??_);_(@_)</c:formatCode>
                <c:ptCount val="16"/>
                <c:pt idx="0">
                  <c:v>38337.231999999996</c:v>
                </c:pt>
                <c:pt idx="1">
                  <c:v>142882.61800000002</c:v>
                </c:pt>
                <c:pt idx="2">
                  <c:v>153372.81200000001</c:v>
                </c:pt>
                <c:pt idx="3">
                  <c:v>0</c:v>
                </c:pt>
                <c:pt idx="4">
                  <c:v>180081.948</c:v>
                </c:pt>
                <c:pt idx="5">
                  <c:v>0</c:v>
                </c:pt>
                <c:pt idx="6">
                  <c:v>174795.90700000001</c:v>
                </c:pt>
                <c:pt idx="7">
                  <c:v>0</c:v>
                </c:pt>
                <c:pt idx="8">
                  <c:v>0</c:v>
                </c:pt>
                <c:pt idx="9">
                  <c:v>0</c:v>
                </c:pt>
                <c:pt idx="10">
                  <c:v>0</c:v>
                </c:pt>
                <c:pt idx="11">
                  <c:v>0</c:v>
                </c:pt>
                <c:pt idx="12">
                  <c:v>0</c:v>
                </c:pt>
                <c:pt idx="13">
                  <c:v>0</c:v>
                </c:pt>
                <c:pt idx="14">
                  <c:v>0</c:v>
                </c:pt>
                <c:pt idx="15">
                  <c:v>0</c:v>
                </c:pt>
              </c:numCache>
            </c:numRef>
          </c:val>
          <c:extLst>
            <c:ext xmlns:c15="http://schemas.microsoft.com/office/drawing/2012/chart" uri="{02D57815-91ED-43cb-92C2-25804820EDAC}">
              <c15:filteredCategoryTitle>
                <c15:cat>
                  <c:strRef>
                    <c:extLst>
                      <c:ext uri="{02D57815-91ED-43cb-92C2-25804820EDAC}">
                        <c15:formulaRef>
                          <c15:sqref>Report!$G$7:$G$22</c15:sqref>
                        </c15:formulaRef>
                      </c:ext>
                    </c:extLst>
                    <c:strCache>
                      <c:ptCount val="16"/>
                      <c:pt idx="0">
                        <c:v> Heating </c:v>
                      </c:pt>
                      <c:pt idx="1">
                        <c:v> Cooling </c:v>
                      </c:pt>
                      <c:pt idx="2">
                        <c:v> Lighting </c:v>
                      </c:pt>
                      <c:pt idx="3">
                        <c:v> Exterior Lighting </c:v>
                      </c:pt>
                      <c:pt idx="4">
                        <c:v> Equipment </c:v>
                      </c:pt>
                      <c:pt idx="5">
                        <c:v> Exterior Equipment </c:v>
                      </c:pt>
                      <c:pt idx="6">
                        <c:v> Fans </c:v>
                      </c:pt>
                      <c:pt idx="7">
                        <c:v> Pumps </c:v>
                      </c:pt>
                      <c:pt idx="8">
                        <c:v> Heat Rejection </c:v>
                      </c:pt>
                      <c:pt idx="9">
                        <c:v> Humidification </c:v>
                      </c:pt>
                      <c:pt idx="10">
                        <c:v> Heat Recovery </c:v>
                      </c:pt>
                      <c:pt idx="11">
                        <c:v> Water Systems </c:v>
                      </c:pt>
                      <c:pt idx="12">
                        <c:v> Refrigeration </c:v>
                      </c:pt>
                      <c:pt idx="13">
                        <c:v> Generators </c:v>
                      </c:pt>
                      <c:pt idx="14">
                        <c:v> -   </c:v>
                      </c:pt>
                      <c:pt idx="15">
                        <c:v> -   </c:v>
                      </c:pt>
                    </c:strCache>
                  </c:strRef>
                </c15:cat>
              </c15:filteredCategoryTitle>
            </c:ext>
            <c:ext xmlns:c16="http://schemas.microsoft.com/office/drawing/2014/chart" uri="{C3380CC4-5D6E-409C-BE32-E72D297353CC}">
              <c16:uniqueId val="{00000001-3EE8-457B-BFF7-69C904788BD0}"/>
            </c:ext>
          </c:extLst>
        </c:ser>
        <c:dLbls>
          <c:showLegendKey val="0"/>
          <c:showVal val="0"/>
          <c:showCatName val="0"/>
          <c:showSerName val="0"/>
          <c:showPercent val="0"/>
          <c:showBubbleSize val="0"/>
        </c:dLbls>
        <c:gapWidth val="125"/>
        <c:axId val="684414376"/>
        <c:axId val="684411096"/>
      </c:barChart>
      <c:catAx>
        <c:axId val="684414376"/>
        <c:scaling>
          <c:orientation val="maxMin"/>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Franklin Gothic Book" panose="020B0503020102020204" pitchFamily="34" charset="0"/>
                    <a:ea typeface="+mn-ea"/>
                    <a:cs typeface="+mn-cs"/>
                  </a:defRPr>
                </a:pPr>
                <a:r>
                  <a:rPr lang="en-US">
                    <a:latin typeface="Franklin Gothic Book" panose="020B0503020102020204" pitchFamily="34" charset="0"/>
                  </a:rPr>
                  <a:t>End Use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Franklin Gothic Book" panose="020B0503020102020204" pitchFamily="34" charset="0"/>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Franklin Gothic Book" panose="020B0503020102020204" pitchFamily="34" charset="0"/>
                <a:ea typeface="+mn-ea"/>
                <a:cs typeface="+mn-cs"/>
              </a:defRPr>
            </a:pPr>
            <a:endParaRPr lang="en-US"/>
          </a:p>
        </c:txPr>
        <c:crossAx val="684411096"/>
        <c:crosses val="autoZero"/>
        <c:auto val="1"/>
        <c:lblAlgn val="ctr"/>
        <c:lblOffset val="100"/>
        <c:noMultiLvlLbl val="0"/>
      </c:catAx>
      <c:valAx>
        <c:axId val="684411096"/>
        <c:scaling>
          <c:orientation val="minMax"/>
        </c:scaling>
        <c:delete val="0"/>
        <c:axPos val="t"/>
        <c:majorGridlines>
          <c:spPr>
            <a:ln w="9525" cap="flat" cmpd="sng" algn="ctr">
              <a:solidFill>
                <a:schemeClr val="tx1">
                  <a:lumMod val="15000"/>
                  <a:lumOff val="85000"/>
                </a:schemeClr>
              </a:solidFill>
              <a:round/>
            </a:ln>
            <a:effectLst/>
          </c:spPr>
        </c:majorGridlines>
        <c:title>
          <c:tx>
            <c:strRef>
              <c:f>Report!$H$7</c:f>
              <c:strCache>
                <c:ptCount val="1"/>
                <c:pt idx="0">
                  <c:v> kBtu </c:v>
                </c:pt>
              </c:strCache>
            </c:strRef>
          </c:tx>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Franklin Gothic Book" panose="020B0503020102020204" pitchFamily="34" charset="0"/>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Franklin Gothic Book" panose="020B0503020102020204" pitchFamily="34" charset="0"/>
                <a:ea typeface="+mn-ea"/>
                <a:cs typeface="+mn-cs"/>
              </a:defRPr>
            </a:pPr>
            <a:endParaRPr lang="en-US"/>
          </a:p>
        </c:txPr>
        <c:crossAx val="6844143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Franklin Gothic Book" panose="020B0503020102020204"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Report!$AM$6</c:f>
              <c:strCache>
                <c:ptCount val="1"/>
                <c:pt idx="0">
                  <c:v>LEED Baseline</c:v>
                </c:pt>
              </c:strCache>
            </c:strRef>
          </c:tx>
          <c:spPr>
            <a:solidFill>
              <a:srgbClr val="64696F"/>
            </a:solidFill>
            <a:ln>
              <a:noFill/>
            </a:ln>
            <a:effectLst/>
          </c:spPr>
          <c:invertIfNegative val="0"/>
          <c:val>
            <c:numRef>
              <c:f>Report!$AM$7:$AM$22</c:f>
              <c:numCache>
                <c:formatCode>_(* #,##0_);_(* \(#,##0\);_(* "-"??_);_(@_)</c:formatCode>
                <c:ptCount val="16"/>
                <c:pt idx="0">
                  <c:v>4539.1577508543023</c:v>
                </c:pt>
                <c:pt idx="1">
                  <c:v>16917.411850627468</c:v>
                </c:pt>
                <c:pt idx="2">
                  <c:v>18159.458887384459</c:v>
                </c:pt>
                <c:pt idx="3">
                  <c:v>0</c:v>
                </c:pt>
                <c:pt idx="4">
                  <c:v>21321.841129613676</c:v>
                </c:pt>
                <c:pt idx="5">
                  <c:v>0</c:v>
                </c:pt>
                <c:pt idx="6">
                  <c:v>20695.969810148472</c:v>
                </c:pt>
                <c:pt idx="7">
                  <c:v>0</c:v>
                </c:pt>
                <c:pt idx="8">
                  <c:v>0</c:v>
                </c:pt>
                <c:pt idx="9">
                  <c:v>0</c:v>
                </c:pt>
                <c:pt idx="10">
                  <c:v>0</c:v>
                </c:pt>
                <c:pt idx="11">
                  <c:v>0</c:v>
                </c:pt>
                <c:pt idx="12">
                  <c:v>0</c:v>
                </c:pt>
                <c:pt idx="13">
                  <c:v>0</c:v>
                </c:pt>
                <c:pt idx="14">
                  <c:v>0</c:v>
                </c:pt>
                <c:pt idx="15">
                  <c:v>0</c:v>
                </c:pt>
              </c:numCache>
            </c:numRef>
          </c:val>
          <c:extLst>
            <c:ext xmlns:c15="http://schemas.microsoft.com/office/drawing/2012/chart" uri="{02D57815-91ED-43cb-92C2-25804820EDAC}">
              <c15:filteredCategoryTitle>
                <c15:cat>
                  <c:strRef>
                    <c:extLst>
                      <c:ext uri="{02D57815-91ED-43cb-92C2-25804820EDAC}">
                        <c15:formulaRef>
                          <c15:sqref>Report!$AK$7:$AK$22</c15:sqref>
                        </c15:formulaRef>
                      </c:ext>
                    </c:extLst>
                    <c:strCache>
                      <c:ptCount val="16"/>
                      <c:pt idx="0">
                        <c:v> Heating </c:v>
                      </c:pt>
                      <c:pt idx="1">
                        <c:v> Cooling </c:v>
                      </c:pt>
                      <c:pt idx="2">
                        <c:v> Lighting </c:v>
                      </c:pt>
                      <c:pt idx="3">
                        <c:v> Exterior Lighting </c:v>
                      </c:pt>
                      <c:pt idx="4">
                        <c:v> Equipment </c:v>
                      </c:pt>
                      <c:pt idx="5">
                        <c:v> Exterior Equipment </c:v>
                      </c:pt>
                      <c:pt idx="6">
                        <c:v> Fans </c:v>
                      </c:pt>
                      <c:pt idx="7">
                        <c:v> Pumps </c:v>
                      </c:pt>
                      <c:pt idx="8">
                        <c:v> Heat Rejection </c:v>
                      </c:pt>
                      <c:pt idx="9">
                        <c:v> Humidification </c:v>
                      </c:pt>
                      <c:pt idx="10">
                        <c:v> Heat Recovery </c:v>
                      </c:pt>
                      <c:pt idx="11">
                        <c:v> Water Systems </c:v>
                      </c:pt>
                      <c:pt idx="12">
                        <c:v> Refrigeration </c:v>
                      </c:pt>
                      <c:pt idx="13">
                        <c:v> Generators </c:v>
                      </c:pt>
                      <c:pt idx="14">
                        <c:v> -   </c:v>
                      </c:pt>
                      <c:pt idx="15">
                        <c:v> -   </c:v>
                      </c:pt>
                    </c:strCache>
                  </c:strRef>
                </c15:cat>
              </c15:filteredCategoryTitle>
            </c:ext>
            <c:ext xmlns:c16="http://schemas.microsoft.com/office/drawing/2014/chart" uri="{C3380CC4-5D6E-409C-BE32-E72D297353CC}">
              <c16:uniqueId val="{00000000-E50C-460B-A3E8-974D5F5540D2}"/>
            </c:ext>
          </c:extLst>
        </c:ser>
        <c:ser>
          <c:idx val="2"/>
          <c:order val="1"/>
          <c:tx>
            <c:strRef>
              <c:f>Report!$AN$6</c:f>
              <c:strCache>
                <c:ptCount val="1"/>
                <c:pt idx="0">
                  <c:v>Code Baseline</c:v>
                </c:pt>
              </c:strCache>
            </c:strRef>
          </c:tx>
          <c:spPr>
            <a:solidFill>
              <a:srgbClr val="A1ABB2"/>
            </a:solidFill>
            <a:ln>
              <a:noFill/>
            </a:ln>
            <a:effectLst/>
          </c:spPr>
          <c:invertIfNegative val="0"/>
          <c:val>
            <c:numRef>
              <c:f>Report!$AN$7:$AN$22</c:f>
              <c:numCache>
                <c:formatCode>_(* #,##0_);_(* \(#,##0\);_(* "-"??_);_(@_)</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5="http://schemas.microsoft.com/office/drawing/2012/chart" uri="{02D57815-91ED-43cb-92C2-25804820EDAC}">
              <c15:filteredCategoryTitle>
                <c15:cat>
                  <c:strRef>
                    <c:extLst>
                      <c:ext uri="{02D57815-91ED-43cb-92C2-25804820EDAC}">
                        <c15:formulaRef>
                          <c15:sqref>Report!$AK$7:$AK$22</c15:sqref>
                        </c15:formulaRef>
                      </c:ext>
                    </c:extLst>
                    <c:strCache>
                      <c:ptCount val="16"/>
                      <c:pt idx="0">
                        <c:v> Heating </c:v>
                      </c:pt>
                      <c:pt idx="1">
                        <c:v> Cooling </c:v>
                      </c:pt>
                      <c:pt idx="2">
                        <c:v> Lighting </c:v>
                      </c:pt>
                      <c:pt idx="3">
                        <c:v> Exterior Lighting </c:v>
                      </c:pt>
                      <c:pt idx="4">
                        <c:v> Equipment </c:v>
                      </c:pt>
                      <c:pt idx="5">
                        <c:v> Exterior Equipment </c:v>
                      </c:pt>
                      <c:pt idx="6">
                        <c:v> Fans </c:v>
                      </c:pt>
                      <c:pt idx="7">
                        <c:v> Pumps </c:v>
                      </c:pt>
                      <c:pt idx="8">
                        <c:v> Heat Rejection </c:v>
                      </c:pt>
                      <c:pt idx="9">
                        <c:v> Humidification </c:v>
                      </c:pt>
                      <c:pt idx="10">
                        <c:v> Heat Recovery </c:v>
                      </c:pt>
                      <c:pt idx="11">
                        <c:v> Water Systems </c:v>
                      </c:pt>
                      <c:pt idx="12">
                        <c:v> Refrigeration </c:v>
                      </c:pt>
                      <c:pt idx="13">
                        <c:v> Generators </c:v>
                      </c:pt>
                      <c:pt idx="14">
                        <c:v> -   </c:v>
                      </c:pt>
                      <c:pt idx="15">
                        <c:v> -   </c:v>
                      </c:pt>
                    </c:strCache>
                  </c:strRef>
                </c15:cat>
              </c15:filteredCategoryTitle>
            </c:ext>
            <c:ext xmlns:c16="http://schemas.microsoft.com/office/drawing/2014/chart" uri="{C3380CC4-5D6E-409C-BE32-E72D297353CC}">
              <c16:uniqueId val="{00000001-E50C-460B-A3E8-974D5F5540D2}"/>
            </c:ext>
          </c:extLst>
        </c:ser>
        <c:ser>
          <c:idx val="1"/>
          <c:order val="2"/>
          <c:tx>
            <c:strRef>
              <c:f>Report!$AO$6</c:f>
              <c:strCache>
                <c:ptCount val="1"/>
                <c:pt idx="0">
                  <c:v>Proposed</c:v>
                </c:pt>
              </c:strCache>
            </c:strRef>
          </c:tx>
          <c:spPr>
            <a:solidFill>
              <a:srgbClr val="EE3524"/>
            </a:solidFill>
            <a:ln>
              <a:noFill/>
            </a:ln>
            <a:effectLst/>
          </c:spPr>
          <c:invertIfNegative val="0"/>
          <c:val>
            <c:numRef>
              <c:f>Report!$AO$7:$AO$22</c:f>
              <c:numCache>
                <c:formatCode>_(* #,##0_);_(* \(#,##0\);_(* "-"??_);_(@_)</c:formatCode>
                <c:ptCount val="16"/>
                <c:pt idx="0">
                  <c:v>4539.1577508543023</c:v>
                </c:pt>
                <c:pt idx="1">
                  <c:v>16917.411850627468</c:v>
                </c:pt>
                <c:pt idx="2">
                  <c:v>18159.458887384459</c:v>
                </c:pt>
                <c:pt idx="3">
                  <c:v>0</c:v>
                </c:pt>
                <c:pt idx="4">
                  <c:v>21321.841129613676</c:v>
                </c:pt>
                <c:pt idx="5">
                  <c:v>0</c:v>
                </c:pt>
                <c:pt idx="6">
                  <c:v>20695.969810148472</c:v>
                </c:pt>
                <c:pt idx="7">
                  <c:v>0</c:v>
                </c:pt>
                <c:pt idx="8">
                  <c:v>0</c:v>
                </c:pt>
                <c:pt idx="9">
                  <c:v>0</c:v>
                </c:pt>
                <c:pt idx="10">
                  <c:v>0</c:v>
                </c:pt>
                <c:pt idx="11">
                  <c:v>0</c:v>
                </c:pt>
                <c:pt idx="12">
                  <c:v>0</c:v>
                </c:pt>
                <c:pt idx="13">
                  <c:v>0</c:v>
                </c:pt>
                <c:pt idx="14">
                  <c:v>0</c:v>
                </c:pt>
                <c:pt idx="15">
                  <c:v>0</c:v>
                </c:pt>
              </c:numCache>
            </c:numRef>
          </c:val>
          <c:extLst>
            <c:ext xmlns:c15="http://schemas.microsoft.com/office/drawing/2012/chart" uri="{02D57815-91ED-43cb-92C2-25804820EDAC}">
              <c15:filteredCategoryTitle>
                <c15:cat>
                  <c:strRef>
                    <c:extLst>
                      <c:ext uri="{02D57815-91ED-43cb-92C2-25804820EDAC}">
                        <c15:formulaRef>
                          <c15:sqref>Report!$AK$7:$AK$22</c15:sqref>
                        </c15:formulaRef>
                      </c:ext>
                    </c:extLst>
                    <c:strCache>
                      <c:ptCount val="16"/>
                      <c:pt idx="0">
                        <c:v> Heating </c:v>
                      </c:pt>
                      <c:pt idx="1">
                        <c:v> Cooling </c:v>
                      </c:pt>
                      <c:pt idx="2">
                        <c:v> Lighting </c:v>
                      </c:pt>
                      <c:pt idx="3">
                        <c:v> Exterior Lighting </c:v>
                      </c:pt>
                      <c:pt idx="4">
                        <c:v> Equipment </c:v>
                      </c:pt>
                      <c:pt idx="5">
                        <c:v> Exterior Equipment </c:v>
                      </c:pt>
                      <c:pt idx="6">
                        <c:v> Fans </c:v>
                      </c:pt>
                      <c:pt idx="7">
                        <c:v> Pumps </c:v>
                      </c:pt>
                      <c:pt idx="8">
                        <c:v> Heat Rejection </c:v>
                      </c:pt>
                      <c:pt idx="9">
                        <c:v> Humidification </c:v>
                      </c:pt>
                      <c:pt idx="10">
                        <c:v> Heat Recovery </c:v>
                      </c:pt>
                      <c:pt idx="11">
                        <c:v> Water Systems </c:v>
                      </c:pt>
                      <c:pt idx="12">
                        <c:v> Refrigeration </c:v>
                      </c:pt>
                      <c:pt idx="13">
                        <c:v> Generators </c:v>
                      </c:pt>
                      <c:pt idx="14">
                        <c:v> -   </c:v>
                      </c:pt>
                      <c:pt idx="15">
                        <c:v> -   </c:v>
                      </c:pt>
                    </c:strCache>
                  </c:strRef>
                </c15:cat>
              </c15:filteredCategoryTitle>
            </c:ext>
            <c:ext xmlns:c16="http://schemas.microsoft.com/office/drawing/2014/chart" uri="{C3380CC4-5D6E-409C-BE32-E72D297353CC}">
              <c16:uniqueId val="{00000002-E50C-460B-A3E8-974D5F5540D2}"/>
            </c:ext>
          </c:extLst>
        </c:ser>
        <c:dLbls>
          <c:showLegendKey val="0"/>
          <c:showVal val="0"/>
          <c:showCatName val="0"/>
          <c:showSerName val="0"/>
          <c:showPercent val="0"/>
          <c:showBubbleSize val="0"/>
        </c:dLbls>
        <c:gapWidth val="125"/>
        <c:axId val="684414376"/>
        <c:axId val="684411096"/>
      </c:barChart>
      <c:catAx>
        <c:axId val="684414376"/>
        <c:scaling>
          <c:orientation val="maxMin"/>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Franklin Gothic Book" panose="020B0503020102020204" pitchFamily="34" charset="0"/>
                    <a:ea typeface="+mn-ea"/>
                    <a:cs typeface="+mn-cs"/>
                  </a:defRPr>
                </a:pPr>
                <a:r>
                  <a:rPr lang="en-US">
                    <a:latin typeface="Franklin Gothic Book" panose="020B0503020102020204" pitchFamily="34" charset="0"/>
                  </a:rPr>
                  <a:t>End Use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Franklin Gothic Book" panose="020B0503020102020204" pitchFamily="34" charset="0"/>
                  <a:ea typeface="+mn-ea"/>
                  <a:cs typeface="+mn-cs"/>
                </a:defRPr>
              </a:pPr>
              <a:endParaRPr lang="en-US"/>
            </a:p>
          </c:txPr>
        </c:title>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Franklin Gothic Book" panose="020B0503020102020204" pitchFamily="34" charset="0"/>
                <a:ea typeface="+mn-ea"/>
                <a:cs typeface="+mn-cs"/>
              </a:defRPr>
            </a:pPr>
            <a:endParaRPr lang="en-US"/>
          </a:p>
        </c:txPr>
        <c:crossAx val="684411096"/>
        <c:crosses val="autoZero"/>
        <c:auto val="1"/>
        <c:lblAlgn val="ctr"/>
        <c:lblOffset val="100"/>
        <c:noMultiLvlLbl val="0"/>
      </c:catAx>
      <c:valAx>
        <c:axId val="684411096"/>
        <c:scaling>
          <c:orientation val="minMax"/>
        </c:scaling>
        <c:delete val="0"/>
        <c:axPos val="t"/>
        <c:majorGridlines>
          <c:spPr>
            <a:ln w="9525" cap="flat" cmpd="sng" algn="ctr">
              <a:solidFill>
                <a:schemeClr val="tx1">
                  <a:lumMod val="15000"/>
                  <a:lumOff val="85000"/>
                </a:schemeClr>
              </a:solidFill>
              <a:round/>
            </a:ln>
            <a:effectLst/>
          </c:spPr>
        </c:majorGridlines>
        <c:title>
          <c:tx>
            <c:strRef>
              <c:f>Report!$AL$7</c:f>
              <c:strCache>
                <c:ptCount val="1"/>
                <c:pt idx="0">
                  <c:v> kg CO2e </c:v>
                </c:pt>
              </c:strCache>
            </c:strRef>
          </c:tx>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Franklin Gothic Book" panose="020B0503020102020204" pitchFamily="34" charset="0"/>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Franklin Gothic Book" panose="020B0503020102020204" pitchFamily="34" charset="0"/>
                <a:ea typeface="+mn-ea"/>
                <a:cs typeface="+mn-cs"/>
              </a:defRPr>
            </a:pPr>
            <a:endParaRPr lang="en-US"/>
          </a:p>
        </c:txPr>
        <c:crossAx val="6844143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Franklin Gothic Book" panose="020B0503020102020204"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Report!$BB$6</c:f>
              <c:strCache>
                <c:ptCount val="1"/>
                <c:pt idx="0">
                  <c:v>LEED Baseline</c:v>
                </c:pt>
              </c:strCache>
            </c:strRef>
          </c:tx>
          <c:spPr>
            <a:solidFill>
              <a:srgbClr val="64696F"/>
            </a:solidFill>
            <a:ln>
              <a:noFill/>
            </a:ln>
            <a:effectLst/>
          </c:spPr>
          <c:invertIfNegative val="0"/>
          <c:val>
            <c:numRef>
              <c:f>Report!$BB$7:$BB$22</c:f>
              <c:numCache>
                <c:formatCode>_("$"* #,##0_);_("$"* \(#,##0\);_("$"* "-"??_);_(@_)</c:formatCode>
                <c:ptCount val="16"/>
                <c:pt idx="0">
                  <c:v>1393.2068344206273</c:v>
                </c:pt>
                <c:pt idx="1">
                  <c:v>5192.4729442519947</c:v>
                </c:pt>
                <c:pt idx="2">
                  <c:v>5573.6953020684969</c:v>
                </c:pt>
                <c:pt idx="3">
                  <c:v>0</c:v>
                </c:pt>
                <c:pt idx="4">
                  <c:v>6544.3274754259792</c:v>
                </c:pt>
                <c:pt idx="5">
                  <c:v>0</c:v>
                </c:pt>
                <c:pt idx="6">
                  <c:v>6352.2283575703223</c:v>
                </c:pt>
                <c:pt idx="7">
                  <c:v>0</c:v>
                </c:pt>
                <c:pt idx="8">
                  <c:v>0</c:v>
                </c:pt>
                <c:pt idx="9">
                  <c:v>0</c:v>
                </c:pt>
                <c:pt idx="10">
                  <c:v>0</c:v>
                </c:pt>
                <c:pt idx="11">
                  <c:v>0</c:v>
                </c:pt>
                <c:pt idx="12">
                  <c:v>0</c:v>
                </c:pt>
                <c:pt idx="13">
                  <c:v>0</c:v>
                </c:pt>
                <c:pt idx="14">
                  <c:v>0</c:v>
                </c:pt>
                <c:pt idx="15">
                  <c:v>0</c:v>
                </c:pt>
              </c:numCache>
            </c:numRef>
          </c:val>
          <c:extLst>
            <c:ext xmlns:c15="http://schemas.microsoft.com/office/drawing/2012/chart" uri="{02D57815-91ED-43cb-92C2-25804820EDAC}">
              <c15:filteredCategoryTitle>
                <c15:cat>
                  <c:strRef>
                    <c:extLst>
                      <c:ext uri="{02D57815-91ED-43cb-92C2-25804820EDAC}">
                        <c15:formulaRef>
                          <c15:sqref>Report!$AZ$7:$AZ$22</c15:sqref>
                        </c15:formulaRef>
                      </c:ext>
                    </c:extLst>
                    <c:strCache>
                      <c:ptCount val="16"/>
                      <c:pt idx="0">
                        <c:v> Heating </c:v>
                      </c:pt>
                      <c:pt idx="1">
                        <c:v> Cooling </c:v>
                      </c:pt>
                      <c:pt idx="2">
                        <c:v> Lighting </c:v>
                      </c:pt>
                      <c:pt idx="3">
                        <c:v> Exterior Lighting </c:v>
                      </c:pt>
                      <c:pt idx="4">
                        <c:v> Equipment </c:v>
                      </c:pt>
                      <c:pt idx="5">
                        <c:v> Exterior Equipment </c:v>
                      </c:pt>
                      <c:pt idx="6">
                        <c:v> Fans </c:v>
                      </c:pt>
                      <c:pt idx="7">
                        <c:v> Pumps </c:v>
                      </c:pt>
                      <c:pt idx="8">
                        <c:v> Heat Rejection </c:v>
                      </c:pt>
                      <c:pt idx="9">
                        <c:v> Humidification </c:v>
                      </c:pt>
                      <c:pt idx="10">
                        <c:v> Heat Recovery </c:v>
                      </c:pt>
                      <c:pt idx="11">
                        <c:v> Water Systems </c:v>
                      </c:pt>
                      <c:pt idx="12">
                        <c:v> Refrigeration </c:v>
                      </c:pt>
                      <c:pt idx="13">
                        <c:v> Generators </c:v>
                      </c:pt>
                      <c:pt idx="14">
                        <c:v> -   </c:v>
                      </c:pt>
                      <c:pt idx="15">
                        <c:v> -   </c:v>
                      </c:pt>
                    </c:strCache>
                  </c:strRef>
                </c15:cat>
              </c15:filteredCategoryTitle>
            </c:ext>
            <c:ext xmlns:c16="http://schemas.microsoft.com/office/drawing/2014/chart" uri="{C3380CC4-5D6E-409C-BE32-E72D297353CC}">
              <c16:uniqueId val="{00000000-B4A4-4CC9-99F6-734298AF6BD5}"/>
            </c:ext>
          </c:extLst>
        </c:ser>
        <c:ser>
          <c:idx val="2"/>
          <c:order val="1"/>
          <c:tx>
            <c:strRef>
              <c:f>Report!$BC$6</c:f>
              <c:strCache>
                <c:ptCount val="1"/>
                <c:pt idx="0">
                  <c:v>Code Baseline</c:v>
                </c:pt>
              </c:strCache>
            </c:strRef>
          </c:tx>
          <c:spPr>
            <a:solidFill>
              <a:srgbClr val="A1ABB2"/>
            </a:solidFill>
            <a:ln>
              <a:noFill/>
            </a:ln>
            <a:effectLst/>
          </c:spPr>
          <c:invertIfNegative val="0"/>
          <c:val>
            <c:numRef>
              <c:f>Report!$BC$7:$BC$22</c:f>
              <c:numCache>
                <c:formatCode>_("$"* #,##0_);_("$"* \(#,##0\);_("$"* "-"??_);_(@_)</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5="http://schemas.microsoft.com/office/drawing/2012/chart" uri="{02D57815-91ED-43cb-92C2-25804820EDAC}">
              <c15:filteredCategoryTitle>
                <c15:cat>
                  <c:strRef>
                    <c:extLst>
                      <c:ext uri="{02D57815-91ED-43cb-92C2-25804820EDAC}">
                        <c15:formulaRef>
                          <c15:sqref>Report!$AZ$7:$AZ$22</c15:sqref>
                        </c15:formulaRef>
                      </c:ext>
                    </c:extLst>
                    <c:strCache>
                      <c:ptCount val="16"/>
                      <c:pt idx="0">
                        <c:v> Heating </c:v>
                      </c:pt>
                      <c:pt idx="1">
                        <c:v> Cooling </c:v>
                      </c:pt>
                      <c:pt idx="2">
                        <c:v> Lighting </c:v>
                      </c:pt>
                      <c:pt idx="3">
                        <c:v> Exterior Lighting </c:v>
                      </c:pt>
                      <c:pt idx="4">
                        <c:v> Equipment </c:v>
                      </c:pt>
                      <c:pt idx="5">
                        <c:v> Exterior Equipment </c:v>
                      </c:pt>
                      <c:pt idx="6">
                        <c:v> Fans </c:v>
                      </c:pt>
                      <c:pt idx="7">
                        <c:v> Pumps </c:v>
                      </c:pt>
                      <c:pt idx="8">
                        <c:v> Heat Rejection </c:v>
                      </c:pt>
                      <c:pt idx="9">
                        <c:v> Humidification </c:v>
                      </c:pt>
                      <c:pt idx="10">
                        <c:v> Heat Recovery </c:v>
                      </c:pt>
                      <c:pt idx="11">
                        <c:v> Water Systems </c:v>
                      </c:pt>
                      <c:pt idx="12">
                        <c:v> Refrigeration </c:v>
                      </c:pt>
                      <c:pt idx="13">
                        <c:v> Generators </c:v>
                      </c:pt>
                      <c:pt idx="14">
                        <c:v> -   </c:v>
                      </c:pt>
                      <c:pt idx="15">
                        <c:v> -   </c:v>
                      </c:pt>
                    </c:strCache>
                  </c:strRef>
                </c15:cat>
              </c15:filteredCategoryTitle>
            </c:ext>
            <c:ext xmlns:c16="http://schemas.microsoft.com/office/drawing/2014/chart" uri="{C3380CC4-5D6E-409C-BE32-E72D297353CC}">
              <c16:uniqueId val="{00000001-B4A4-4CC9-99F6-734298AF6BD5}"/>
            </c:ext>
          </c:extLst>
        </c:ser>
        <c:ser>
          <c:idx val="1"/>
          <c:order val="2"/>
          <c:tx>
            <c:strRef>
              <c:f>Report!$BD$6</c:f>
              <c:strCache>
                <c:ptCount val="1"/>
                <c:pt idx="0">
                  <c:v>Proposed</c:v>
                </c:pt>
              </c:strCache>
            </c:strRef>
          </c:tx>
          <c:spPr>
            <a:solidFill>
              <a:srgbClr val="EE3524"/>
            </a:solidFill>
            <a:ln>
              <a:noFill/>
            </a:ln>
            <a:effectLst/>
          </c:spPr>
          <c:invertIfNegative val="0"/>
          <c:val>
            <c:numRef>
              <c:f>Report!$BD$7:$BD$22</c:f>
              <c:numCache>
                <c:formatCode>_("$"* #,##0_);_("$"* \(#,##0\);_("$"* "-"??_);_(@_)</c:formatCode>
                <c:ptCount val="16"/>
                <c:pt idx="0">
                  <c:v>1393.2068344206273</c:v>
                </c:pt>
                <c:pt idx="1">
                  <c:v>5192.4729442519947</c:v>
                </c:pt>
                <c:pt idx="2">
                  <c:v>5573.6953020684969</c:v>
                </c:pt>
                <c:pt idx="3">
                  <c:v>0</c:v>
                </c:pt>
                <c:pt idx="4">
                  <c:v>6544.3274754259792</c:v>
                </c:pt>
                <c:pt idx="5">
                  <c:v>0</c:v>
                </c:pt>
                <c:pt idx="6">
                  <c:v>6352.2283575703223</c:v>
                </c:pt>
                <c:pt idx="7">
                  <c:v>0</c:v>
                </c:pt>
                <c:pt idx="8">
                  <c:v>0</c:v>
                </c:pt>
                <c:pt idx="9">
                  <c:v>0</c:v>
                </c:pt>
                <c:pt idx="10">
                  <c:v>0</c:v>
                </c:pt>
                <c:pt idx="11">
                  <c:v>0</c:v>
                </c:pt>
                <c:pt idx="12">
                  <c:v>0</c:v>
                </c:pt>
                <c:pt idx="13">
                  <c:v>0</c:v>
                </c:pt>
                <c:pt idx="14">
                  <c:v>0</c:v>
                </c:pt>
                <c:pt idx="15">
                  <c:v>0</c:v>
                </c:pt>
              </c:numCache>
            </c:numRef>
          </c:val>
          <c:extLst>
            <c:ext xmlns:c15="http://schemas.microsoft.com/office/drawing/2012/chart" uri="{02D57815-91ED-43cb-92C2-25804820EDAC}">
              <c15:filteredCategoryTitle>
                <c15:cat>
                  <c:strRef>
                    <c:extLst>
                      <c:ext uri="{02D57815-91ED-43cb-92C2-25804820EDAC}">
                        <c15:formulaRef>
                          <c15:sqref>Report!$AZ$7:$AZ$22</c15:sqref>
                        </c15:formulaRef>
                      </c:ext>
                    </c:extLst>
                    <c:strCache>
                      <c:ptCount val="16"/>
                      <c:pt idx="0">
                        <c:v> Heating </c:v>
                      </c:pt>
                      <c:pt idx="1">
                        <c:v> Cooling </c:v>
                      </c:pt>
                      <c:pt idx="2">
                        <c:v> Lighting </c:v>
                      </c:pt>
                      <c:pt idx="3">
                        <c:v> Exterior Lighting </c:v>
                      </c:pt>
                      <c:pt idx="4">
                        <c:v> Equipment </c:v>
                      </c:pt>
                      <c:pt idx="5">
                        <c:v> Exterior Equipment </c:v>
                      </c:pt>
                      <c:pt idx="6">
                        <c:v> Fans </c:v>
                      </c:pt>
                      <c:pt idx="7">
                        <c:v> Pumps </c:v>
                      </c:pt>
                      <c:pt idx="8">
                        <c:v> Heat Rejection </c:v>
                      </c:pt>
                      <c:pt idx="9">
                        <c:v> Humidification </c:v>
                      </c:pt>
                      <c:pt idx="10">
                        <c:v> Heat Recovery </c:v>
                      </c:pt>
                      <c:pt idx="11">
                        <c:v> Water Systems </c:v>
                      </c:pt>
                      <c:pt idx="12">
                        <c:v> Refrigeration </c:v>
                      </c:pt>
                      <c:pt idx="13">
                        <c:v> Generators </c:v>
                      </c:pt>
                      <c:pt idx="14">
                        <c:v> -   </c:v>
                      </c:pt>
                      <c:pt idx="15">
                        <c:v> -   </c:v>
                      </c:pt>
                    </c:strCache>
                  </c:strRef>
                </c15:cat>
              </c15:filteredCategoryTitle>
            </c:ext>
            <c:ext xmlns:c16="http://schemas.microsoft.com/office/drawing/2014/chart" uri="{C3380CC4-5D6E-409C-BE32-E72D297353CC}">
              <c16:uniqueId val="{00000002-B4A4-4CC9-99F6-734298AF6BD5}"/>
            </c:ext>
          </c:extLst>
        </c:ser>
        <c:dLbls>
          <c:showLegendKey val="0"/>
          <c:showVal val="0"/>
          <c:showCatName val="0"/>
          <c:showSerName val="0"/>
          <c:showPercent val="0"/>
          <c:showBubbleSize val="0"/>
        </c:dLbls>
        <c:gapWidth val="125"/>
        <c:axId val="684414376"/>
        <c:axId val="684411096"/>
      </c:barChart>
      <c:catAx>
        <c:axId val="684414376"/>
        <c:scaling>
          <c:orientation val="maxMin"/>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Franklin Gothic Book" panose="020B0503020102020204" pitchFamily="34" charset="0"/>
                    <a:ea typeface="+mn-ea"/>
                    <a:cs typeface="+mn-cs"/>
                  </a:defRPr>
                </a:pPr>
                <a:r>
                  <a:rPr lang="en-US">
                    <a:latin typeface="Franklin Gothic Book" panose="020B0503020102020204" pitchFamily="34" charset="0"/>
                  </a:rPr>
                  <a:t>End Use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Franklin Gothic Book" panose="020B0503020102020204" pitchFamily="34" charset="0"/>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Franklin Gothic Book" panose="020B0503020102020204" pitchFamily="34" charset="0"/>
                <a:ea typeface="+mn-ea"/>
                <a:cs typeface="+mn-cs"/>
              </a:defRPr>
            </a:pPr>
            <a:endParaRPr lang="en-US"/>
          </a:p>
        </c:txPr>
        <c:crossAx val="684411096"/>
        <c:crosses val="autoZero"/>
        <c:auto val="1"/>
        <c:lblAlgn val="ctr"/>
        <c:lblOffset val="100"/>
        <c:noMultiLvlLbl val="0"/>
      </c:catAx>
      <c:valAx>
        <c:axId val="684411096"/>
        <c:scaling>
          <c:orientation val="minMax"/>
        </c:scaling>
        <c:delete val="0"/>
        <c:axPos val="t"/>
        <c:majorGridlines>
          <c:spPr>
            <a:ln w="9525" cap="flat" cmpd="sng" algn="ctr">
              <a:solidFill>
                <a:schemeClr val="tx1">
                  <a:lumMod val="15000"/>
                  <a:lumOff val="85000"/>
                </a:schemeClr>
              </a:solidFill>
              <a:round/>
            </a:ln>
            <a:effectLst/>
          </c:spPr>
        </c:majorGridlines>
        <c:title>
          <c:tx>
            <c:strRef>
              <c:f>Report!$BA$7</c:f>
              <c:strCache>
                <c:ptCount val="1"/>
                <c:pt idx="0">
                  <c:v> $/yr </c:v>
                </c:pt>
              </c:strCache>
            </c:strRef>
          </c:tx>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Franklin Gothic Book" panose="020B0503020102020204" pitchFamily="34" charset="0"/>
                  <a:ea typeface="+mn-ea"/>
                  <a:cs typeface="+mn-cs"/>
                </a:defRPr>
              </a:pPr>
              <a:endParaRPr lang="en-US"/>
            </a:p>
          </c:txPr>
        </c:title>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Franklin Gothic Book" panose="020B0503020102020204" pitchFamily="34" charset="0"/>
                <a:ea typeface="+mn-ea"/>
                <a:cs typeface="+mn-cs"/>
              </a:defRPr>
            </a:pPr>
            <a:endParaRPr lang="en-US"/>
          </a:p>
        </c:txPr>
        <c:crossAx val="6844143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Franklin Gothic Book" panose="020B0503020102020204"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xdr:col>
      <xdr:colOff>28575</xdr:colOff>
      <xdr:row>14</xdr:row>
      <xdr:rowOff>184149</xdr:rowOff>
    </xdr:from>
    <xdr:to>
      <xdr:col>7</xdr:col>
      <xdr:colOff>701675</xdr:colOff>
      <xdr:row>30</xdr:row>
      <xdr:rowOff>184149</xdr:rowOff>
    </xdr:to>
    <xdr:graphicFrame macro="">
      <xdr:nvGraphicFramePr>
        <xdr:cNvPr id="6" name="Chart 5">
          <a:extLst>
            <a:ext uri="{FF2B5EF4-FFF2-40B4-BE49-F238E27FC236}">
              <a16:creationId xmlns:a16="http://schemas.microsoft.com/office/drawing/2014/main" id="{E0F320E1-F86F-4762-899E-63C369449D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1219200</xdr:colOff>
      <xdr:row>14</xdr:row>
      <xdr:rowOff>200024</xdr:rowOff>
    </xdr:from>
    <xdr:to>
      <xdr:col>14</xdr:col>
      <xdr:colOff>714375</xdr:colOff>
      <xdr:row>30</xdr:row>
      <xdr:rowOff>200024</xdr:rowOff>
    </xdr:to>
    <xdr:graphicFrame macro="">
      <xdr:nvGraphicFramePr>
        <xdr:cNvPr id="7" name="Chart 6">
          <a:extLst>
            <a:ext uri="{FF2B5EF4-FFF2-40B4-BE49-F238E27FC236}">
              <a16:creationId xmlns:a16="http://schemas.microsoft.com/office/drawing/2014/main" id="{725878E7-BAA2-4233-AA94-48C5156D69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14</xdr:row>
      <xdr:rowOff>200024</xdr:rowOff>
    </xdr:from>
    <xdr:to>
      <xdr:col>7</xdr:col>
      <xdr:colOff>676275</xdr:colOff>
      <xdr:row>30</xdr:row>
      <xdr:rowOff>200024</xdr:rowOff>
    </xdr:to>
    <xdr:graphicFrame macro="">
      <xdr:nvGraphicFramePr>
        <xdr:cNvPr id="2" name="Chart 1">
          <a:extLst>
            <a:ext uri="{FF2B5EF4-FFF2-40B4-BE49-F238E27FC236}">
              <a16:creationId xmlns:a16="http://schemas.microsoft.com/office/drawing/2014/main" id="{11FAC0B9-644B-4574-9CE2-9741719134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1219200</xdr:colOff>
      <xdr:row>14</xdr:row>
      <xdr:rowOff>200024</xdr:rowOff>
    </xdr:from>
    <xdr:to>
      <xdr:col>14</xdr:col>
      <xdr:colOff>714375</xdr:colOff>
      <xdr:row>30</xdr:row>
      <xdr:rowOff>200024</xdr:rowOff>
    </xdr:to>
    <xdr:graphicFrame macro="">
      <xdr:nvGraphicFramePr>
        <xdr:cNvPr id="3" name="Chart 2">
          <a:extLst>
            <a:ext uri="{FF2B5EF4-FFF2-40B4-BE49-F238E27FC236}">
              <a16:creationId xmlns:a16="http://schemas.microsoft.com/office/drawing/2014/main" id="{58E94B9F-4ACC-4AC9-8E8D-69997722DB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14</xdr:row>
      <xdr:rowOff>200024</xdr:rowOff>
    </xdr:from>
    <xdr:to>
      <xdr:col>7</xdr:col>
      <xdr:colOff>676275</xdr:colOff>
      <xdr:row>30</xdr:row>
      <xdr:rowOff>200024</xdr:rowOff>
    </xdr:to>
    <xdr:graphicFrame macro="">
      <xdr:nvGraphicFramePr>
        <xdr:cNvPr id="2" name="Chart 1">
          <a:extLst>
            <a:ext uri="{FF2B5EF4-FFF2-40B4-BE49-F238E27FC236}">
              <a16:creationId xmlns:a16="http://schemas.microsoft.com/office/drawing/2014/main" id="{C48091A5-E484-4093-9E38-A39E7A8E23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1219200</xdr:colOff>
      <xdr:row>14</xdr:row>
      <xdr:rowOff>200024</xdr:rowOff>
    </xdr:from>
    <xdr:to>
      <xdr:col>14</xdr:col>
      <xdr:colOff>714375</xdr:colOff>
      <xdr:row>30</xdr:row>
      <xdr:rowOff>200024</xdr:rowOff>
    </xdr:to>
    <xdr:graphicFrame macro="">
      <xdr:nvGraphicFramePr>
        <xdr:cNvPr id="3" name="Chart 2">
          <a:extLst>
            <a:ext uri="{FF2B5EF4-FFF2-40B4-BE49-F238E27FC236}">
              <a16:creationId xmlns:a16="http://schemas.microsoft.com/office/drawing/2014/main" id="{48732E74-CA4C-4763-9AAE-F8F1BAC677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14</xdr:row>
      <xdr:rowOff>200024</xdr:rowOff>
    </xdr:from>
    <xdr:to>
      <xdr:col>7</xdr:col>
      <xdr:colOff>676275</xdr:colOff>
      <xdr:row>30</xdr:row>
      <xdr:rowOff>200024</xdr:rowOff>
    </xdr:to>
    <xdr:graphicFrame macro="">
      <xdr:nvGraphicFramePr>
        <xdr:cNvPr id="2" name="Chart 1">
          <a:extLst>
            <a:ext uri="{FF2B5EF4-FFF2-40B4-BE49-F238E27FC236}">
              <a16:creationId xmlns:a16="http://schemas.microsoft.com/office/drawing/2014/main" id="{AA4C658F-51BA-4437-A7F5-99B852A077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1219200</xdr:colOff>
      <xdr:row>14</xdr:row>
      <xdr:rowOff>200024</xdr:rowOff>
    </xdr:from>
    <xdr:to>
      <xdr:col>14</xdr:col>
      <xdr:colOff>714375</xdr:colOff>
      <xdr:row>30</xdr:row>
      <xdr:rowOff>200024</xdr:rowOff>
    </xdr:to>
    <xdr:graphicFrame macro="">
      <xdr:nvGraphicFramePr>
        <xdr:cNvPr id="3" name="Chart 2">
          <a:extLst>
            <a:ext uri="{FF2B5EF4-FFF2-40B4-BE49-F238E27FC236}">
              <a16:creationId xmlns:a16="http://schemas.microsoft.com/office/drawing/2014/main" id="{D27DF7F1-9EEA-4FF4-AEC9-689A4E3446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14</xdr:col>
      <xdr:colOff>0</xdr:colOff>
      <xdr:row>5</xdr:row>
      <xdr:rowOff>0</xdr:rowOff>
    </xdr:from>
    <xdr:to>
      <xdr:col>18</xdr:col>
      <xdr:colOff>704852</xdr:colOff>
      <xdr:row>25</xdr:row>
      <xdr:rowOff>114300</xdr:rowOff>
    </xdr:to>
    <xdr:graphicFrame macro="">
      <xdr:nvGraphicFramePr>
        <xdr:cNvPr id="2" name="Chart 1">
          <a:extLst>
            <a:ext uri="{FF2B5EF4-FFF2-40B4-BE49-F238E27FC236}">
              <a16:creationId xmlns:a16="http://schemas.microsoft.com/office/drawing/2014/main" id="{FD640C8F-085F-4A53-87B8-62C23A5E29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44</xdr:col>
      <xdr:colOff>0</xdr:colOff>
      <xdr:row>5</xdr:row>
      <xdr:rowOff>0</xdr:rowOff>
    </xdr:from>
    <xdr:to>
      <xdr:col>48</xdr:col>
      <xdr:colOff>704852</xdr:colOff>
      <xdr:row>25</xdr:row>
      <xdr:rowOff>114300</xdr:rowOff>
    </xdr:to>
    <xdr:graphicFrame macro="">
      <xdr:nvGraphicFramePr>
        <xdr:cNvPr id="3" name="Chart 2">
          <a:extLst>
            <a:ext uri="{FF2B5EF4-FFF2-40B4-BE49-F238E27FC236}">
              <a16:creationId xmlns:a16="http://schemas.microsoft.com/office/drawing/2014/main" id="{17BA0CB6-8EA4-44C8-800F-51FDF732F4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59</xdr:col>
      <xdr:colOff>0</xdr:colOff>
      <xdr:row>5</xdr:row>
      <xdr:rowOff>0</xdr:rowOff>
    </xdr:from>
    <xdr:to>
      <xdr:col>63</xdr:col>
      <xdr:colOff>704852</xdr:colOff>
      <xdr:row>25</xdr:row>
      <xdr:rowOff>114300</xdr:rowOff>
    </xdr:to>
    <xdr:graphicFrame macro="">
      <xdr:nvGraphicFramePr>
        <xdr:cNvPr id="4" name="Chart 3">
          <a:extLst>
            <a:ext uri="{FF2B5EF4-FFF2-40B4-BE49-F238E27FC236}">
              <a16:creationId xmlns:a16="http://schemas.microsoft.com/office/drawing/2014/main" id="{DC73E9D6-B42A-4381-A5E8-6C95B23C4A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Elliot Glassman" id="{38C2B05F-559C-4ED8-9541-B27CE7B0B6D4}" userId="S::EGlassman@CANNONDESIGN.COM::0a8ae6e5-936a-47a8-a236-d3979ec4359c"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7" dT="2024-02-26T23:09:23.17" personId="{38C2B05F-559C-4ED8-9541-B27CE7B0B6D4}" id="{4EB9BAF4-907C-4714-A0B4-586D2D2167A6}">
    <text>Use this field to enter a custom area, otherwise the area will be automatically taken from the simulations scraped to the 'Proposed Data' tab.</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portfoliomanager.energystar.gov/pdf/reference/Source%20Energy.pdf" TargetMode="External"/><Relationship Id="rId1" Type="http://schemas.openxmlformats.org/officeDocument/2006/relationships/hyperlink" Target="https://portfoliomanager.energystar.gov/pdf/reference/Emissions.pdf"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sheetPr>
  <dimension ref="A1:X24"/>
  <sheetViews>
    <sheetView showGridLines="0" zoomScaleNormal="100" workbookViewId="0"/>
  </sheetViews>
  <sheetFormatPr defaultColWidth="9.109375" defaultRowHeight="15"/>
  <cols>
    <col min="1" max="1" width="3.5546875" style="1" customWidth="1"/>
    <col min="2" max="2" width="18.5546875" style="1" customWidth="1"/>
    <col min="3" max="17" width="10.5546875" style="1" customWidth="1"/>
    <col min="18" max="18" width="15.5546875" style="1" customWidth="1"/>
    <col min="19" max="25" width="10.5546875" style="1" customWidth="1"/>
    <col min="26" max="16384" width="9.109375" style="1"/>
  </cols>
  <sheetData>
    <row r="1" spans="1:24">
      <c r="A1" s="76" t="s">
        <v>0</v>
      </c>
      <c r="B1" s="77"/>
      <c r="C1" s="77"/>
      <c r="D1" s="77"/>
      <c r="E1" s="77"/>
      <c r="F1" s="77"/>
      <c r="G1" s="77"/>
      <c r="H1" s="77"/>
      <c r="I1" s="77"/>
      <c r="J1" s="77"/>
      <c r="K1" s="77"/>
      <c r="L1" s="77"/>
      <c r="M1" s="77"/>
      <c r="N1" s="77"/>
      <c r="O1" s="77"/>
      <c r="P1" s="77"/>
      <c r="Q1" s="77"/>
      <c r="R1" s="77"/>
      <c r="S1" s="77"/>
      <c r="T1" s="77"/>
      <c r="U1" s="77"/>
      <c r="V1" s="77"/>
      <c r="W1" s="77"/>
      <c r="X1" s="77"/>
    </row>
    <row r="3" spans="1:24" ht="16.5" customHeight="1" thickBot="1">
      <c r="B3" s="63" t="s">
        <v>1</v>
      </c>
      <c r="C3" s="63"/>
      <c r="D3" s="63"/>
      <c r="E3" s="63"/>
      <c r="F3" s="63"/>
      <c r="G3" s="63"/>
      <c r="H3" s="63"/>
      <c r="I3" s="63"/>
      <c r="J3" s="63"/>
      <c r="K3" s="63"/>
      <c r="L3" s="63"/>
      <c r="M3" s="63"/>
      <c r="O3" s="63" t="s">
        <v>2</v>
      </c>
      <c r="P3" s="63"/>
      <c r="Q3" s="63"/>
      <c r="R3" s="63"/>
    </row>
    <row r="4" spans="1:24" ht="15.75" customHeight="1">
      <c r="B4" s="213" t="s">
        <v>3</v>
      </c>
      <c r="C4" s="213"/>
      <c r="D4" s="213"/>
      <c r="E4" s="213"/>
      <c r="F4" s="213"/>
      <c r="G4" s="213"/>
      <c r="H4" s="213"/>
      <c r="I4" s="213"/>
      <c r="J4" s="213"/>
      <c r="K4" s="213"/>
      <c r="L4" s="213"/>
      <c r="M4" s="213"/>
      <c r="O4" s="4" t="s">
        <v>4</v>
      </c>
      <c r="P4" s="4"/>
    </row>
    <row r="5" spans="1:24" ht="15.75" customHeight="1">
      <c r="B5" s="214"/>
      <c r="C5" s="214"/>
      <c r="D5" s="214"/>
      <c r="E5" s="214"/>
      <c r="F5" s="214"/>
      <c r="G5" s="214"/>
      <c r="H5" s="214"/>
      <c r="I5" s="214"/>
      <c r="J5" s="214"/>
      <c r="K5" s="214"/>
      <c r="L5" s="214"/>
      <c r="M5" s="214"/>
      <c r="O5" s="5"/>
    </row>
    <row r="6" spans="1:24">
      <c r="B6" s="214"/>
      <c r="C6" s="214"/>
      <c r="D6" s="214"/>
      <c r="E6" s="214"/>
      <c r="F6" s="214"/>
      <c r="G6" s="214"/>
      <c r="H6" s="214"/>
      <c r="I6" s="214"/>
      <c r="J6" s="214"/>
      <c r="K6" s="214"/>
      <c r="L6" s="214"/>
      <c r="M6" s="214"/>
      <c r="O6" s="6" t="s">
        <v>5</v>
      </c>
      <c r="Q6" s="215">
        <v>4.5199999999999996</v>
      </c>
      <c r="R6" s="215"/>
    </row>
    <row r="7" spans="1:24">
      <c r="B7" s="7" t="s">
        <v>6</v>
      </c>
      <c r="O7" s="6" t="s">
        <v>7</v>
      </c>
      <c r="Q7" s="216">
        <v>45980</v>
      </c>
      <c r="R7" s="216"/>
    </row>
    <row r="8" spans="1:24">
      <c r="B8" s="7" t="s">
        <v>8</v>
      </c>
      <c r="O8" s="6" t="s">
        <v>9</v>
      </c>
      <c r="Q8" s="217" t="s">
        <v>10</v>
      </c>
      <c r="R8" s="217"/>
    </row>
    <row r="9" spans="1:24">
      <c r="B9" s="7" t="s">
        <v>11</v>
      </c>
      <c r="D9" s="8"/>
      <c r="E9" s="8"/>
      <c r="F9" s="8"/>
      <c r="G9" s="8"/>
      <c r="H9" s="8"/>
      <c r="I9" s="8"/>
      <c r="J9" s="8"/>
      <c r="K9" s="8"/>
      <c r="L9" s="8"/>
      <c r="M9" s="8"/>
      <c r="O9" s="6" t="s">
        <v>12</v>
      </c>
      <c r="Q9" s="4" t="s">
        <v>13</v>
      </c>
    </row>
    <row r="10" spans="1:24" ht="15" customHeight="1">
      <c r="B10" s="7" t="s">
        <v>14</v>
      </c>
      <c r="O10" s="6"/>
      <c r="Q10" s="4" t="s">
        <v>15</v>
      </c>
    </row>
    <row r="11" spans="1:24">
      <c r="B11" s="7" t="s">
        <v>16</v>
      </c>
      <c r="Q11" s="4" t="s">
        <v>17</v>
      </c>
    </row>
    <row r="12" spans="1:24">
      <c r="B12" s="7" t="s">
        <v>18</v>
      </c>
      <c r="Q12" s="4" t="s">
        <v>19</v>
      </c>
      <c r="R12" s="4"/>
    </row>
    <row r="13" spans="1:24">
      <c r="B13" s="7" t="s">
        <v>20</v>
      </c>
      <c r="Q13" s="4" t="s">
        <v>21</v>
      </c>
      <c r="R13" s="4"/>
    </row>
    <row r="14" spans="1:24">
      <c r="Q14" s="4" t="s">
        <v>22</v>
      </c>
      <c r="R14" s="4"/>
    </row>
    <row r="15" spans="1:24">
      <c r="Q15" s="4" t="s">
        <v>23</v>
      </c>
    </row>
    <row r="16" spans="1:24" ht="15.6" thickBot="1">
      <c r="B16" s="63" t="s">
        <v>24</v>
      </c>
      <c r="C16" s="63"/>
      <c r="D16" s="63"/>
      <c r="E16" s="63"/>
      <c r="F16" s="63"/>
      <c r="G16" s="63"/>
      <c r="H16" s="63"/>
      <c r="I16" s="63"/>
      <c r="J16" s="63"/>
      <c r="K16" s="63"/>
      <c r="L16" s="63"/>
      <c r="M16" s="63"/>
      <c r="Q16" s="4" t="s">
        <v>25</v>
      </c>
    </row>
    <row r="17" spans="2:17">
      <c r="Q17" s="4" t="s">
        <v>26</v>
      </c>
    </row>
    <row r="18" spans="2:17">
      <c r="B18" s="9" t="s">
        <v>27</v>
      </c>
      <c r="C18" s="10" t="s">
        <v>28</v>
      </c>
      <c r="Q18" s="4" t="s">
        <v>29</v>
      </c>
    </row>
    <row r="20" spans="2:17">
      <c r="B20" s="87">
        <v>2464</v>
      </c>
      <c r="C20" s="10" t="s">
        <v>30</v>
      </c>
    </row>
    <row r="22" spans="2:17">
      <c r="B22" s="11">
        <f>B20*2</f>
        <v>4928</v>
      </c>
      <c r="C22" s="10" t="s">
        <v>31</v>
      </c>
    </row>
    <row r="24" spans="2:17">
      <c r="B24" s="68"/>
      <c r="C24" s="10" t="s">
        <v>32</v>
      </c>
    </row>
  </sheetData>
  <mergeCells count="4">
    <mergeCell ref="B4:M6"/>
    <mergeCell ref="Q6:R6"/>
    <mergeCell ref="Q7:R7"/>
    <mergeCell ref="Q8:R8"/>
  </mergeCells>
  <dataValidations count="1">
    <dataValidation type="list" allowBlank="1" showInputMessage="1" showErrorMessage="1" sqref="B18" xr:uid="{00000000-0002-0000-0000-000000000000}">
      <formula1>Units</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1"/>
    <pageSetUpPr autoPageBreaks="0"/>
  </sheetPr>
  <dimension ref="A1:U94"/>
  <sheetViews>
    <sheetView showGridLines="0" tabSelected="1" zoomScale="90" zoomScaleNormal="90" workbookViewId="0">
      <selection activeCell="E17" sqref="E17"/>
    </sheetView>
  </sheetViews>
  <sheetFormatPr defaultColWidth="9.109375" defaultRowHeight="15"/>
  <cols>
    <col min="1" max="1" width="3.5546875" style="1" customWidth="1"/>
    <col min="2" max="5" width="15.5546875" style="1" customWidth="1"/>
    <col min="6" max="6" width="3.5546875" style="1" customWidth="1"/>
    <col min="7" max="17" width="15.5546875" style="1" customWidth="1"/>
    <col min="18" max="22" width="12.5546875" style="1" customWidth="1"/>
    <col min="23" max="16384" width="9.109375" style="1"/>
  </cols>
  <sheetData>
    <row r="1" spans="1:21">
      <c r="A1" s="76" t="s">
        <v>33</v>
      </c>
      <c r="B1" s="77"/>
      <c r="C1" s="77"/>
      <c r="D1" s="77"/>
      <c r="E1" s="77"/>
      <c r="F1" s="77"/>
      <c r="G1" s="77"/>
      <c r="H1" s="77"/>
      <c r="I1" s="77"/>
      <c r="J1" s="77"/>
      <c r="K1" s="77"/>
      <c r="L1" s="77"/>
      <c r="M1" s="77"/>
      <c r="N1" s="77"/>
      <c r="O1" s="77"/>
      <c r="P1" s="77"/>
      <c r="Q1" s="77"/>
      <c r="R1" s="77"/>
      <c r="S1" s="77"/>
      <c r="T1" s="77"/>
      <c r="U1" s="77"/>
    </row>
    <row r="3" spans="1:21" ht="15.6" thickBot="1">
      <c r="B3" s="63" t="s">
        <v>33</v>
      </c>
      <c r="C3" s="62"/>
      <c r="D3" s="62"/>
      <c r="E3" s="62"/>
      <c r="F3" s="2"/>
      <c r="G3" s="63" t="s">
        <v>34</v>
      </c>
      <c r="H3" s="62"/>
      <c r="I3" s="62"/>
      <c r="J3" s="62"/>
    </row>
    <row r="4" spans="1:21">
      <c r="B4" s="4" t="s">
        <v>35</v>
      </c>
      <c r="D4" s="86" t="s">
        <v>457</v>
      </c>
      <c r="E4" s="86"/>
      <c r="F4" s="2"/>
      <c r="G4" s="4" t="s">
        <v>36</v>
      </c>
      <c r="I4" s="202" t="s">
        <v>37</v>
      </c>
      <c r="J4" s="203"/>
    </row>
    <row r="5" spans="1:21">
      <c r="B5" s="4" t="s">
        <v>38</v>
      </c>
      <c r="C5" s="2"/>
      <c r="D5" s="224" t="s">
        <v>369</v>
      </c>
      <c r="E5" s="224"/>
      <c r="F5" s="2"/>
      <c r="G5" s="4" t="s">
        <v>40</v>
      </c>
      <c r="I5" s="218" t="s">
        <v>41</v>
      </c>
      <c r="J5" s="219"/>
      <c r="K5" s="10" t="s">
        <v>42</v>
      </c>
    </row>
    <row r="6" spans="1:21">
      <c r="B6" s="4" t="s">
        <v>43</v>
      </c>
      <c r="C6" s="2"/>
      <c r="D6" s="224" t="s">
        <v>385</v>
      </c>
      <c r="E6" s="224"/>
      <c r="F6" s="2"/>
      <c r="G6" s="4" t="s">
        <v>45</v>
      </c>
      <c r="I6" s="218" t="s">
        <v>41</v>
      </c>
      <c r="J6" s="219"/>
      <c r="K6" s="10" t="s">
        <v>46</v>
      </c>
    </row>
    <row r="7" spans="1:21">
      <c r="B7" s="4" t="s">
        <v>47</v>
      </c>
      <c r="C7" s="2"/>
      <c r="D7" s="87">
        <v>13652</v>
      </c>
      <c r="E7" s="4" t="str">
        <f>IF($I$4="SI","m²","ft²")</f>
        <v>ft²</v>
      </c>
      <c r="F7" s="10"/>
    </row>
    <row r="8" spans="1:21" ht="15.6" thickBot="1">
      <c r="B8" s="2"/>
      <c r="G8" s="63" t="s">
        <v>48</v>
      </c>
      <c r="H8" s="62"/>
      <c r="I8" s="62"/>
      <c r="J8" s="62"/>
      <c r="K8" s="10" t="s">
        <v>49</v>
      </c>
    </row>
    <row r="9" spans="1:21" ht="15.6" thickBot="1">
      <c r="B9" s="63" t="s">
        <v>50</v>
      </c>
      <c r="C9" s="62"/>
      <c r="D9" s="62"/>
      <c r="E9" s="62"/>
      <c r="F9" s="2"/>
      <c r="G9" s="4"/>
      <c r="I9" s="4" t="s">
        <v>51</v>
      </c>
      <c r="J9" s="4" t="s">
        <v>52</v>
      </c>
    </row>
    <row r="10" spans="1:21" ht="16.8">
      <c r="B10" s="4" t="s">
        <v>53</v>
      </c>
      <c r="D10" s="86">
        <v>43</v>
      </c>
      <c r="E10" s="4" t="s">
        <v>54</v>
      </c>
      <c r="F10" s="2"/>
      <c r="G10" s="4" t="s">
        <v>55</v>
      </c>
      <c r="I10" s="86"/>
      <c r="J10" s="86"/>
      <c r="K10" s="10" t="s">
        <v>56</v>
      </c>
    </row>
    <row r="11" spans="1:21">
      <c r="B11" s="4" t="s">
        <v>57</v>
      </c>
      <c r="D11" s="90">
        <v>0.9</v>
      </c>
      <c r="F11" s="2"/>
      <c r="G11" s="4" t="s">
        <v>58</v>
      </c>
      <c r="I11" s="42" t="s">
        <v>59</v>
      </c>
      <c r="J11" s="42" t="s">
        <v>60</v>
      </c>
      <c r="K11" s="10" t="s">
        <v>61</v>
      </c>
    </row>
    <row r="12" spans="1:21">
      <c r="B12" s="4" t="s">
        <v>62</v>
      </c>
      <c r="C12" s="2"/>
      <c r="D12" s="218" t="s">
        <v>63</v>
      </c>
      <c r="E12" s="219"/>
      <c r="F12" s="2"/>
      <c r="G12" s="4" t="s">
        <v>64</v>
      </c>
      <c r="I12" s="56" t="s">
        <v>65</v>
      </c>
      <c r="J12" s="56" t="s">
        <v>66</v>
      </c>
      <c r="K12" s="10" t="s">
        <v>67</v>
      </c>
    </row>
    <row r="13" spans="1:21">
      <c r="B13" s="4" t="s">
        <v>68</v>
      </c>
      <c r="C13" s="2"/>
      <c r="D13" s="218" t="s">
        <v>69</v>
      </c>
      <c r="E13" s="219"/>
      <c r="F13" s="2"/>
    </row>
    <row r="14" spans="1:21" ht="15.6" thickBot="1">
      <c r="B14" s="4" t="s">
        <v>70</v>
      </c>
      <c r="C14" s="2"/>
      <c r="D14" s="218" t="s">
        <v>44</v>
      </c>
      <c r="E14" s="219"/>
      <c r="F14" s="2"/>
      <c r="G14" s="63" t="s">
        <v>71</v>
      </c>
      <c r="H14" s="63"/>
      <c r="I14" s="63"/>
      <c r="J14" s="63"/>
      <c r="K14" s="63"/>
      <c r="L14" s="63"/>
      <c r="M14" s="63"/>
      <c r="N14" s="63"/>
      <c r="O14" s="63"/>
      <c r="P14" s="63"/>
      <c r="Q14" s="63"/>
      <c r="R14" s="63"/>
    </row>
    <row r="15" spans="1:21">
      <c r="B15" s="4" t="s">
        <v>72</v>
      </c>
      <c r="C15" s="2"/>
      <c r="D15" s="222" t="s">
        <v>458</v>
      </c>
      <c r="E15" s="223"/>
      <c r="F15" s="2"/>
      <c r="G15" s="4"/>
      <c r="I15" s="4" t="str">
        <f>Menus!$A$17</f>
        <v>Electricity</v>
      </c>
      <c r="J15" s="4" t="str">
        <f>Menus!$A$18</f>
        <v>Gas</v>
      </c>
      <c r="K15" s="4" t="str">
        <f>Menus!$A$19</f>
        <v>Additional Fuel</v>
      </c>
      <c r="L15" s="4" t="str">
        <f>Menus!$A$20</f>
        <v>District Cooling</v>
      </c>
      <c r="M15" s="4" t="str">
        <f>Menus!$A$21</f>
        <v>District Heating</v>
      </c>
    </row>
    <row r="16" spans="1:21">
      <c r="B16" s="4" t="s">
        <v>74</v>
      </c>
      <c r="D16" s="56" t="s">
        <v>66</v>
      </c>
      <c r="G16" s="4" t="s">
        <v>71</v>
      </c>
      <c r="I16" s="89">
        <v>2.8</v>
      </c>
      <c r="J16" s="89">
        <v>1.05</v>
      </c>
      <c r="K16" s="89"/>
      <c r="L16" s="89">
        <v>0.91</v>
      </c>
      <c r="M16" s="89">
        <v>1.2</v>
      </c>
      <c r="N16" s="204" t="s">
        <v>75</v>
      </c>
    </row>
    <row r="18" spans="2:18" ht="15.6" thickBot="1">
      <c r="B18" s="63" t="s">
        <v>76</v>
      </c>
      <c r="C18" s="62"/>
      <c r="D18" s="62"/>
      <c r="E18" s="62"/>
      <c r="F18" s="2"/>
      <c r="G18" s="63" t="s">
        <v>77</v>
      </c>
      <c r="H18" s="63"/>
      <c r="I18" s="63"/>
      <c r="J18" s="63"/>
      <c r="K18" s="63"/>
      <c r="L18" s="63"/>
      <c r="M18" s="63"/>
      <c r="N18" s="63"/>
      <c r="O18" s="63"/>
      <c r="P18" s="63"/>
      <c r="Q18" s="63"/>
      <c r="R18" s="63"/>
    </row>
    <row r="19" spans="2:18">
      <c r="D19" s="4" t="s">
        <v>78</v>
      </c>
      <c r="E19" s="4" t="s">
        <v>79</v>
      </c>
      <c r="F19" s="2"/>
      <c r="G19" s="4" t="s">
        <v>80</v>
      </c>
      <c r="I19" s="220" t="s">
        <v>93</v>
      </c>
      <c r="J19" s="221"/>
      <c r="K19" s="10" t="s">
        <v>82</v>
      </c>
    </row>
    <row r="20" spans="2:18">
      <c r="B20" s="4" t="s">
        <v>83</v>
      </c>
      <c r="C20" s="2"/>
      <c r="D20" s="90" t="s">
        <v>469</v>
      </c>
      <c r="E20" s="90" t="s">
        <v>469</v>
      </c>
    </row>
    <row r="21" spans="2:18">
      <c r="B21" s="4" t="s">
        <v>84</v>
      </c>
      <c r="C21" s="2"/>
      <c r="D21" s="90" t="s">
        <v>469</v>
      </c>
      <c r="E21" s="90" t="s">
        <v>469</v>
      </c>
      <c r="F21" s="2"/>
      <c r="I21" s="4" t="str">
        <f>Menus!$A$17</f>
        <v>Electricity</v>
      </c>
      <c r="J21" s="4" t="str">
        <f>Menus!$A$18</f>
        <v>Gas</v>
      </c>
      <c r="K21" s="4" t="str">
        <f>Menus!$A$19</f>
        <v>Additional Fuel</v>
      </c>
      <c r="L21" s="4" t="str">
        <f>Menus!$A$20</f>
        <v>District Cooling</v>
      </c>
      <c r="M21" s="4" t="str">
        <f>Menus!$A$21</f>
        <v>District Heating</v>
      </c>
    </row>
    <row r="22" spans="2:18">
      <c r="B22" s="4" t="s">
        <v>85</v>
      </c>
      <c r="D22" s="90" t="s">
        <v>469</v>
      </c>
      <c r="E22" s="90" t="s">
        <v>469</v>
      </c>
      <c r="G22" s="57" t="str">
        <f>IF($I$4=Menus!$A$2,Menus!$G$6,Menus!$G$7)</f>
        <v>kg CO2e</v>
      </c>
      <c r="I22" s="89">
        <v>0.40400000000000003</v>
      </c>
      <c r="J22" s="58">
        <f>IF($I$4="SI",0.18053,0.05306)</f>
        <v>5.3060000000000003E-2</v>
      </c>
      <c r="K22" s="89"/>
      <c r="L22" s="89">
        <v>1</v>
      </c>
      <c r="M22" s="89">
        <v>1</v>
      </c>
      <c r="N22" s="204" t="s">
        <v>86</v>
      </c>
    </row>
    <row r="23" spans="2:18" ht="15" customHeight="1">
      <c r="B23" s="2"/>
      <c r="C23" s="2"/>
      <c r="D23" s="2"/>
      <c r="E23" s="2"/>
      <c r="F23" s="2"/>
      <c r="G23" s="57" t="s">
        <v>87</v>
      </c>
      <c r="I23" s="57" t="s">
        <v>88</v>
      </c>
      <c r="J23" s="5" t="str">
        <f>IF($I$4="SI","kWh","kBtu")</f>
        <v>kBtu</v>
      </c>
      <c r="K23" s="56" t="s">
        <v>88</v>
      </c>
      <c r="L23" s="56" t="s">
        <v>88</v>
      </c>
      <c r="M23" s="56" t="s">
        <v>88</v>
      </c>
    </row>
    <row r="25" spans="2:18" ht="15.6" thickBot="1">
      <c r="B25" s="63" t="s">
        <v>89</v>
      </c>
      <c r="C25" s="62"/>
      <c r="D25" s="62"/>
      <c r="E25" s="62"/>
      <c r="G25" s="63" t="s">
        <v>90</v>
      </c>
      <c r="H25" s="63"/>
      <c r="I25" s="63"/>
      <c r="J25" s="63"/>
      <c r="K25" s="63"/>
      <c r="L25" s="63"/>
      <c r="M25" s="63"/>
      <c r="N25" s="63"/>
      <c r="O25" s="63"/>
      <c r="P25" s="63"/>
      <c r="Q25" s="63"/>
      <c r="R25" s="63"/>
    </row>
    <row r="26" spans="2:18">
      <c r="B26" s="4" t="s">
        <v>91</v>
      </c>
      <c r="C26" s="4"/>
      <c r="D26" s="86" t="s">
        <v>459</v>
      </c>
      <c r="E26" s="4"/>
      <c r="G26" s="4" t="s">
        <v>92</v>
      </c>
      <c r="I26" s="220" t="s">
        <v>93</v>
      </c>
      <c r="J26" s="221"/>
      <c r="K26" s="10" t="s">
        <v>94</v>
      </c>
    </row>
    <row r="27" spans="2:18">
      <c r="B27" s="4" t="s">
        <v>95</v>
      </c>
      <c r="D27" s="86" t="s">
        <v>460</v>
      </c>
      <c r="E27" s="4"/>
    </row>
    <row r="28" spans="2:18">
      <c r="B28" s="4" t="s">
        <v>96</v>
      </c>
      <c r="D28" s="90">
        <v>0</v>
      </c>
      <c r="I28" s="4" t="str">
        <f>Menus!$A$17</f>
        <v>Electricity</v>
      </c>
      <c r="J28" s="4" t="str">
        <f>Menus!$A$18</f>
        <v>Gas</v>
      </c>
      <c r="K28" s="4" t="str">
        <f>Menus!$A$19</f>
        <v>Additional Fuel</v>
      </c>
      <c r="L28" s="4" t="str">
        <f>Menus!$A$20</f>
        <v>District Cooling</v>
      </c>
      <c r="M28" s="4" t="str">
        <f>Menus!$A$21</f>
        <v>District Heating</v>
      </c>
    </row>
    <row r="29" spans="2:18">
      <c r="G29" s="57" t="s">
        <v>97</v>
      </c>
      <c r="I29" s="88">
        <v>0.124</v>
      </c>
      <c r="J29" s="88">
        <v>1.45</v>
      </c>
      <c r="K29" s="88"/>
      <c r="L29" s="88"/>
      <c r="M29" s="88"/>
    </row>
    <row r="30" spans="2:18">
      <c r="G30" s="57" t="s">
        <v>98</v>
      </c>
      <c r="I30" s="57" t="s">
        <v>88</v>
      </c>
      <c r="J30" s="56" t="s">
        <v>99</v>
      </c>
      <c r="K30" s="56" t="s">
        <v>100</v>
      </c>
      <c r="L30" s="56" t="s">
        <v>88</v>
      </c>
      <c r="M30" s="56" t="s">
        <v>88</v>
      </c>
    </row>
    <row r="39" spans="7:13" ht="15.6" thickBot="1">
      <c r="G39" s="63" t="s">
        <v>101</v>
      </c>
      <c r="H39" s="63"/>
      <c r="I39" s="63"/>
      <c r="J39" s="63"/>
      <c r="K39" s="63"/>
      <c r="L39" s="63"/>
      <c r="M39" s="63"/>
    </row>
    <row r="40" spans="7:13">
      <c r="I40" s="4" t="str">
        <f>I15</f>
        <v>Electricity</v>
      </c>
      <c r="J40" s="4" t="str">
        <f>J15</f>
        <v>Gas</v>
      </c>
      <c r="K40" s="4" t="str">
        <f>K15</f>
        <v>Additional Fuel</v>
      </c>
      <c r="L40" s="4" t="s">
        <v>102</v>
      </c>
      <c r="M40" s="4" t="s">
        <v>103</v>
      </c>
    </row>
    <row r="41" spans="7:13">
      <c r="G41" s="4" t="s">
        <v>104</v>
      </c>
      <c r="I41" s="122">
        <f>IFERROR(I$22/INDEX(Conversions!$C$6:$I$12,MATCH($I$6,Conversions!$B$6:$B$12,0),MATCH(I$23,Conversions!$C$5:$I$5,0)),0)</f>
        <v>0.11840076901885621</v>
      </c>
      <c r="J41" s="122">
        <f>IFERROR(J$22/INDEX(Conversions!$C$6:$I$12,MATCH($I$6,Conversions!$B$6:$B$12,0),MATCH(J$23,Conversions!$C$5:$I$5,0)),0)</f>
        <v>5.3060000000000003E-2</v>
      </c>
      <c r="K41" s="122">
        <f>IFERROR(K$22/INDEX(Conversions!$C$6:$I$12,MATCH($I$6,Conversions!$B$6:$B$12,0),MATCH(K$23,Conversions!$C$5:$I$5,0)),0)</f>
        <v>0</v>
      </c>
      <c r="L41" s="122">
        <f>IFERROR(L$22/INDEX(Conversions!$C$6:$I$12,MATCH($I$6,Conversions!$B$6:$B$12,0),MATCH(L$23,Conversions!$C$5:$I$5,0)),0)</f>
        <v>0.29307121044271339</v>
      </c>
      <c r="M41" s="122">
        <f>IFERROR(M$22/INDEX(Conversions!$C$6:$I$12,MATCH($I$6,Conversions!$B$6:$B$12,0),MATCH(M$23,Conversions!$C$5:$I$5,0)),0)</f>
        <v>0.29307121044271339</v>
      </c>
    </row>
    <row r="42" spans="7:13">
      <c r="G42" s="4" t="s">
        <v>105</v>
      </c>
      <c r="I42" s="189">
        <f>IFERROR(I$29/INDEX(Conversions!$C$6:$I$12,MATCH($I$6,Conversions!$B$6:$B$12,0),MATCH(I$30,Conversions!$C$5:$I$5,0)),0)</f>
        <v>3.6340830094896456E-2</v>
      </c>
      <c r="J42" s="112">
        <f>IFERROR(J$29/INDEX(Conversions!$C$6:$I$12,MATCH($I$6,Conversions!$B$6:$B$12,0),MATCH(J$30,Conversions!$C$5:$I$5,0)),0)</f>
        <v>1.4499999999999999E-2</v>
      </c>
      <c r="K42" s="190">
        <f>IFERROR(K$29/INDEX(Conversions!$C$6:$I$12,MATCH($I$6,Conversions!$B$6:$B$12,0),MATCH(K$30,Conversions!$C$5:$I$5,0)),0)</f>
        <v>0</v>
      </c>
      <c r="L42" s="112">
        <f>IFERROR(L$29/INDEX(Conversions!$C$6:$I$12,MATCH($I$6,Conversions!$B$6:$B$12,0),MATCH(L$30,Conversions!$C$5:$I$5,0)),0)</f>
        <v>0</v>
      </c>
      <c r="M42" s="112">
        <f>IFERROR(M$29/INDEX(Conversions!$C$6:$I$12,MATCH($I$6,Conversions!$B$6:$B$12,0),MATCH(M$30,Conversions!$C$5:$I$5,0)),0)</f>
        <v>0</v>
      </c>
    </row>
    <row r="44" spans="7:13">
      <c r="G44" s="4" t="str">
        <f>Calculations!A$9</f>
        <v>LEED Baseline</v>
      </c>
      <c r="I44" s="122">
        <f>'BL Data'!BB$2</f>
        <v>0.11840562719812428</v>
      </c>
      <c r="J44" s="122">
        <f>'BL Data'!BC$2</f>
        <v>5.2999999999999999E-2</v>
      </c>
      <c r="K44" s="122">
        <f>'BL Data'!BD$2</f>
        <v>0</v>
      </c>
      <c r="L44" s="122">
        <f>'BL Data'!BE$2</f>
        <v>0</v>
      </c>
      <c r="M44" s="122">
        <f>'BL Data'!BF$2</f>
        <v>0</v>
      </c>
    </row>
    <row r="45" spans="7:13">
      <c r="G45" s="121" t="str">
        <f>Calculations!A$10</f>
        <v>Code Baseline</v>
      </c>
      <c r="I45" s="122">
        <f>'BL Data'!BB$6</f>
        <v>0</v>
      </c>
      <c r="J45" s="122">
        <f>'BL Data'!BC$6</f>
        <v>0</v>
      </c>
      <c r="K45" s="122">
        <f>'BL Data'!BD$6</f>
        <v>0</v>
      </c>
      <c r="L45" s="122">
        <f>'BL Data'!BE$6</f>
        <v>0</v>
      </c>
      <c r="M45" s="122">
        <f>'BL Data'!BF$6</f>
        <v>0</v>
      </c>
    </row>
    <row r="46" spans="7:13">
      <c r="G46" s="4" t="str">
        <f>Proposed!C$10</f>
        <v>Primary 0°</v>
      </c>
      <c r="I46" s="122">
        <f>IFERROR(INDEX('Proposed Data'!BB$2:BB$100, MATCH('Project Info'!$G46,'Proposed Data'!$A$2:$A$100,0))/Calculations!$E$8,0)</f>
        <v>0.11840562719812428</v>
      </c>
      <c r="J46" s="122">
        <f>IFERROR(INDEX('Proposed Data'!BC$2:BC$100, MATCH('Project Info'!$G46,'Proposed Data'!$A$2:$A$100,0))/Calculations!$E$8,0)</f>
        <v>5.2999999999999999E-2</v>
      </c>
      <c r="K46" s="122">
        <f>IFERROR(INDEX('Proposed Data'!BD$2:BD$100, MATCH('Project Info'!$G46,'Proposed Data'!$A$2:$A$100,0))/Calculations!$E$8,0)</f>
        <v>0</v>
      </c>
      <c r="L46" s="122">
        <f>IFERROR(INDEX('Proposed Data'!BE$2:BE$100, MATCH('Project Info'!$G46,'Proposed Data'!$A$2:$A$100,0))/Calculations!$E$8,0)</f>
        <v>0</v>
      </c>
      <c r="M46" s="122">
        <f>IFERROR(INDEX('Proposed Data'!BF$2:BF$100, MATCH('Project Info'!$G46,'Proposed Data'!$A$2:$A$100,0))/Calculations!$E$8,0)</f>
        <v>0</v>
      </c>
    </row>
    <row r="47" spans="7:13">
      <c r="G47" s="4">
        <f>Proposed!C$24</f>
        <v>0</v>
      </c>
      <c r="I47" s="122">
        <f>IFERROR(INDEX('Proposed Data'!BB$2:BB$100, MATCH('Project Info'!$G47,'Proposed Data'!$A$2:$A$100,0))/Calculations!$E$8,0)</f>
        <v>0</v>
      </c>
      <c r="J47" s="122">
        <f>IFERROR(INDEX('Proposed Data'!BC$2:BC$100, MATCH('Project Info'!$G47,'Proposed Data'!$A$2:$A$100,0))/Calculations!$E$8,0)</f>
        <v>0</v>
      </c>
      <c r="K47" s="122">
        <f>IFERROR(INDEX('Proposed Data'!BD$2:BD$100, MATCH('Project Info'!$G47,'Proposed Data'!$A$2:$A$100,0))/Calculations!$E$8,0)</f>
        <v>0</v>
      </c>
      <c r="L47" s="122">
        <f>IFERROR(INDEX('Proposed Data'!BE$2:BE$100, MATCH('Project Info'!$G47,'Proposed Data'!$A$2:$A$100,0))/Calculations!$E$8,0)</f>
        <v>0</v>
      </c>
      <c r="M47" s="122">
        <f>IFERROR(INDEX('Proposed Data'!BF$2:BF$100, MATCH('Project Info'!$G47,'Proposed Data'!$A$2:$A$100,0))/Calculations!$E$8,0)</f>
        <v>0</v>
      </c>
    </row>
    <row r="48" spans="7:13">
      <c r="G48" s="4">
        <f>Proposed!C$38</f>
        <v>0</v>
      </c>
      <c r="I48" s="122">
        <f>IFERROR(INDEX('Proposed Data'!BB$2:BB$100, MATCH('Project Info'!$G48,'Proposed Data'!$A$2:$A$100,0))/Calculations!$E$8,0)</f>
        <v>0</v>
      </c>
      <c r="J48" s="122">
        <f>IFERROR(INDEX('Proposed Data'!BC$2:BC$100, MATCH('Project Info'!$G48,'Proposed Data'!$A$2:$A$100,0))/Calculations!$E$8,0)</f>
        <v>0</v>
      </c>
      <c r="K48" s="122">
        <f>IFERROR(INDEX('Proposed Data'!BD$2:BD$100, MATCH('Project Info'!$G48,'Proposed Data'!$A$2:$A$100,0))/Calculations!$E$8,0)</f>
        <v>0</v>
      </c>
      <c r="L48" s="122">
        <f>IFERROR(INDEX('Proposed Data'!BE$2:BE$100, MATCH('Project Info'!$G48,'Proposed Data'!$A$2:$A$100,0))/Calculations!$E$8,0)</f>
        <v>0</v>
      </c>
      <c r="M48" s="122">
        <f>IFERROR(INDEX('Proposed Data'!BF$2:BF$100, MATCH('Project Info'!$G48,'Proposed Data'!$A$2:$A$100,0))/Calculations!$E$8,0)</f>
        <v>0</v>
      </c>
    </row>
    <row r="49" spans="7:13">
      <c r="G49" s="4">
        <f>Proposed!C$52</f>
        <v>0</v>
      </c>
      <c r="I49" s="122">
        <f>IFERROR(INDEX('Proposed Data'!BB$2:BB$100, MATCH('Project Info'!$G49,'Proposed Data'!$A$2:$A$100,0))/Calculations!$E$8,0)</f>
        <v>0</v>
      </c>
      <c r="J49" s="122">
        <f>IFERROR(INDEX('Proposed Data'!BC$2:BC$100, MATCH('Project Info'!$G49,'Proposed Data'!$A$2:$A$100,0))/Calculations!$E$8,0)</f>
        <v>0</v>
      </c>
      <c r="K49" s="122">
        <f>IFERROR(INDEX('Proposed Data'!BD$2:BD$100, MATCH('Project Info'!$G49,'Proposed Data'!$A$2:$A$100,0))/Calculations!$E$8,0)</f>
        <v>0</v>
      </c>
      <c r="L49" s="122">
        <f>IFERROR(INDEX('Proposed Data'!BE$2:BE$100, MATCH('Project Info'!$G49,'Proposed Data'!$A$2:$A$100,0))/Calculations!$E$8,0)</f>
        <v>0</v>
      </c>
      <c r="M49" s="122">
        <f>IFERROR(INDEX('Proposed Data'!BF$2:BF$100, MATCH('Project Info'!$G49,'Proposed Data'!$A$2:$A$100,0))/Calculations!$E$8,0)</f>
        <v>0</v>
      </c>
    </row>
    <row r="50" spans="7:13">
      <c r="G50" s="4">
        <f>Proposed!C$66</f>
        <v>0</v>
      </c>
      <c r="I50" s="122">
        <f>IFERROR(INDEX('Proposed Data'!BB$2:BB$100, MATCH('Project Info'!$G50,'Proposed Data'!$A$2:$A$100,0))/Calculations!$E$8,0)</f>
        <v>0</v>
      </c>
      <c r="J50" s="122">
        <f>IFERROR(INDEX('Proposed Data'!BC$2:BC$100, MATCH('Project Info'!$G50,'Proposed Data'!$A$2:$A$100,0))/Calculations!$E$8,0)</f>
        <v>0</v>
      </c>
      <c r="K50" s="122">
        <f>IFERROR(INDEX('Proposed Data'!BD$2:BD$100, MATCH('Project Info'!$G50,'Proposed Data'!$A$2:$A$100,0))/Calculations!$E$8,0)</f>
        <v>0</v>
      </c>
      <c r="L50" s="122">
        <f>IFERROR(INDEX('Proposed Data'!BE$2:BE$100, MATCH('Project Info'!$G50,'Proposed Data'!$A$2:$A$100,0))/Calculations!$E$8,0)</f>
        <v>0</v>
      </c>
      <c r="M50" s="122">
        <f>IFERROR(INDEX('Proposed Data'!BF$2:BF$100, MATCH('Project Info'!$G50,'Proposed Data'!$A$2:$A$100,0))/Calculations!$E$8,0)</f>
        <v>0</v>
      </c>
    </row>
    <row r="51" spans="7:13">
      <c r="G51" s="4">
        <f>Proposed!C$80</f>
        <v>0</v>
      </c>
      <c r="I51" s="122">
        <f>IFERROR(INDEX('Proposed Data'!BB$2:BB$100, MATCH('Project Info'!$G51,'Proposed Data'!$A$2:$A$100,0))/Calculations!$E$8,0)</f>
        <v>0</v>
      </c>
      <c r="J51" s="122">
        <f>IFERROR(INDEX('Proposed Data'!BC$2:BC$100, MATCH('Project Info'!$G51,'Proposed Data'!$A$2:$A$100,0))/Calculations!$E$8,0)</f>
        <v>0</v>
      </c>
      <c r="K51" s="122">
        <f>IFERROR(INDEX('Proposed Data'!BD$2:BD$100, MATCH('Project Info'!$G51,'Proposed Data'!$A$2:$A$100,0))/Calculations!$E$8,0)</f>
        <v>0</v>
      </c>
      <c r="L51" s="122">
        <f>IFERROR(INDEX('Proposed Data'!BE$2:BE$100, MATCH('Project Info'!$G51,'Proposed Data'!$A$2:$A$100,0))/Calculations!$E$8,0)</f>
        <v>0</v>
      </c>
      <c r="M51" s="122">
        <f>IFERROR(INDEX('Proposed Data'!BF$2:BF$100, MATCH('Project Info'!$G51,'Proposed Data'!$A$2:$A$100,0))/Calculations!$E$8,0)</f>
        <v>0</v>
      </c>
    </row>
    <row r="52" spans="7:13">
      <c r="G52" s="4">
        <f>Proposed!C$94</f>
        <v>0</v>
      </c>
      <c r="I52" s="122">
        <f>IFERROR(INDEX('Proposed Data'!BB$2:BB$100, MATCH('Project Info'!$G52,'Proposed Data'!$A$2:$A$100,0))/Calculations!$E$8,0)</f>
        <v>0</v>
      </c>
      <c r="J52" s="122">
        <f>IFERROR(INDEX('Proposed Data'!BC$2:BC$100, MATCH('Project Info'!$G52,'Proposed Data'!$A$2:$A$100,0))/Calculations!$E$8,0)</f>
        <v>0</v>
      </c>
      <c r="K52" s="122">
        <f>IFERROR(INDEX('Proposed Data'!BD$2:BD$100, MATCH('Project Info'!$G52,'Proposed Data'!$A$2:$A$100,0))/Calculations!$E$8,0)</f>
        <v>0</v>
      </c>
      <c r="L52" s="122">
        <f>IFERROR(INDEX('Proposed Data'!BE$2:BE$100, MATCH('Project Info'!$G52,'Proposed Data'!$A$2:$A$100,0))/Calculations!$E$8,0)</f>
        <v>0</v>
      </c>
      <c r="M52" s="122">
        <f>IFERROR(INDEX('Proposed Data'!BF$2:BF$100, MATCH('Project Info'!$G52,'Proposed Data'!$A$2:$A$100,0))/Calculations!$E$8,0)</f>
        <v>0</v>
      </c>
    </row>
    <row r="53" spans="7:13">
      <c r="G53" s="4">
        <f>Proposed!C$108</f>
        <v>0</v>
      </c>
      <c r="I53" s="122">
        <f>IFERROR(INDEX('Proposed Data'!BB$2:BB$100, MATCH('Project Info'!$G53,'Proposed Data'!$A$2:$A$100,0))/Calculations!$E$8,0)</f>
        <v>0</v>
      </c>
      <c r="J53" s="122">
        <f>IFERROR(INDEX('Proposed Data'!BC$2:BC$100, MATCH('Project Info'!$G53,'Proposed Data'!$A$2:$A$100,0))/Calculations!$E$8,0)</f>
        <v>0</v>
      </c>
      <c r="K53" s="122">
        <f>IFERROR(INDEX('Proposed Data'!BD$2:BD$100, MATCH('Project Info'!$G53,'Proposed Data'!$A$2:$A$100,0))/Calculations!$E$8,0)</f>
        <v>0</v>
      </c>
      <c r="L53" s="122">
        <f>IFERROR(INDEX('Proposed Data'!BE$2:BE$100, MATCH('Project Info'!$G53,'Proposed Data'!$A$2:$A$100,0))/Calculations!$E$8,0)</f>
        <v>0</v>
      </c>
      <c r="M53" s="122">
        <f>IFERROR(INDEX('Proposed Data'!BF$2:BF$100, MATCH('Project Info'!$G53,'Proposed Data'!$A$2:$A$100,0))/Calculations!$E$8,0)</f>
        <v>0</v>
      </c>
    </row>
    <row r="54" spans="7:13">
      <c r="G54" s="4">
        <f>Proposed!C$122</f>
        <v>0</v>
      </c>
      <c r="I54" s="122">
        <f>IFERROR(INDEX('Proposed Data'!BB$2:BB$100, MATCH('Project Info'!$G54,'Proposed Data'!$A$2:$A$100,0))/Calculations!$E$8,0)</f>
        <v>0</v>
      </c>
      <c r="J54" s="122">
        <f>IFERROR(INDEX('Proposed Data'!BC$2:BC$100, MATCH('Project Info'!$G54,'Proposed Data'!$A$2:$A$100,0))/Calculations!$E$8,0)</f>
        <v>0</v>
      </c>
      <c r="K54" s="122">
        <f>IFERROR(INDEX('Proposed Data'!BD$2:BD$100, MATCH('Project Info'!$G54,'Proposed Data'!$A$2:$A$100,0))/Calculations!$E$8,0)</f>
        <v>0</v>
      </c>
      <c r="L54" s="122">
        <f>IFERROR(INDEX('Proposed Data'!BE$2:BE$100, MATCH('Project Info'!$G54,'Proposed Data'!$A$2:$A$100,0))/Calculations!$E$8,0)</f>
        <v>0</v>
      </c>
      <c r="M54" s="122">
        <f>IFERROR(INDEX('Proposed Data'!BF$2:BF$100, MATCH('Project Info'!$G54,'Proposed Data'!$A$2:$A$100,0))/Calculations!$E$8,0)</f>
        <v>0</v>
      </c>
    </row>
    <row r="55" spans="7:13">
      <c r="G55" s="4">
        <f>Proposed!C$136</f>
        <v>0</v>
      </c>
      <c r="I55" s="122">
        <f>IFERROR(INDEX('Proposed Data'!BB$2:BB$100, MATCH('Project Info'!$G55,'Proposed Data'!$A$2:$A$100,0))/Calculations!$E$8,0)</f>
        <v>0</v>
      </c>
      <c r="J55" s="122">
        <f>IFERROR(INDEX('Proposed Data'!BC$2:BC$100, MATCH('Project Info'!$G55,'Proposed Data'!$A$2:$A$100,0))/Calculations!$E$8,0)</f>
        <v>0</v>
      </c>
      <c r="K55" s="122">
        <f>IFERROR(INDEX('Proposed Data'!BD$2:BD$100, MATCH('Project Info'!$G55,'Proposed Data'!$A$2:$A$100,0))/Calculations!$E$8,0)</f>
        <v>0</v>
      </c>
      <c r="L55" s="122">
        <f>IFERROR(INDEX('Proposed Data'!BE$2:BE$100, MATCH('Project Info'!$G55,'Proposed Data'!$A$2:$A$100,0))/Calculations!$E$8,0)</f>
        <v>0</v>
      </c>
      <c r="M55" s="122">
        <f>IFERROR(INDEX('Proposed Data'!BF$2:BF$100, MATCH('Project Info'!$G55,'Proposed Data'!$A$2:$A$100,0))/Calculations!$E$8,0)</f>
        <v>0</v>
      </c>
    </row>
    <row r="57" spans="7:13">
      <c r="G57" s="4" t="str">
        <f>Calculations!A$9</f>
        <v>LEED Baseline</v>
      </c>
      <c r="I57" s="122">
        <f>IF($I$19=Menus!$E$2,I$41,IF(I44=0,I$41,I44))</f>
        <v>0.11840076901885621</v>
      </c>
      <c r="J57" s="122">
        <f>IF($I$19=Menus!$E$2,J$41,IF(J44=0,J$41,J44))</f>
        <v>5.3060000000000003E-2</v>
      </c>
      <c r="K57" s="122">
        <f>IF($I$19=Menus!$E$2,K$41,IF(K44=0,K$41,K44))</f>
        <v>0</v>
      </c>
      <c r="L57" s="122">
        <f>IF($I$19=Menus!$E$2,L$41,IF(L44=0,L$41,L44))</f>
        <v>0.29307121044271339</v>
      </c>
      <c r="M57" s="122">
        <f>IF($I$19=Menus!$E$2,M$41,IF(M44=0,M$41,M44))</f>
        <v>0.29307121044271339</v>
      </c>
    </row>
    <row r="58" spans="7:13">
      <c r="G58" s="121" t="str">
        <f>Calculations!A$10</f>
        <v>Code Baseline</v>
      </c>
      <c r="I58" s="122">
        <f>IF($I$19=Menus!$E$2,I$41,IF(I45=0,I$41,I45))</f>
        <v>0.11840076901885621</v>
      </c>
      <c r="J58" s="122">
        <f>IF($I$19=Menus!$E$2,J$41,IF(J45=0,J$41,J45))</f>
        <v>5.3060000000000003E-2</v>
      </c>
      <c r="K58" s="122">
        <f>IF($I$19=Menus!$E$2,K$41,IF(K45=0,K$41,K45))</f>
        <v>0</v>
      </c>
      <c r="L58" s="122">
        <f>IF($I$19=Menus!$E$2,L$41,IF(L45=0,L$41,L45))</f>
        <v>0.29307121044271339</v>
      </c>
      <c r="M58" s="122">
        <f>IF($I$19=Menus!$E$2,M$41,IF(M45=0,M$41,M45))</f>
        <v>0.29307121044271339</v>
      </c>
    </row>
    <row r="59" spans="7:13">
      <c r="G59" s="4" t="s">
        <v>106</v>
      </c>
      <c r="I59" s="122">
        <f>IF($I$19=Menus!$E$2,I$41,IF(I46=0,I$41,I46))</f>
        <v>0.11840076901885621</v>
      </c>
      <c r="J59" s="122">
        <f>IF($I$19=Menus!$E$2,J$41,IF(J46=0,J$41,J46))</f>
        <v>5.3060000000000003E-2</v>
      </c>
      <c r="K59" s="122">
        <f>IF($I$19=Menus!$E$2,K$41,IF(K46=0,K$41,K46))</f>
        <v>0</v>
      </c>
      <c r="L59" s="122">
        <f>IF($I$19=Menus!$E$2,L$41,IF(L46=0,L$41,L46))</f>
        <v>0.29307121044271339</v>
      </c>
      <c r="M59" s="122">
        <f>IF($I$19=Menus!$E$2,M$41,IF(M46=0,M$41,M46))</f>
        <v>0.29307121044271339</v>
      </c>
    </row>
    <row r="60" spans="7:13">
      <c r="G60" s="4" t="s">
        <v>107</v>
      </c>
      <c r="I60" s="122">
        <f>IF($I$19=Menus!$E$2,I$41,IF(I47=0,I$41,I47))</f>
        <v>0.11840076901885621</v>
      </c>
      <c r="J60" s="122">
        <f>IF($I$19=Menus!$E$2,J$41,IF(J47=0,J$41,J47))</f>
        <v>5.3060000000000003E-2</v>
      </c>
      <c r="K60" s="122">
        <f>IF($I$19=Menus!$E$2,K$41,IF(K47=0,K$41,K47))</f>
        <v>0</v>
      </c>
      <c r="L60" s="122">
        <f>IF($I$19=Menus!$E$2,L$41,IF(L47=0,L$41,L47))</f>
        <v>0.29307121044271339</v>
      </c>
      <c r="M60" s="122">
        <f>IF($I$19=Menus!$E$2,M$41,IF(M47=0,M$41,M47))</f>
        <v>0.29307121044271339</v>
      </c>
    </row>
    <row r="61" spans="7:13">
      <c r="G61" s="4" t="s">
        <v>108</v>
      </c>
      <c r="I61" s="122">
        <f>IF($I$19=Menus!$E$2,I$41,IF(I48=0,I$41,I48))</f>
        <v>0.11840076901885621</v>
      </c>
      <c r="J61" s="122">
        <f>IF($I$19=Menus!$E$2,J$41,IF(J48=0,J$41,J48))</f>
        <v>5.3060000000000003E-2</v>
      </c>
      <c r="K61" s="122">
        <f>IF($I$19=Menus!$E$2,K$41,IF(K48=0,K$41,K48))</f>
        <v>0</v>
      </c>
      <c r="L61" s="122">
        <f>IF($I$19=Menus!$E$2,L$41,IF(L48=0,L$41,L48))</f>
        <v>0.29307121044271339</v>
      </c>
      <c r="M61" s="122">
        <f>IF($I$19=Menus!$E$2,M$41,IF(M48=0,M$41,M48))</f>
        <v>0.29307121044271339</v>
      </c>
    </row>
    <row r="62" spans="7:13">
      <c r="G62" s="4" t="s">
        <v>109</v>
      </c>
      <c r="I62" s="122">
        <f>IF($I$19=Menus!$E$2,I$41,IF(I49=0,I$41,I49))</f>
        <v>0.11840076901885621</v>
      </c>
      <c r="J62" s="122">
        <f>IF($I$19=Menus!$E$2,J$41,IF(J49=0,J$41,J49))</f>
        <v>5.3060000000000003E-2</v>
      </c>
      <c r="K62" s="122">
        <f>IF($I$19=Menus!$E$2,K$41,IF(K49=0,K$41,K49))</f>
        <v>0</v>
      </c>
      <c r="L62" s="122">
        <f>IF($I$19=Menus!$E$2,L$41,IF(L49=0,L$41,L49))</f>
        <v>0.29307121044271339</v>
      </c>
      <c r="M62" s="122">
        <f>IF($I$19=Menus!$E$2,M$41,IF(M49=0,M$41,M49))</f>
        <v>0.29307121044271339</v>
      </c>
    </row>
    <row r="63" spans="7:13">
      <c r="G63" s="4" t="s">
        <v>110</v>
      </c>
      <c r="I63" s="122">
        <f>IF($I$19=Menus!$E$2,I$41,IF(I50=0,I$41,I50))</f>
        <v>0.11840076901885621</v>
      </c>
      <c r="J63" s="122">
        <f>IF($I$19=Menus!$E$2,J$41,IF(J50=0,J$41,J50))</f>
        <v>5.3060000000000003E-2</v>
      </c>
      <c r="K63" s="122">
        <f>IF($I$19=Menus!$E$2,K$41,IF(K50=0,K$41,K50))</f>
        <v>0</v>
      </c>
      <c r="L63" s="122">
        <f>IF($I$19=Menus!$E$2,L$41,IF(L50=0,L$41,L50))</f>
        <v>0.29307121044271339</v>
      </c>
      <c r="M63" s="122">
        <f>IF($I$19=Menus!$E$2,M$41,IF(M50=0,M$41,M50))</f>
        <v>0.29307121044271339</v>
      </c>
    </row>
    <row r="64" spans="7:13">
      <c r="G64" s="4" t="s">
        <v>111</v>
      </c>
      <c r="I64" s="122">
        <f>IF($I$19=Menus!$E$2,I$41,IF(I51=0,I$41,I51))</f>
        <v>0.11840076901885621</v>
      </c>
      <c r="J64" s="122">
        <f>IF($I$19=Menus!$E$2,J$41,IF(J51=0,J$41,J51))</f>
        <v>5.3060000000000003E-2</v>
      </c>
      <c r="K64" s="122">
        <f>IF($I$19=Menus!$E$2,K$41,IF(K51=0,K$41,K51))</f>
        <v>0</v>
      </c>
      <c r="L64" s="122">
        <f>IF($I$19=Menus!$E$2,L$41,IF(L51=0,L$41,L51))</f>
        <v>0.29307121044271339</v>
      </c>
      <c r="M64" s="122">
        <f>IF($I$19=Menus!$E$2,M$41,IF(M51=0,M$41,M51))</f>
        <v>0.29307121044271339</v>
      </c>
    </row>
    <row r="65" spans="7:13">
      <c r="G65" s="4" t="s">
        <v>112</v>
      </c>
      <c r="I65" s="122">
        <f>IF($I$19=Menus!$E$2,I$41,IF(I52=0,I$41,I52))</f>
        <v>0.11840076901885621</v>
      </c>
      <c r="J65" s="122">
        <f>IF($I$19=Menus!$E$2,J$41,IF(J52=0,J$41,J52))</f>
        <v>5.3060000000000003E-2</v>
      </c>
      <c r="K65" s="122">
        <f>IF($I$19=Menus!$E$2,K$41,IF(K52=0,K$41,K52))</f>
        <v>0</v>
      </c>
      <c r="L65" s="122">
        <f>IF($I$19=Menus!$E$2,L$41,IF(L52=0,L$41,L52))</f>
        <v>0.29307121044271339</v>
      </c>
      <c r="M65" s="122">
        <f>IF($I$19=Menus!$E$2,M$41,IF(M52=0,M$41,M52))</f>
        <v>0.29307121044271339</v>
      </c>
    </row>
    <row r="66" spans="7:13">
      <c r="G66" s="4" t="s">
        <v>113</v>
      </c>
      <c r="I66" s="122">
        <f>IF($I$19=Menus!$E$2,I$41,IF(I53=0,I$41,I53))</f>
        <v>0.11840076901885621</v>
      </c>
      <c r="J66" s="122">
        <f>IF($I$19=Menus!$E$2,J$41,IF(J53=0,J$41,J53))</f>
        <v>5.3060000000000003E-2</v>
      </c>
      <c r="K66" s="122">
        <f>IF($I$19=Menus!$E$2,K$41,IF(K53=0,K$41,K53))</f>
        <v>0</v>
      </c>
      <c r="L66" s="122">
        <f>IF($I$19=Menus!$E$2,L$41,IF(L53=0,L$41,L53))</f>
        <v>0.29307121044271339</v>
      </c>
      <c r="M66" s="122">
        <f>IF($I$19=Menus!$E$2,M$41,IF(M53=0,M$41,M53))</f>
        <v>0.29307121044271339</v>
      </c>
    </row>
    <row r="67" spans="7:13">
      <c r="G67" s="4" t="s">
        <v>114</v>
      </c>
      <c r="I67" s="122">
        <f>IF($I$19=Menus!$E$2,I$41,IF(I54=0,I$41,I54))</f>
        <v>0.11840076901885621</v>
      </c>
      <c r="J67" s="122">
        <f>IF($I$19=Menus!$E$2,J$41,IF(J54=0,J$41,J54))</f>
        <v>5.3060000000000003E-2</v>
      </c>
      <c r="K67" s="122">
        <f>IF($I$19=Menus!$E$2,K$41,IF(K54=0,K$41,K54))</f>
        <v>0</v>
      </c>
      <c r="L67" s="122">
        <f>IF($I$19=Menus!$E$2,L$41,IF(L54=0,L$41,L54))</f>
        <v>0.29307121044271339</v>
      </c>
      <c r="M67" s="122">
        <f>IF($I$19=Menus!$E$2,M$41,IF(M54=0,M$41,M54))</f>
        <v>0.29307121044271339</v>
      </c>
    </row>
    <row r="68" spans="7:13">
      <c r="G68" s="4" t="s">
        <v>115</v>
      </c>
      <c r="I68" s="122">
        <f>IF($I$19=Menus!$E$2,I$41,IF(I55=0,I$41,I55))</f>
        <v>0.11840076901885621</v>
      </c>
      <c r="J68" s="122">
        <f>IF($I$19=Menus!$E$2,J$41,IF(J55=0,J$41,J55))</f>
        <v>5.3060000000000003E-2</v>
      </c>
      <c r="K68" s="122">
        <f>IF($I$19=Menus!$E$2,K$41,IF(K55=0,K$41,K55))</f>
        <v>0</v>
      </c>
      <c r="L68" s="122">
        <f>IF($I$19=Menus!$E$2,L$41,IF(L55=0,L$41,L55))</f>
        <v>0.29307121044271339</v>
      </c>
      <c r="M68" s="122">
        <f>IF($I$19=Menus!$E$2,M$41,IF(M55=0,M$41,M55))</f>
        <v>0.29307121044271339</v>
      </c>
    </row>
    <row r="70" spans="7:13">
      <c r="G70" s="4" t="str">
        <f>Calculations!A$9</f>
        <v>LEED Baseline</v>
      </c>
      <c r="I70" s="112">
        <f>'BL Data'!AU$2</f>
        <v>3.6342321219226259E-2</v>
      </c>
      <c r="J70" s="112">
        <f>'BL Data'!AV$2</f>
        <v>0</v>
      </c>
      <c r="K70" s="112">
        <f>'BL Data'!AW$2</f>
        <v>0</v>
      </c>
      <c r="L70" s="112">
        <f>'BL Data'!AX$2</f>
        <v>0</v>
      </c>
      <c r="M70" s="112">
        <f>'BL Data'!AY$2</f>
        <v>0</v>
      </c>
    </row>
    <row r="71" spans="7:13">
      <c r="G71" s="121" t="str">
        <f>Calculations!A$10</f>
        <v>Code Baseline</v>
      </c>
      <c r="I71" s="112">
        <f>'BL Data'!AU$6</f>
        <v>0</v>
      </c>
      <c r="J71" s="112">
        <f>'BL Data'!AV$6</f>
        <v>0</v>
      </c>
      <c r="K71" s="112">
        <f>'BL Data'!AW$6</f>
        <v>0</v>
      </c>
      <c r="L71" s="112">
        <f>'BL Data'!AX$6</f>
        <v>0</v>
      </c>
      <c r="M71" s="112">
        <f>'BL Data'!AY$6</f>
        <v>0</v>
      </c>
    </row>
    <row r="72" spans="7:13">
      <c r="G72" s="4" t="str">
        <f>Proposed!C$10</f>
        <v>Primary 0°</v>
      </c>
      <c r="I72" s="112">
        <f>IFERROR(INDEX('Proposed Data'!AU$2:AU$100, MATCH('Project Info'!$G72,'Proposed Data'!$A$2:$A$100,0))/Calculations!$E$8,0)</f>
        <v>3.6342321219226259E-2</v>
      </c>
      <c r="J72" s="112">
        <f>IFERROR(INDEX('Proposed Data'!AV$2:AV$100, MATCH('Project Info'!$G72,'Proposed Data'!$A$2:$A$100,0))/Calculations!$E$8,0)</f>
        <v>0</v>
      </c>
      <c r="K72" s="112">
        <f>IFERROR(INDEX('Proposed Data'!AW$2:AW$100, MATCH('Project Info'!$G72,'Proposed Data'!$A$2:$A$100,0))/Calculations!$E$8,0)</f>
        <v>0</v>
      </c>
      <c r="L72" s="112">
        <f>IFERROR(INDEX('Proposed Data'!AX$2:AX$100, MATCH('Project Info'!$G72,'Proposed Data'!$A$2:$A$100,0))/Calculations!$E$8,0)</f>
        <v>0</v>
      </c>
      <c r="M72" s="112">
        <f>IFERROR(INDEX('Proposed Data'!AY$2:AY$100, MATCH('Project Info'!$G72,'Proposed Data'!$A$2:$A$100,0))/Calculations!$E$8,0)</f>
        <v>0</v>
      </c>
    </row>
    <row r="73" spans="7:13">
      <c r="G73" s="4">
        <f>Proposed!C$24</f>
        <v>0</v>
      </c>
      <c r="I73" s="112">
        <f>IFERROR(INDEX('Proposed Data'!AU$2:AU$100, MATCH('Project Info'!$G73,'Proposed Data'!$A$2:$A$100,0))/Calculations!$E$8,0)</f>
        <v>0</v>
      </c>
      <c r="J73" s="112">
        <f>IFERROR(INDEX('Proposed Data'!AV$2:AV$100, MATCH('Project Info'!$G73,'Proposed Data'!$A$2:$A$100,0))/Calculations!$E$8,0)</f>
        <v>0</v>
      </c>
      <c r="K73" s="112">
        <f>IFERROR(INDEX('Proposed Data'!AW$2:AW$100, MATCH('Project Info'!$G73,'Proposed Data'!$A$2:$A$100,0))/Calculations!$E$8,0)</f>
        <v>0</v>
      </c>
      <c r="L73" s="112">
        <f>IFERROR(INDEX('Proposed Data'!AX$2:AX$100, MATCH('Project Info'!$G73,'Proposed Data'!$A$2:$A$100,0))/Calculations!$E$8,0)</f>
        <v>0</v>
      </c>
      <c r="M73" s="112">
        <f>IFERROR(INDEX('Proposed Data'!AY$2:AY$100, MATCH('Project Info'!$G73,'Proposed Data'!$A$2:$A$100,0))/Calculations!$E$8,0)</f>
        <v>0</v>
      </c>
    </row>
    <row r="74" spans="7:13">
      <c r="G74" s="4">
        <f>Proposed!C$38</f>
        <v>0</v>
      </c>
      <c r="I74" s="112">
        <f>IFERROR(INDEX('Proposed Data'!AU$2:AU$100, MATCH('Project Info'!$G74,'Proposed Data'!$A$2:$A$100,0))/Calculations!$E$8,0)</f>
        <v>0</v>
      </c>
      <c r="J74" s="112">
        <f>IFERROR(INDEX('Proposed Data'!AV$2:AV$100, MATCH('Project Info'!$G74,'Proposed Data'!$A$2:$A$100,0))/Calculations!$E$8,0)</f>
        <v>0</v>
      </c>
      <c r="K74" s="112">
        <f>IFERROR(INDEX('Proposed Data'!AW$2:AW$100, MATCH('Project Info'!$G74,'Proposed Data'!$A$2:$A$100,0))/Calculations!$E$8,0)</f>
        <v>0</v>
      </c>
      <c r="L74" s="112">
        <f>IFERROR(INDEX('Proposed Data'!AX$2:AX$100, MATCH('Project Info'!$G74,'Proposed Data'!$A$2:$A$100,0))/Calculations!$E$8,0)</f>
        <v>0</v>
      </c>
      <c r="M74" s="112">
        <f>IFERROR(INDEX('Proposed Data'!AY$2:AY$100, MATCH('Project Info'!$G74,'Proposed Data'!$A$2:$A$100,0))/Calculations!$E$8,0)</f>
        <v>0</v>
      </c>
    </row>
    <row r="75" spans="7:13">
      <c r="G75" s="4">
        <f>Proposed!C$52</f>
        <v>0</v>
      </c>
      <c r="I75" s="112">
        <f>IFERROR(INDEX('Proposed Data'!AU$2:AU$100, MATCH('Project Info'!$G75,'Proposed Data'!$A$2:$A$100,0))/Calculations!$E$8,0)</f>
        <v>0</v>
      </c>
      <c r="J75" s="112">
        <f>IFERROR(INDEX('Proposed Data'!AV$2:AV$100, MATCH('Project Info'!$G75,'Proposed Data'!$A$2:$A$100,0))/Calculations!$E$8,0)</f>
        <v>0</v>
      </c>
      <c r="K75" s="112">
        <f>IFERROR(INDEX('Proposed Data'!AW$2:AW$100, MATCH('Project Info'!$G75,'Proposed Data'!$A$2:$A$100,0))/Calculations!$E$8,0)</f>
        <v>0</v>
      </c>
      <c r="L75" s="112">
        <f>IFERROR(INDEX('Proposed Data'!AX$2:AX$100, MATCH('Project Info'!$G75,'Proposed Data'!$A$2:$A$100,0))/Calculations!$E$8,0)</f>
        <v>0</v>
      </c>
      <c r="M75" s="112">
        <f>IFERROR(INDEX('Proposed Data'!AY$2:AY$100, MATCH('Project Info'!$G75,'Proposed Data'!$A$2:$A$100,0))/Calculations!$E$8,0)</f>
        <v>0</v>
      </c>
    </row>
    <row r="76" spans="7:13">
      <c r="G76" s="4">
        <f>Proposed!C$66</f>
        <v>0</v>
      </c>
      <c r="I76" s="112">
        <f>IFERROR(INDEX('Proposed Data'!AU$2:AU$100, MATCH('Project Info'!$G76,'Proposed Data'!$A$2:$A$100,0))/Calculations!$E$8,0)</f>
        <v>0</v>
      </c>
      <c r="J76" s="112">
        <f>IFERROR(INDEX('Proposed Data'!AV$2:AV$100, MATCH('Project Info'!$G76,'Proposed Data'!$A$2:$A$100,0))/Calculations!$E$8,0)</f>
        <v>0</v>
      </c>
      <c r="K76" s="112">
        <f>IFERROR(INDEX('Proposed Data'!AW$2:AW$100, MATCH('Project Info'!$G76,'Proposed Data'!$A$2:$A$100,0))/Calculations!$E$8,0)</f>
        <v>0</v>
      </c>
      <c r="L76" s="112">
        <f>IFERROR(INDEX('Proposed Data'!AX$2:AX$100, MATCH('Project Info'!$G76,'Proposed Data'!$A$2:$A$100,0))/Calculations!$E$8,0)</f>
        <v>0</v>
      </c>
      <c r="M76" s="112">
        <f>IFERROR(INDEX('Proposed Data'!AY$2:AY$100, MATCH('Project Info'!$G76,'Proposed Data'!$A$2:$A$100,0))/Calculations!$E$8,0)</f>
        <v>0</v>
      </c>
    </row>
    <row r="77" spans="7:13">
      <c r="G77" s="4">
        <f>Proposed!C$80</f>
        <v>0</v>
      </c>
      <c r="I77" s="112">
        <f>IFERROR(INDEX('Proposed Data'!AU$2:AU$100, MATCH('Project Info'!$G77,'Proposed Data'!$A$2:$A$100,0))/Calculations!$E$8,0)</f>
        <v>0</v>
      </c>
      <c r="J77" s="112">
        <f>IFERROR(INDEX('Proposed Data'!AV$2:AV$100, MATCH('Project Info'!$G77,'Proposed Data'!$A$2:$A$100,0))/Calculations!$E$8,0)</f>
        <v>0</v>
      </c>
      <c r="K77" s="112">
        <f>IFERROR(INDEX('Proposed Data'!AW$2:AW$100, MATCH('Project Info'!$G77,'Proposed Data'!$A$2:$A$100,0))/Calculations!$E$8,0)</f>
        <v>0</v>
      </c>
      <c r="L77" s="112">
        <f>IFERROR(INDEX('Proposed Data'!AX$2:AX$100, MATCH('Project Info'!$G77,'Proposed Data'!$A$2:$A$100,0))/Calculations!$E$8,0)</f>
        <v>0</v>
      </c>
      <c r="M77" s="112">
        <f>IFERROR(INDEX('Proposed Data'!AY$2:AY$100, MATCH('Project Info'!$G77,'Proposed Data'!$A$2:$A$100,0))/Calculations!$E$8,0)</f>
        <v>0</v>
      </c>
    </row>
    <row r="78" spans="7:13">
      <c r="G78" s="4">
        <f>Proposed!C$94</f>
        <v>0</v>
      </c>
      <c r="I78" s="112">
        <f>IFERROR(INDEX('Proposed Data'!AU$2:AU$100, MATCH('Project Info'!$G78,'Proposed Data'!$A$2:$A$100,0))/Calculations!$E$8,0)</f>
        <v>0</v>
      </c>
      <c r="J78" s="112">
        <f>IFERROR(INDEX('Proposed Data'!AV$2:AV$100, MATCH('Project Info'!$G78,'Proposed Data'!$A$2:$A$100,0))/Calculations!$E$8,0)</f>
        <v>0</v>
      </c>
      <c r="K78" s="112">
        <f>IFERROR(INDEX('Proposed Data'!AW$2:AW$100, MATCH('Project Info'!$G78,'Proposed Data'!$A$2:$A$100,0))/Calculations!$E$8,0)</f>
        <v>0</v>
      </c>
      <c r="L78" s="112">
        <f>IFERROR(INDEX('Proposed Data'!AX$2:AX$100, MATCH('Project Info'!$G78,'Proposed Data'!$A$2:$A$100,0))/Calculations!$E$8,0)</f>
        <v>0</v>
      </c>
      <c r="M78" s="112">
        <f>IFERROR(INDEX('Proposed Data'!AY$2:AY$100, MATCH('Project Info'!$G78,'Proposed Data'!$A$2:$A$100,0))/Calculations!$E$8,0)</f>
        <v>0</v>
      </c>
    </row>
    <row r="79" spans="7:13">
      <c r="G79" s="4">
        <f>Proposed!C$108</f>
        <v>0</v>
      </c>
      <c r="I79" s="112">
        <f>IFERROR(INDEX('Proposed Data'!AU$2:AU$100, MATCH('Project Info'!$G79,'Proposed Data'!$A$2:$A$100,0))/Calculations!$E$8,0)</f>
        <v>0</v>
      </c>
      <c r="J79" s="112">
        <f>IFERROR(INDEX('Proposed Data'!AV$2:AV$100, MATCH('Project Info'!$G79,'Proposed Data'!$A$2:$A$100,0))/Calculations!$E$8,0)</f>
        <v>0</v>
      </c>
      <c r="K79" s="112">
        <f>IFERROR(INDEX('Proposed Data'!AW$2:AW$100, MATCH('Project Info'!$G79,'Proposed Data'!$A$2:$A$100,0))/Calculations!$E$8,0)</f>
        <v>0</v>
      </c>
      <c r="L79" s="112">
        <f>IFERROR(INDEX('Proposed Data'!AX$2:AX$100, MATCH('Project Info'!$G79,'Proposed Data'!$A$2:$A$100,0))/Calculations!$E$8,0)</f>
        <v>0</v>
      </c>
      <c r="M79" s="112">
        <f>IFERROR(INDEX('Proposed Data'!AY$2:AY$100, MATCH('Project Info'!$G79,'Proposed Data'!$A$2:$A$100,0))/Calculations!$E$8,0)</f>
        <v>0</v>
      </c>
    </row>
    <row r="80" spans="7:13">
      <c r="G80" s="4">
        <f>Proposed!C$122</f>
        <v>0</v>
      </c>
      <c r="I80" s="112">
        <f>IFERROR(INDEX('Proposed Data'!AU$2:AU$100, MATCH('Project Info'!$G80,'Proposed Data'!$A$2:$A$100,0))/Calculations!$E$8,0)</f>
        <v>0</v>
      </c>
      <c r="J80" s="112">
        <f>IFERROR(INDEX('Proposed Data'!AV$2:AV$100, MATCH('Project Info'!$G80,'Proposed Data'!$A$2:$A$100,0))/Calculations!$E$8,0)</f>
        <v>0</v>
      </c>
      <c r="K80" s="112">
        <f>IFERROR(INDEX('Proposed Data'!AW$2:AW$100, MATCH('Project Info'!$G80,'Proposed Data'!$A$2:$A$100,0))/Calculations!$E$8,0)</f>
        <v>0</v>
      </c>
      <c r="L80" s="112">
        <f>IFERROR(INDEX('Proposed Data'!AX$2:AX$100, MATCH('Project Info'!$G80,'Proposed Data'!$A$2:$A$100,0))/Calculations!$E$8,0)</f>
        <v>0</v>
      </c>
      <c r="M80" s="112">
        <f>IFERROR(INDEX('Proposed Data'!AY$2:AY$100, MATCH('Project Info'!$G80,'Proposed Data'!$A$2:$A$100,0))/Calculations!$E$8,0)</f>
        <v>0</v>
      </c>
    </row>
    <row r="81" spans="7:13">
      <c r="G81" s="4">
        <f>Proposed!C$136</f>
        <v>0</v>
      </c>
      <c r="I81" s="112">
        <f>IFERROR(INDEX('Proposed Data'!AU$2:AU$100, MATCH('Project Info'!$G81,'Proposed Data'!$A$2:$A$100,0))/Calculations!$E$8,0)</f>
        <v>0</v>
      </c>
      <c r="J81" s="112">
        <f>IFERROR(INDEX('Proposed Data'!AV$2:AV$100, MATCH('Project Info'!$G81,'Proposed Data'!$A$2:$A$100,0))/Calculations!$E$8,0)</f>
        <v>0</v>
      </c>
      <c r="K81" s="112">
        <f>IFERROR(INDEX('Proposed Data'!AW$2:AW$100, MATCH('Project Info'!$G81,'Proposed Data'!$A$2:$A$100,0))/Calculations!$E$8,0)</f>
        <v>0</v>
      </c>
      <c r="L81" s="112">
        <f>IFERROR(INDEX('Proposed Data'!AX$2:AX$100, MATCH('Project Info'!$G81,'Proposed Data'!$A$2:$A$100,0))/Calculations!$E$8,0)</f>
        <v>0</v>
      </c>
      <c r="M81" s="112">
        <f>IFERROR(INDEX('Proposed Data'!AY$2:AY$100, MATCH('Project Info'!$G81,'Proposed Data'!$A$2:$A$100,0))/Calculations!$E$8,0)</f>
        <v>0</v>
      </c>
    </row>
    <row r="82" spans="7:13">
      <c r="G82" s="4"/>
    </row>
    <row r="83" spans="7:13">
      <c r="G83" s="4" t="str">
        <f>Calculations!A$9</f>
        <v>LEED Baseline</v>
      </c>
      <c r="I83" s="112">
        <f>IF($I$26=Menus!$E$2,I$42,IF(I70=0,I$42,I70))</f>
        <v>3.6340830094896456E-2</v>
      </c>
      <c r="J83" s="112">
        <f>IF($I$26=Menus!$E$2,J$42,IF(J70=0,J$42,J70))</f>
        <v>1.4499999999999999E-2</v>
      </c>
      <c r="K83" s="112">
        <f>IF($I$26=Menus!$E$2,K$42,IF(K70=0,K$42,K70))</f>
        <v>0</v>
      </c>
      <c r="L83" s="112">
        <f>IF($I$26=Menus!$E$2,L$42,IF(L70=0,L$42,L70))</f>
        <v>0</v>
      </c>
      <c r="M83" s="112">
        <f>IF($I$26=Menus!$E$2,M$42,IF(M70=0,M$42,M70))</f>
        <v>0</v>
      </c>
    </row>
    <row r="84" spans="7:13">
      <c r="G84" s="121" t="str">
        <f>Calculations!A$10</f>
        <v>Code Baseline</v>
      </c>
      <c r="I84" s="112">
        <f>IF($I$26=Menus!$E$2,I$42,IF(I71=0,I$42,I71))</f>
        <v>3.6340830094896456E-2</v>
      </c>
      <c r="J84" s="112">
        <f>IF($I$26=Menus!$E$2,J$42,IF(J71=0,J$42,J71))</f>
        <v>1.4499999999999999E-2</v>
      </c>
      <c r="K84" s="112">
        <f>IF($I$26=Menus!$E$2,K$42,IF(K71=0,K$42,K71))</f>
        <v>0</v>
      </c>
      <c r="L84" s="112">
        <f>IF($I$26=Menus!$E$2,L$42,IF(L71=0,L$42,L71))</f>
        <v>0</v>
      </c>
      <c r="M84" s="112">
        <f>IF($I$26=Menus!$E$2,M$42,IF(M71=0,M$42,M71))</f>
        <v>0</v>
      </c>
    </row>
    <row r="85" spans="7:13">
      <c r="G85" s="4" t="s">
        <v>106</v>
      </c>
      <c r="I85" s="112">
        <f>IF($I$26=Menus!$E$2,I$42,IF(I72=0,I$42,I72))</f>
        <v>3.6340830094896456E-2</v>
      </c>
      <c r="J85" s="112">
        <f>IF($I$26=Menus!$E$2,J$42,IF(J72=0,J$42,J72))</f>
        <v>1.4499999999999999E-2</v>
      </c>
      <c r="K85" s="112">
        <f>IF($I$26=Menus!$E$2,K$42,IF(K72=0,K$42,K72))</f>
        <v>0</v>
      </c>
      <c r="L85" s="112">
        <f>IF($I$26=Menus!$E$2,L$42,IF(L72=0,L$42,L72))</f>
        <v>0</v>
      </c>
      <c r="M85" s="112">
        <f>IF($I$26=Menus!$E$2,M$42,IF(M72=0,M$42,M72))</f>
        <v>0</v>
      </c>
    </row>
    <row r="86" spans="7:13">
      <c r="G86" s="4" t="s">
        <v>107</v>
      </c>
      <c r="I86" s="112">
        <f>IF($I$26=Menus!$E$2,I$42,IF(I73=0,I$42,I73))</f>
        <v>3.6340830094896456E-2</v>
      </c>
      <c r="J86" s="112">
        <f>IF($I$26=Menus!$E$2,J$42,IF(J73=0,J$42,J73))</f>
        <v>1.4499999999999999E-2</v>
      </c>
      <c r="K86" s="112">
        <f>IF($I$26=Menus!$E$2,K$42,IF(K73=0,K$42,K73))</f>
        <v>0</v>
      </c>
      <c r="L86" s="112">
        <f>IF($I$26=Menus!$E$2,L$42,IF(L73=0,L$42,L73))</f>
        <v>0</v>
      </c>
      <c r="M86" s="112">
        <f>IF($I$26=Menus!$E$2,M$42,IF(M73=0,M$42,M73))</f>
        <v>0</v>
      </c>
    </row>
    <row r="87" spans="7:13">
      <c r="G87" s="4" t="s">
        <v>108</v>
      </c>
      <c r="I87" s="112">
        <f>IF($I$26=Menus!$E$2,I$42,IF(I74=0,I$42,I74))</f>
        <v>3.6340830094896456E-2</v>
      </c>
      <c r="J87" s="112">
        <f>IF($I$26=Menus!$E$2,J$42,IF(J74=0,J$42,J74))</f>
        <v>1.4499999999999999E-2</v>
      </c>
      <c r="K87" s="112">
        <f>IF($I$26=Menus!$E$2,K$42,IF(K74=0,K$42,K74))</f>
        <v>0</v>
      </c>
      <c r="L87" s="112">
        <f>IF($I$26=Menus!$E$2,L$42,IF(L74=0,L$42,L74))</f>
        <v>0</v>
      </c>
      <c r="M87" s="112">
        <f>IF($I$26=Menus!$E$2,M$42,IF(M74=0,M$42,M74))</f>
        <v>0</v>
      </c>
    </row>
    <row r="88" spans="7:13">
      <c r="G88" s="4" t="s">
        <v>109</v>
      </c>
      <c r="I88" s="112">
        <f>IF($I$26=Menus!$E$2,I$42,IF(I75=0,I$42,I75))</f>
        <v>3.6340830094896456E-2</v>
      </c>
      <c r="J88" s="112">
        <f>IF($I$26=Menus!$E$2,J$42,IF(J75=0,J$42,J75))</f>
        <v>1.4499999999999999E-2</v>
      </c>
      <c r="K88" s="112">
        <f>IF($I$26=Menus!$E$2,K$42,IF(K75=0,K$42,K75))</f>
        <v>0</v>
      </c>
      <c r="L88" s="112">
        <f>IF($I$26=Menus!$E$2,L$42,IF(L75=0,L$42,L75))</f>
        <v>0</v>
      </c>
      <c r="M88" s="112">
        <f>IF($I$26=Menus!$E$2,M$42,IF(M75=0,M$42,M75))</f>
        <v>0</v>
      </c>
    </row>
    <row r="89" spans="7:13">
      <c r="G89" s="4" t="s">
        <v>110</v>
      </c>
      <c r="I89" s="112">
        <f>IF($I$26=Menus!$E$2,I$42,IF(I76=0,I$42,I76))</f>
        <v>3.6340830094896456E-2</v>
      </c>
      <c r="J89" s="112">
        <f>IF($I$26=Menus!$E$2,J$42,IF(J76=0,J$42,J76))</f>
        <v>1.4499999999999999E-2</v>
      </c>
      <c r="K89" s="112">
        <f>IF($I$26=Menus!$E$2,K$42,IF(K76=0,K$42,K76))</f>
        <v>0</v>
      </c>
      <c r="L89" s="112">
        <f>IF($I$26=Menus!$E$2,L$42,IF(L76=0,L$42,L76))</f>
        <v>0</v>
      </c>
      <c r="M89" s="112">
        <f>IF($I$26=Menus!$E$2,M$42,IF(M76=0,M$42,M76))</f>
        <v>0</v>
      </c>
    </row>
    <row r="90" spans="7:13">
      <c r="G90" s="4" t="s">
        <v>111</v>
      </c>
      <c r="I90" s="112">
        <f>IF($I$26=Menus!$E$2,I$42,IF(I77=0,I$42,I77))</f>
        <v>3.6340830094896456E-2</v>
      </c>
      <c r="J90" s="112">
        <f>IF($I$26=Menus!$E$2,J$42,IF(J77=0,J$42,J77))</f>
        <v>1.4499999999999999E-2</v>
      </c>
      <c r="K90" s="112">
        <f>IF($I$26=Menus!$E$2,K$42,IF(K77=0,K$42,K77))</f>
        <v>0</v>
      </c>
      <c r="L90" s="112">
        <f>IF($I$26=Menus!$E$2,L$42,IF(L77=0,L$42,L77))</f>
        <v>0</v>
      </c>
      <c r="M90" s="112">
        <f>IF($I$26=Menus!$E$2,M$42,IF(M77=0,M$42,M77))</f>
        <v>0</v>
      </c>
    </row>
    <row r="91" spans="7:13">
      <c r="G91" s="4" t="s">
        <v>112</v>
      </c>
      <c r="I91" s="112">
        <f>IF($I$26=Menus!$E$2,I$42,IF(I78=0,I$42,I78))</f>
        <v>3.6340830094896456E-2</v>
      </c>
      <c r="J91" s="112">
        <f>IF($I$26=Menus!$E$2,J$42,IF(J78=0,J$42,J78))</f>
        <v>1.4499999999999999E-2</v>
      </c>
      <c r="K91" s="112">
        <f>IF($I$26=Menus!$E$2,K$42,IF(K78=0,K$42,K78))</f>
        <v>0</v>
      </c>
      <c r="L91" s="112">
        <f>IF($I$26=Menus!$E$2,L$42,IF(L78=0,L$42,L78))</f>
        <v>0</v>
      </c>
      <c r="M91" s="112">
        <f>IF($I$26=Menus!$E$2,M$42,IF(M78=0,M$42,M78))</f>
        <v>0</v>
      </c>
    </row>
    <row r="92" spans="7:13">
      <c r="G92" s="4" t="s">
        <v>113</v>
      </c>
      <c r="I92" s="112">
        <f>IF($I$26=Menus!$E$2,I$42,IF(I79=0,I$42,I79))</f>
        <v>3.6340830094896456E-2</v>
      </c>
      <c r="J92" s="112">
        <f>IF($I$26=Menus!$E$2,J$42,IF(J79=0,J$42,J79))</f>
        <v>1.4499999999999999E-2</v>
      </c>
      <c r="K92" s="112">
        <f>IF($I$26=Menus!$E$2,K$42,IF(K79=0,K$42,K79))</f>
        <v>0</v>
      </c>
      <c r="L92" s="112">
        <f>IF($I$26=Menus!$E$2,L$42,IF(L79=0,L$42,L79))</f>
        <v>0</v>
      </c>
      <c r="M92" s="112">
        <f>IF($I$26=Menus!$E$2,M$42,IF(M79=0,M$42,M79))</f>
        <v>0</v>
      </c>
    </row>
    <row r="93" spans="7:13">
      <c r="G93" s="4" t="s">
        <v>114</v>
      </c>
      <c r="I93" s="112">
        <f>IF($I$26=Menus!$E$2,I$42,IF(I80=0,I$42,I80))</f>
        <v>3.6340830094896456E-2</v>
      </c>
      <c r="J93" s="112">
        <f>IF($I$26=Menus!$E$2,J$42,IF(J80=0,J$42,J80))</f>
        <v>1.4499999999999999E-2</v>
      </c>
      <c r="K93" s="112">
        <f>IF($I$26=Menus!$E$2,K$42,IF(K80=0,K$42,K80))</f>
        <v>0</v>
      </c>
      <c r="L93" s="112">
        <f>IF($I$26=Menus!$E$2,L$42,IF(L80=0,L$42,L80))</f>
        <v>0</v>
      </c>
      <c r="M93" s="112">
        <f>IF($I$26=Menus!$E$2,M$42,IF(M80=0,M$42,M80))</f>
        <v>0</v>
      </c>
    </row>
    <row r="94" spans="7:13">
      <c r="G94" s="4" t="s">
        <v>115</v>
      </c>
      <c r="I94" s="112">
        <f>IF($I$26=Menus!$E$2,I$42,IF(I81=0,I$42,I81))</f>
        <v>3.6340830094896456E-2</v>
      </c>
      <c r="J94" s="112">
        <f>IF($I$26=Menus!$E$2,J$42,IF(J81=0,J$42,J81))</f>
        <v>1.4499999999999999E-2</v>
      </c>
      <c r="K94" s="112">
        <f>IF($I$26=Menus!$E$2,K$42,IF(K81=0,K$42,K81))</f>
        <v>0</v>
      </c>
      <c r="L94" s="112">
        <f>IF($I$26=Menus!$E$2,L$42,IF(L81=0,L$42,L81))</f>
        <v>0</v>
      </c>
      <c r="M94" s="112">
        <f>IF($I$26=Menus!$E$2,M$42,IF(M81=0,M$42,M81))</f>
        <v>0</v>
      </c>
    </row>
  </sheetData>
  <mergeCells count="10">
    <mergeCell ref="I5:J5"/>
    <mergeCell ref="I6:J6"/>
    <mergeCell ref="I26:J26"/>
    <mergeCell ref="I19:J19"/>
    <mergeCell ref="D15:E15"/>
    <mergeCell ref="D14:E14"/>
    <mergeCell ref="D12:E12"/>
    <mergeCell ref="D13:E13"/>
    <mergeCell ref="D5:E5"/>
    <mergeCell ref="D6:E6"/>
  </mergeCells>
  <phoneticPr fontId="46" type="noConversion"/>
  <dataValidations count="7">
    <dataValidation type="list" allowBlank="1" showInputMessage="1" showErrorMessage="1" sqref="I4" xr:uid="{00000000-0002-0000-0100-000000000000}">
      <formula1>SI</formula1>
    </dataValidation>
    <dataValidation type="list" allowBlank="1" showInputMessage="1" showErrorMessage="1" sqref="D13" xr:uid="{00000000-0002-0000-0100-000002000000}">
      <formula1>LEED_Standard</formula1>
    </dataValidation>
    <dataValidation type="list" allowBlank="1" showInputMessage="1" showErrorMessage="1" sqref="D12" xr:uid="{00000000-0002-0000-0100-000003000000}">
      <formula1>LEED_Version</formula1>
    </dataValidation>
    <dataValidation type="list" allowBlank="1" showInputMessage="1" showErrorMessage="1" sqref="D14" xr:uid="{00000000-0002-0000-0100-000004000000}">
      <formula1>LEED_Subcatagory</formula1>
    </dataValidation>
    <dataValidation type="list" allowBlank="1" showInputMessage="1" showErrorMessage="1" sqref="I5:I6" xr:uid="{00000000-0002-0000-0100-000007000000}">
      <formula1>Energy</formula1>
    </dataValidation>
    <dataValidation type="list" allowBlank="1" showInputMessage="1" showErrorMessage="1" sqref="D16 I12:J12" xr:uid="{00000000-0002-0000-0100-000009000000}">
      <formula1>YesNo</formula1>
    </dataValidation>
    <dataValidation type="list" allowBlank="1" showInputMessage="1" showErrorMessage="1" sqref="I11:J11" xr:uid="{00000000-0002-0000-0100-000005000000}">
      <formula1>Cooling_Fuel</formula1>
    </dataValidation>
  </dataValidations>
  <hyperlinks>
    <hyperlink ref="N22" r:id="rId1" xr:uid="{043EA28A-A6D7-420D-8D70-2DB2D2101503}"/>
    <hyperlink ref="N16" r:id="rId2" xr:uid="{78F441C1-D5C3-4ABA-8415-6099E0ACC5EF}"/>
  </hyperlinks>
  <pageMargins left="0.7" right="0.7" top="0.75" bottom="0.75" header="0.3" footer="0.3"/>
  <pageSetup paperSize="258" orientation="portrait" r:id="rId3"/>
  <legacyDrawing r:id="rId4"/>
  <extLst>
    <ext xmlns:x14="http://schemas.microsoft.com/office/spreadsheetml/2009/9/main" uri="{78C0D931-6437-407d-A8EE-F0AAD7539E65}">
      <x14:conditionalFormattings>
        <x14:conditionalFormatting xmlns:xm="http://schemas.microsoft.com/office/excel/2006/main">
          <x14:cfRule type="expression" priority="1" id="{E633C422-E283-4C2B-B4B0-EA6E29DFD7FC}">
            <xm:f>$I$19=Menus!$E$3</xm:f>
            <x14:dxf>
              <font>
                <color theme="0"/>
              </font>
              <fill>
                <patternFill>
                  <bgColor theme="0"/>
                </patternFill>
              </fill>
              <border>
                <left/>
                <right/>
                <top/>
                <bottom/>
              </border>
            </x14:dxf>
          </x14:cfRule>
          <xm:sqref>G21:M23</xm:sqref>
        </x14:conditionalFormatting>
        <x14:conditionalFormatting xmlns:xm="http://schemas.microsoft.com/office/excel/2006/main">
          <x14:cfRule type="expression" priority="2" id="{CB73C0BC-132F-4630-9C5C-1C7123E2208F}">
            <xm:f>$I$26=Menus!$E$3</xm:f>
            <x14:dxf>
              <font>
                <color theme="0"/>
              </font>
              <fill>
                <patternFill>
                  <bgColor theme="0"/>
                </patternFill>
              </fill>
              <border>
                <left/>
                <right/>
                <top/>
                <bottom/>
              </border>
            </x14:dxf>
          </x14:cfRule>
          <xm:sqref>G28:M30</xm:sqref>
        </x14:conditionalFormatting>
      </x14:conditionalFormattings>
    </ext>
    <ext xmlns:x14="http://schemas.microsoft.com/office/spreadsheetml/2009/9/main" uri="{CCE6A557-97BC-4b89-ADB6-D9C93CAAB3DF}">
      <x14:dataValidations xmlns:xm="http://schemas.microsoft.com/office/excel/2006/main" count="5">
        <x14:dataValidation type="list" allowBlank="1" showInputMessage="1" showErrorMessage="1" xr:uid="{CEA424FD-44D1-4569-91E9-C0D2A66C8609}">
          <x14:formula1>
            <xm:f>Menus!$C$6:$C$12</xm:f>
          </x14:formula1>
          <xm:sqref>J30:M30 K23:M23</xm:sqref>
        </x14:dataValidation>
        <x14:dataValidation type="list" allowBlank="1" showInputMessage="1" showErrorMessage="1" xr:uid="{E96330CA-25EC-4597-B876-125857D874B2}">
          <x14:formula1>
            <xm:f>Menus!$K$2:$K$9</xm:f>
          </x14:formula1>
          <xm:sqref>D15:E15</xm:sqref>
        </x14:dataValidation>
        <x14:dataValidation type="list" allowBlank="1" showInputMessage="1" showErrorMessage="1" xr:uid="{3F7D55FF-F60F-4B0F-AB09-0BFA1806DFAD}">
          <x14:formula1>
            <xm:f>Menus!$E$2:$E$3</xm:f>
          </x14:formula1>
          <xm:sqref>I26 I19</xm:sqref>
        </x14:dataValidation>
        <x14:dataValidation type="list" allowBlank="1" showInputMessage="1" showErrorMessage="1" xr:uid="{4D600E23-9708-4EDC-9F3C-C9E5D1618F12}">
          <x14:formula1>
            <xm:f>'RefTable BPF'!$C$5:$U$5</xm:f>
          </x14:formula1>
          <xm:sqref>D5</xm:sqref>
        </x14:dataValidation>
        <x14:dataValidation type="list" allowBlank="1" showInputMessage="1" showErrorMessage="1" xr:uid="{DAAF3523-9BF8-4B38-B45F-3E8FCE8C8B30}">
          <x14:formula1>
            <xm:f>'RefTable BPF'!$B$6:$B$14</xm:f>
          </x14:formula1>
          <xm:sqref>D6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0DCF68-2ED5-42AB-A879-F7523C6BE1FA}">
  <sheetPr>
    <tabColor theme="0" tint="-4.9989318521683403E-2"/>
  </sheetPr>
  <dimension ref="A1:EB9"/>
  <sheetViews>
    <sheetView workbookViewId="0">
      <selection activeCell="B15" sqref="B15"/>
    </sheetView>
  </sheetViews>
  <sheetFormatPr defaultColWidth="12.5546875" defaultRowHeight="15"/>
  <cols>
    <col min="1" max="1" width="33.44140625" style="1" customWidth="1"/>
    <col min="2" max="2" width="77.109375" style="1" customWidth="1"/>
    <col min="3" max="3" width="33.44140625" style="1" customWidth="1"/>
    <col min="4" max="4" width="45" style="1" customWidth="1"/>
    <col min="5" max="16384" width="12.5546875" style="1"/>
  </cols>
  <sheetData>
    <row r="1" spans="1:132" s="179" customFormat="1" ht="82.8">
      <c r="A1" s="178" t="s">
        <v>116</v>
      </c>
      <c r="B1" s="178" t="s">
        <v>117</v>
      </c>
      <c r="C1" s="178" t="s">
        <v>118</v>
      </c>
      <c r="D1" s="178" t="s">
        <v>119</v>
      </c>
      <c r="E1" s="178" t="s">
        <v>120</v>
      </c>
      <c r="F1" s="181" t="s">
        <v>121</v>
      </c>
      <c r="G1" s="181" t="s">
        <v>122</v>
      </c>
      <c r="H1" s="180" t="str">
        <f>_xlfn.CONCAT("Total Energy Use ",IF('Project Info'!$I$4=Menus!$A$2,"(kWh)","(kBtu)"))</f>
        <v>Total Energy Use (kBtu)</v>
      </c>
      <c r="I1" s="180" t="str">
        <f>_xlfn.CONCAT("Energy Use Intensity ",IF('Project Info'!$I$4=Menus!$A$2,"(kWh/m²)","(kBtu/ft²)"))</f>
        <v>Energy Use Intensity (kBtu/ft²)</v>
      </c>
      <c r="J1" s="180" t="str">
        <f>_xlfn.CONCAT("Electricity ",IF('Project Info'!$I$4=Menus!$A$2,"(kWh)","(kBtu)"))</f>
        <v>Electricity (kBtu)</v>
      </c>
      <c r="K1" s="180" t="str">
        <f>_xlfn.CONCAT("Gas ",IF('Project Info'!$I$4=Menus!$A$2,"(kWh)","(kBtu)"))</f>
        <v>Gas (kBtu)</v>
      </c>
      <c r="L1" s="180" t="str">
        <f>_xlfn.CONCAT("Additional Fuel ",IF('Project Info'!$I$4=Menus!$A$2,"(kWh)","(kBtu)"))</f>
        <v>Additional Fuel (kBtu)</v>
      </c>
      <c r="M1" s="180" t="str">
        <f>_xlfn.CONCAT("District Cooling ",IF('Project Info'!$I$4=Menus!$A$2,"(kWh)","(kBtu)"))</f>
        <v>District Cooling (kBtu)</v>
      </c>
      <c r="N1" s="180" t="str">
        <f>_xlfn.CONCAT("District Heating ",IF('Project Info'!$I$4=Menus!$A$2,"(kWh)","(kBtu)"))</f>
        <v>District Heating (kBtu)</v>
      </c>
      <c r="O1" s="182" t="str">
        <f>_xlfn.CONCAT("Heating - Electricity Energy Use ",IF('Project Info'!$I$4=Menus!$A$2,"(kWh)","(kBtu)"))</f>
        <v>Heating - Electricity Energy Use (kBtu)</v>
      </c>
      <c r="P1" s="182" t="str">
        <f>_xlfn.CONCAT("Heating - Gas Energy Use ",IF('Project Info'!$I$4=Menus!$A$2,"(kWh)","(kBtu)"))</f>
        <v>Heating - Gas Energy Use (kBtu)</v>
      </c>
      <c r="Q1" s="182" t="str">
        <f>_xlfn.CONCAT("Heating - Additonal Fuel Energy Use ",IF('Project Info'!$I$4=Menus!$A$2,"(kWh)","(kBtu)"))</f>
        <v>Heating - Additonal Fuel Energy Use (kBtu)</v>
      </c>
      <c r="R1" s="182" t="str">
        <f>_xlfn.CONCAT("Heating - District Heating Energy Use ",IF('Project Info'!$I$4=Menus!$A$2,"(kWh)","(kBtu)"))</f>
        <v>Heating - District Heating Energy Use (kBtu)</v>
      </c>
      <c r="S1" s="182" t="str">
        <f>_xlfn.CONCAT("Cooling - Electricity Energy Use ",IF('Project Info'!$I$4=Menus!$A$2,"(kWh)","(kBtu)"))</f>
        <v>Cooling - Electricity Energy Use (kBtu)</v>
      </c>
      <c r="T1" s="182" t="str">
        <f>_xlfn.CONCAT("Cooling - District Energy Use ",IF('Project Info'!$I$4=Menus!$A$2,"(kWh)","(kBtu)"))</f>
        <v>Cooling - District Energy Use (kBtu)</v>
      </c>
      <c r="U1" s="182" t="str">
        <f>_xlfn.CONCAT("Interior Lighting - Electricity Energy Use ",IF('Project Info'!$I$4=Menus!$A$2,"(kWh)","(kBtu)"))</f>
        <v>Interior Lighting - Electricity Energy Use (kBtu)</v>
      </c>
      <c r="V1" s="182" t="str">
        <f>_xlfn.CONCAT("Exterior Lighting - Electricity Energy Use ",IF('Project Info'!$I$4=Menus!$A$2,"(kWh)","(kBtu)"))</f>
        <v>Exterior Lighting - Electricity Energy Use (kBtu)</v>
      </c>
      <c r="W1" s="182" t="str">
        <f>_xlfn.CONCAT("Interior Equipment - Electricity Energy Use ",IF('Project Info'!$I$4=Menus!$A$2,"(kWh)","(kBtu)"))</f>
        <v>Interior Equipment - Electricity Energy Use (kBtu)</v>
      </c>
      <c r="X1" s="182" t="str">
        <f>_xlfn.CONCAT("Interior Equipment - Gas Energy Use ",IF('Project Info'!$I$4=Menus!$A$2,"(kWh)","(kBtu)"))</f>
        <v>Interior Equipment - Gas Energy Use (kBtu)</v>
      </c>
      <c r="Y1" s="182" t="str">
        <f>_xlfn.CONCAT("Interior Equipment - Additional Fuel Energy Use ",IF('Project Info'!$I$4=Menus!$A$2,"(kWh)","(kBtu)"))</f>
        <v>Interior Equipment - Additional Fuel Energy Use (kBtu)</v>
      </c>
      <c r="Z1" s="182" t="str">
        <f>_xlfn.CONCAT("Exterior Equipment - Energy Use ",IF('Project Info'!$I$4=Menus!$A$2,"(kWh)","(kBtu)"))</f>
        <v>Exterior Equipment - Energy Use (kBtu)</v>
      </c>
      <c r="AA1" s="182" t="str">
        <f>_xlfn.CONCAT("Fans - Electricity Energy Use ",IF('Project Info'!$I$4=Menus!$A$2,"(kWh)","(kBtu)"))</f>
        <v>Fans - Electricity Energy Use (kBtu)</v>
      </c>
      <c r="AB1" s="182" t="str">
        <f>_xlfn.CONCAT("Pumps - Electricity Energy Use ",IF('Project Info'!$I$4=Menus!$A$2,"(kWh)","(kBtu)"))</f>
        <v>Pumps - Electricity Energy Use (kBtu)</v>
      </c>
      <c r="AC1" s="182" t="str">
        <f>_xlfn.CONCAT("Heat Rejection - Electricity Energy Use ",IF('Project Info'!$I$4=Menus!$A$2,"(kWh)","(kBtu)"))</f>
        <v>Heat Rejection - Electricity Energy Use (kBtu)</v>
      </c>
      <c r="AD1" s="182" t="str">
        <f>_xlfn.CONCAT("Humidification - Electricity Energy Use ",IF('Project Info'!$I$4=Menus!$A$2,"(kWh)","(kBtu)"))</f>
        <v>Humidification - Electricity Energy Use (kBtu)</v>
      </c>
      <c r="AE1" s="182" t="str">
        <f>_xlfn.CONCAT("Heat Recovery - Electricity Energy Use ",IF('Project Info'!$I$4=Menus!$A$2,"(kWh)","(kBtu)"))</f>
        <v>Heat Recovery - Electricity Energy Use (kBtu)</v>
      </c>
      <c r="AF1" s="182" t="str">
        <f>_xlfn.CONCAT("Water Systems - Electricity Energy Use ",IF('Project Info'!$I$4=Menus!$A$2,"(kWh)","(kBtu)"))</f>
        <v>Water Systems - Electricity Energy Use (kBtu)</v>
      </c>
      <c r="AG1" s="182" t="str">
        <f>_xlfn.CONCAT("Water Systems - Gas Energy Use ",IF('Project Info'!$I$4=Menus!$A$2,"(kWh)","(kBtu)"))</f>
        <v>Water Systems - Gas Energy Use (kBtu)</v>
      </c>
      <c r="AH1" s="182" t="str">
        <f>_xlfn.CONCAT("Water Systems - Additional Fuel Energy Use ",IF('Project Info'!$I$4=Menus!$A$2,"(kWh)","(kBtu)"))</f>
        <v>Water Systems - Additional Fuel Energy Use (kBtu)</v>
      </c>
      <c r="AI1" s="182" t="str">
        <f>_xlfn.CONCAT("Water Systems - District Heating Energy Use ",IF('Project Info'!$I$4=Menus!$A$2,"(kWh)","(kBtu)"))</f>
        <v>Water Systems - District Heating Energy Use (kBtu)</v>
      </c>
      <c r="AJ1" s="182" t="str">
        <f>_xlfn.CONCAT("Refrigeration - Electricity Energy Use ",IF('Project Info'!$I$4=Menus!$A$2,"(kWh)","(kBtu)"))</f>
        <v>Refrigeration - Electricity Energy Use (kBtu)</v>
      </c>
      <c r="AK1" s="182" t="str">
        <f>_xlfn.CONCAT("Generators  Electricity Energy Use ",IF('Project Info'!$I$4=Menus!$A$2,"(kWh)","(kBtu)"))</f>
        <v>Generators  Electricity Energy Use (kBtu)</v>
      </c>
      <c r="AL1" s="182" t="str">
        <f>_xlfn.CONCAT("Misc 1 -  Electricity Energy Use ",IF('Project Info'!$I$4=Menus!$A$2,"(kWh)","(kBtu)"))</f>
        <v>Misc 1 -  Electricity Energy Use (kBtu)</v>
      </c>
      <c r="AM1" s="182" t="str">
        <f>_xlfn.CONCAT("Misc 2 -  Electricity Energy Use ",IF('Project Info'!$I$4=Menus!$A$2,"(kWh)","(kBtu)"))</f>
        <v>Misc 2 -  Electricity Energy Use (kBtu)</v>
      </c>
      <c r="AN1" s="181" t="str">
        <f>_xlfn.CONCAT("Total Water Use ",IF('Project Info'!$I$4=Menus!$A$2,"(m3)","(kGal)"))</f>
        <v>Total Water Use (kGal)</v>
      </c>
      <c r="AO1" s="181" t="str">
        <f>_xlfn.CONCAT("Water Use Intensity ",IF('Project Info'!$I$4=Menus!$A$2,"(m³/m²)","(kGal/ft²)"))</f>
        <v>Water Use Intensity (kGal/ft²)</v>
      </c>
      <c r="AP1" s="181" t="str">
        <f>_xlfn.CONCAT("Heat Rejection - Water Use ",IF('Project Info'!$I$4=Menus!$A$2,"(m3)","(kGal)"))</f>
        <v>Heat Rejection - Water Use (kGal)</v>
      </c>
      <c r="AQ1" s="181" t="str">
        <f>_xlfn.CONCAT("Humidificatopn - Water Use ",IF('Project Info'!$I$4=Menus!$A$2,"(m3)","(kGal)"))</f>
        <v>Humidificatopn - Water Use (kGal)</v>
      </c>
      <c r="AR1" s="181" t="str">
        <f>_xlfn.CONCAT("Water System - Water Use ",IF('Project Info'!$I$4=Menus!$A$2,"(m3)","(kGal)"))</f>
        <v>Water System - Water Use (kGal)</v>
      </c>
      <c r="AS1" s="183" t="s">
        <v>123</v>
      </c>
      <c r="AT1" s="183" t="str">
        <f>_xlfn.CONCAT("Energy Cost Intensity (",IF('Project Info'!$I$4=Menus!$A$2,Menus!$E$10,Menus!$E$11),")")</f>
        <v>Energy Cost Intensity ($/ft²)</v>
      </c>
      <c r="AU1" s="183" t="str">
        <f>_xlfn.CONCAT("Electricity Virtual Rate (",IF('Project Info'!$I$4=Menus!$A$2,Menus!$E$14,Menus!$E$15),")")</f>
        <v>Electricity Virtual Rate ($/kBtu)</v>
      </c>
      <c r="AV1" s="183" t="str">
        <f>_xlfn.CONCAT("Gas Virtual Rate (",IF('Project Info'!$I$4=Menus!$A$2,Menus!$E$14,Menus!$E$15),")")</f>
        <v>Gas Virtual Rate ($/kBtu)</v>
      </c>
      <c r="AW1" s="183" t="str">
        <f>_xlfn.CONCAT("Additional Fuel Virtual Rate (",IF('Project Info'!$I$4=Menus!$A$2,Menus!$E$14,Menus!$E$15),")")</f>
        <v>Additional Fuel Virtual Rate ($/kBtu)</v>
      </c>
      <c r="AX1" s="183" t="str">
        <f>_xlfn.CONCAT("District Cooling Virtual Rate (",IF('Project Info'!$I$4=Menus!$A$2,Menus!$E$14,Menus!$E$15),")")</f>
        <v>District Cooling Virtual Rate ($/kBtu)</v>
      </c>
      <c r="AY1" s="183" t="str">
        <f>_xlfn.CONCAT("District Heating Virtual Rate (",IF('Project Info'!$I$4=Menus!$A$2,Menus!$E$14,Menus!$E$15),")")</f>
        <v>District Heating Virtual Rate ($/kBtu)</v>
      </c>
      <c r="AZ1" s="184" t="str">
        <f>_xlfn.CONCAT("Total Carbon Emissions (",IF('Project Info'!$I$4=Menus!$A$2,Menus!$G$6,Menus!$G$7),")")</f>
        <v>Total Carbon Emissions (kg CO2e)</v>
      </c>
      <c r="BA1" s="184" t="str">
        <f>_xlfn.CONCAT("Carbon Emission Intensity (",IF('Project Info'!$I$4=Menus!$A$2,Menus!$G$10,Menus!$G$11),")")</f>
        <v>Carbon Emission Intensity (kg CO2e/ft²)</v>
      </c>
      <c r="BB1" s="184" t="str">
        <f>_xlfn.CONCAT("Electricity Virtual Rate (",IF('Project Info'!$I$4=Menus!$A$2,Menus!$G$14,Menus!$G$15),")")</f>
        <v>Electricity Virtual Rate (kg CO2e/kBtu)</v>
      </c>
      <c r="BC1" s="184" t="str">
        <f>_xlfn.CONCAT("Gas Virtual Rate (",IF('Project Info'!$I$4=Menus!$A$2,Menus!$G$14,Menus!$G$15),")")</f>
        <v>Gas Virtual Rate (kg CO2e/kBtu)</v>
      </c>
      <c r="BD1" s="184" t="str">
        <f>_xlfn.CONCAT("Additional Fuel Virtual Rate (",IF('Project Info'!$I$4=Menus!$A$2,Menus!$G$14,Menus!$G$15),")")</f>
        <v>Additional Fuel Virtual Rate (kg CO2e/kBtu)</v>
      </c>
      <c r="BE1" s="184" t="str">
        <f>_xlfn.CONCAT("District Cooling Virtual Rate (",IF('Project Info'!$I$4=Menus!$A$2,Menus!$G$14,Menus!$G$15),")")</f>
        <v>District Cooling Virtual Rate (kg CO2e/kBtu)</v>
      </c>
      <c r="BF1" s="184" t="str">
        <f>_xlfn.CONCAT("District Heating Virtual Rate (",IF('Project Info'!$I$4=Menus!$A$2,Menus!$G$14,Menus!$G$15),")")</f>
        <v>District Heating Virtual Rate (kg CO2e/kBtu)</v>
      </c>
      <c r="BG1" s="185" t="str">
        <f>_xlfn.CONCAT("Peak Heating ",IF('Project Info'!$I$4=Menus!$A$2,"(kW)","(kBtuh)"))</f>
        <v>Peak Heating (kBtuh)</v>
      </c>
      <c r="BH1" s="185" t="str">
        <f>_xlfn.CONCAT("Peak Heating ",IF('Project Info'!$I$4=Menus!$A$2,"(W/m²)","(Btuh/ft²)"))</f>
        <v>Peak Heating (Btuh/ft²)</v>
      </c>
      <c r="BI1" s="185" t="s">
        <v>124</v>
      </c>
      <c r="BJ1" s="186" t="str">
        <f>_xlfn.CONCAT("Peak Cooling ",IF('Project Info'!$I$4=Menus!$A$2,"(kW)","(kBtuh)"))</f>
        <v>Peak Cooling (kBtuh)</v>
      </c>
      <c r="BK1" s="186" t="str">
        <f>_xlfn.CONCAT("Peak Cooling ",IF('Project Info'!$I$4=Menus!$A$2,"(W/m²)","(Btuh/ft²)"))</f>
        <v>Peak Cooling (Btuh/ft²)</v>
      </c>
      <c r="BL1" s="186" t="s">
        <v>125</v>
      </c>
      <c r="BM1" s="187" t="s">
        <v>126</v>
      </c>
      <c r="BN1" s="187" t="str">
        <f>_xlfn.CONCAT("Peak Electrical Load Intensity ",IF('Project Info'!$I$4=Menus!$A$2,"(W/m²)","(W/ft²)"))</f>
        <v>Peak Electrical Load Intensity (W/ft²)</v>
      </c>
      <c r="BO1" s="187" t="s">
        <v>127</v>
      </c>
      <c r="BP1" s="178" t="str">
        <f>_xlfn.CONCAT("Conditioned Floor Area ",IF('Project Info'!$I$4=Menus!$A$2,"(m²)","(ft²)"))</f>
        <v>Conditioned Floor Area (ft²)</v>
      </c>
      <c r="BQ1" s="178" t="str">
        <f>_xlfn.CONCAT("Total Floor Area ",IF('Project Info'!$I$4=Menus!$A$2,"(m²)","(ft²)"))</f>
        <v>Total Floor Area (ft²)</v>
      </c>
      <c r="BR1" s="178" t="str">
        <f>_xlfn.CONCAT("Gross Wall Area ",IF('Project Info'!$I$4=Menus!$A$2,"(m²)","(ft²)"))</f>
        <v>Gross Wall Area (ft²)</v>
      </c>
      <c r="BS1" s="178" t="str">
        <f>_xlfn.CONCAT("Above Ground Gross Wall Area ",IF('Project Info'!$I$4=Menus!$A$2,"(m²)","(ft²)"))</f>
        <v>Above Ground Gross Wall Area (ft²)</v>
      </c>
      <c r="BT1" s="178" t="str">
        <f>_xlfn.CONCAT("Above Ground North Wall Area ",IF('Project Info'!$I$4=Menus!$A$2,"(m²)","(ft²)"))</f>
        <v>Above Ground North Wall Area (ft²)</v>
      </c>
      <c r="BU1" s="178" t="str">
        <f>_xlfn.CONCAT("Above Ground East Wall Area ",IF('Project Info'!$I$4=Menus!$A$2,"(m²)","(ft²)"))</f>
        <v>Above Ground East Wall Area (ft²)</v>
      </c>
      <c r="BV1" s="178" t="str">
        <f>_xlfn.CONCAT("Above Ground South Wall Area ",IF('Project Info'!$I$4=Menus!$A$2,"(m²)","(ft²)"))</f>
        <v>Above Ground South Wall Area (ft²)</v>
      </c>
      <c r="BW1" s="178" t="str">
        <f>_xlfn.CONCAT("Above Ground East Wall Area ",IF('Project Info'!$I$4=Menus!$A$2,"(m²)","(ft²)"))</f>
        <v>Above Ground East Wall Area (ft²)</v>
      </c>
      <c r="BX1" s="179" t="s">
        <v>128</v>
      </c>
      <c r="BY1" s="179" t="s">
        <v>129</v>
      </c>
      <c r="BZ1" s="179" t="s">
        <v>130</v>
      </c>
      <c r="CA1" s="179" t="s">
        <v>131</v>
      </c>
      <c r="CB1" s="179" t="s">
        <v>132</v>
      </c>
      <c r="CC1" s="179" t="s">
        <v>133</v>
      </c>
      <c r="CD1" s="179" t="s">
        <v>134</v>
      </c>
      <c r="CE1" s="179" t="s">
        <v>135</v>
      </c>
      <c r="CF1" s="179" t="s">
        <v>136</v>
      </c>
      <c r="CG1" s="178" t="str">
        <f>_xlfn.CONCAT("Gross Roof Area ",IF('Project Info'!$I$4=Menus!$A$2,"(m²)","(ft²)"))</f>
        <v>Gross Roof Area (ft²)</v>
      </c>
      <c r="CH1" s="179" t="s">
        <v>137</v>
      </c>
      <c r="CI1" s="178" t="s">
        <v>138</v>
      </c>
      <c r="CJ1" s="178" t="s">
        <v>139</v>
      </c>
      <c r="CK1" s="178" t="s">
        <v>140</v>
      </c>
      <c r="CL1" s="179" t="s">
        <v>141</v>
      </c>
      <c r="CM1" s="179" t="s">
        <v>142</v>
      </c>
      <c r="CN1" s="179" t="s">
        <v>143</v>
      </c>
      <c r="CO1" s="179" t="s">
        <v>144</v>
      </c>
      <c r="CP1" s="179" t="s">
        <v>145</v>
      </c>
      <c r="CQ1" s="179" t="s">
        <v>146</v>
      </c>
      <c r="CR1" s="179" t="s">
        <v>147</v>
      </c>
      <c r="CS1" s="179" t="s">
        <v>148</v>
      </c>
      <c r="CT1" s="179" t="str">
        <f>_xlfn.CONCAT("Vertical Weighted U-Value ",IF('Project Info'!$D$7=Menus!$C$2,"(W/m²·K)","(Btu/h·ft²·F)"))</f>
        <v>Vertical Weighted U-Value (Btu/h·ft²·F)</v>
      </c>
      <c r="CU1" s="179" t="str">
        <f>_xlfn.CONCAT("Vertical Weighted R-Value ",IF('Project Info'!$D$7=Menus!$C$2,"(m²·K/W)","(ft²·h·F/Btu )"))</f>
        <v>Vertical Weighted R-Value (ft²·h·F/Btu )</v>
      </c>
      <c r="CV1" s="179" t="str">
        <f>_xlfn.CONCAT("Wall U-Value ",IF('Project Info'!$D$7=Menus!$C$2,"(W/m²·K)","(Btu/h·ft²·F)"))</f>
        <v>Wall U-Value (Btu/h·ft²·F)</v>
      </c>
      <c r="CW1" s="179" t="str">
        <f>_xlfn.CONCAT("Wall 2 U-Value ",IF('Project Info'!$D$7=Menus!$C$2,"(W/m²·K)","(Btu/h·ft²·F)"))</f>
        <v>Wall 2 U-Value (Btu/h·ft²·F)</v>
      </c>
      <c r="CX1" s="179" t="str">
        <f>_xlfn.CONCAT("Roof U-Value ",IF('Project Info'!$D$7=Menus!$C$2,"(W/m²·K)","(Btu/h·ft²·F)"))</f>
        <v>Roof U-Value (Btu/h·ft²·F)</v>
      </c>
      <c r="CY1" s="179" t="str">
        <f>_xlfn.CONCAT("Exposed Floor U-Value ",IF('Project Info'!$D$7=Menus!$C$2,"(W/m²·K)","(Btu/h·ft²·F)"))</f>
        <v>Exposed Floor U-Value (Btu/h·ft²·F)</v>
      </c>
      <c r="CZ1" s="179" t="str">
        <f>_xlfn.CONCAT("Slab on Grade U-Value ",IF('Project Info'!$D$7=Menus!$C$2,"(W/m²·K)","(Btu/h·ft²·F)"))</f>
        <v>Slab on Grade U-Value (Btu/h·ft²·F)</v>
      </c>
      <c r="DA1" s="179" t="str">
        <f>_xlfn.CONCAT("Assembly U-Value ",IF('Project Info'!$D$7=Menus!$C$2,"(W/m²·K)","(Btu/h·ft²·F)"))</f>
        <v>Assembly U-Value (Btu/h·ft²·F)</v>
      </c>
      <c r="DB1" s="179" t="str">
        <f>_xlfn.CONCAT("Glass U-Value ",IF('Project Info'!$D$7=Menus!$C$2,"(W/m²·K)","(Btu/h·ft²·F)"))</f>
        <v>Glass U-Value (Btu/h·ft²·F)</v>
      </c>
      <c r="DC1" s="179" t="s">
        <v>149</v>
      </c>
      <c r="DD1" s="179" t="s">
        <v>150</v>
      </c>
      <c r="DE1" s="179" t="s">
        <v>151</v>
      </c>
      <c r="DF1" s="179" t="str">
        <f>_xlfn.CONCAT("Infiltration Rate ",IF('Project Info'!$D$7=Menus!$C$2,"(m³/s/m² façade)","(CFM/ft² facade)"))</f>
        <v>Infiltration Rate (CFM/ft² facade)</v>
      </c>
      <c r="DG1" s="179" t="str">
        <f>_xlfn.CONCAT("Lighting Power Density ",IF('Project Info'!$D$7=Menus!$C$2,"(W/m²)","(W/ft²)"))</f>
        <v>Lighting Power Density (W/ft²)</v>
      </c>
      <c r="DH1" s="179" t="str">
        <f>_xlfn.CONCAT("Conditioned Lighting Power Density ",IF('Project Info'!$D$7=Menus!$C$2,"(W/m²)","(W/ft²)"))</f>
        <v>Conditioned Lighting Power Density (W/ft²)</v>
      </c>
      <c r="DI1" s="179" t="str">
        <f>_xlfn.CONCAT("Occupant Density ",IF('Project Info'!$D$7=Menus!$C$2,"(m/person²)","(ft²/person)"))</f>
        <v>Occupant Density (ft²/person)</v>
      </c>
      <c r="DJ1" s="179" t="str">
        <f>_xlfn.CONCAT("Conditioned Occupant Density ",IF('Project Info'!$D$7=Menus!$C$2,"(m/person²)","(ft²/person)"))</f>
        <v>Conditioned Occupant Density (ft²/person)</v>
      </c>
      <c r="DK1" s="179" t="str">
        <f>_xlfn.CONCAT("Equipment Power Density ",IF('Project Info'!$D$7=Menus!$C$2,"(W/m²)","(W/ft²)"))</f>
        <v>Equipment Power Density (W/ft²)</v>
      </c>
      <c r="DL1" s="179" t="str">
        <f>_xlfn.CONCAT("Conditioned Equipment Power Density ",IF('Project Info'!$D$7=Menus!$C$2,"(W/m²)","(W/ft²)"))</f>
        <v>Conditioned Equipment Power Density (W/ft²)</v>
      </c>
      <c r="DM1" s="179" t="str">
        <f>_xlfn.CONCAT("Total Ventilation Air Flow Rate ",IF('Project Info'!$D$7=Menus!$C$2,"(m²/s)","(CFM)"))</f>
        <v>Total Ventilation Air Flow Rate (CFM)</v>
      </c>
      <c r="DN1" s="179" t="str">
        <f>_xlfn.CONCAT("Ventilation Air Flow Rate per Area ",IF('Project Info'!$D$7=Menus!$C$2,"(m3/s/m²)","(CFM/ft²)"))</f>
        <v>Ventilation Air Flow Rate per Area (CFM/ft²)</v>
      </c>
      <c r="DO1" s="179" t="str">
        <f>_xlfn.CONCAT("Total Heating Airflow Rate ",IF('Project Info'!$D$7=Menus!$C$2,"(m²/s)","(CFM)"))</f>
        <v>Total Heating Airflow Rate (CFM)</v>
      </c>
      <c r="DP1" s="179" t="str">
        <f>_xlfn.CONCAT("Heating Airflow Rate per Area ",IF('Project Info'!$D$7=Menus!$C$2,"(m3/s/m²)","(CFM/ft²)"))</f>
        <v>Heating Airflow Rate per Area (CFM/ft²)</v>
      </c>
      <c r="DQ1" s="179" t="str">
        <f>_xlfn.CONCAT("Total Cooling Airflow Rate ",IF('Project Info'!$D$7=Menus!$C$2,"(m²/s)","(CFM)"))</f>
        <v>Total Cooling Airflow Rate (CFM)</v>
      </c>
      <c r="DR1" s="179" t="str">
        <f>_xlfn.CONCAT("Cooling Airflow Rate per Area ",IF('Project Info'!$D$7=Menus!$C$2,"(m3/s/m²)","(CFM/ft²)"))</f>
        <v>Cooling Airflow Rate per Area (CFM/ft²)</v>
      </c>
      <c r="DS1" s="179" t="s">
        <v>152</v>
      </c>
      <c r="DT1" s="179" t="s">
        <v>153</v>
      </c>
      <c r="DU1" s="179" t="s">
        <v>154</v>
      </c>
      <c r="DV1" s="179" t="s">
        <v>155</v>
      </c>
      <c r="DW1" s="179" t="s">
        <v>156</v>
      </c>
      <c r="DX1" s="179" t="s">
        <v>157</v>
      </c>
      <c r="DY1" s="179" t="s">
        <v>158</v>
      </c>
      <c r="DZ1" s="179" t="s">
        <v>159</v>
      </c>
      <c r="EA1" s="179" t="s">
        <v>160</v>
      </c>
      <c r="EB1" s="179" t="s">
        <v>161</v>
      </c>
    </row>
    <row r="2" spans="1:132">
      <c r="A2" s="1" t="s">
        <v>461</v>
      </c>
      <c r="B2" s="1" t="s">
        <v>462</v>
      </c>
      <c r="C2" s="1" t="s">
        <v>463</v>
      </c>
      <c r="D2" s="1" t="s">
        <v>464</v>
      </c>
      <c r="E2" s="1" t="s">
        <v>369</v>
      </c>
      <c r="F2" s="1">
        <v>50</v>
      </c>
      <c r="G2" s="1">
        <v>1565</v>
      </c>
      <c r="H2" s="1">
        <v>693000</v>
      </c>
      <c r="I2" s="1">
        <v>50.76</v>
      </c>
      <c r="J2" s="191">
        <v>693171.68400000001</v>
      </c>
      <c r="K2" s="1">
        <v>0</v>
      </c>
      <c r="L2">
        <v>0</v>
      </c>
      <c r="M2" s="191">
        <v>0</v>
      </c>
      <c r="N2" s="191">
        <v>0</v>
      </c>
      <c r="O2" s="1">
        <v>37501.292000000001</v>
      </c>
      <c r="P2" s="1">
        <v>0</v>
      </c>
      <c r="Q2">
        <v>0</v>
      </c>
      <c r="R2" s="191">
        <v>0</v>
      </c>
      <c r="S2" s="1">
        <v>145091.88800000001</v>
      </c>
      <c r="T2" s="191">
        <v>0</v>
      </c>
      <c r="U2" s="191">
        <v>153372.81200000001</v>
      </c>
      <c r="V2" s="1">
        <v>0</v>
      </c>
      <c r="W2" s="191">
        <v>180081.948</v>
      </c>
      <c r="X2" s="1">
        <v>0</v>
      </c>
      <c r="Y2">
        <v>0</v>
      </c>
      <c r="Z2">
        <v>0</v>
      </c>
      <c r="AA2" s="1">
        <v>177123.74400000001</v>
      </c>
      <c r="AB2" s="1">
        <v>0</v>
      </c>
      <c r="AC2" s="1">
        <v>0</v>
      </c>
      <c r="AD2">
        <v>0</v>
      </c>
      <c r="AE2">
        <v>0</v>
      </c>
      <c r="AF2" s="1">
        <v>0</v>
      </c>
      <c r="AG2" s="1">
        <v>0</v>
      </c>
      <c r="AH2">
        <v>0</v>
      </c>
      <c r="AI2">
        <v>0</v>
      </c>
      <c r="AJ2" s="1">
        <v>0</v>
      </c>
      <c r="AK2">
        <v>0</v>
      </c>
      <c r="AL2">
        <v>0</v>
      </c>
      <c r="AM2">
        <v>0</v>
      </c>
      <c r="AN2">
        <v>0</v>
      </c>
      <c r="AO2">
        <v>0</v>
      </c>
      <c r="AP2">
        <v>0</v>
      </c>
      <c r="AQ2">
        <v>0</v>
      </c>
      <c r="AR2">
        <v>0</v>
      </c>
      <c r="AS2" s="191">
        <v>25385.3</v>
      </c>
      <c r="AT2" s="1">
        <v>1.8594564898915908</v>
      </c>
      <c r="AU2" s="1">
        <v>3.6342321219226259E-2</v>
      </c>
      <c r="AV2" s="1">
        <v>0</v>
      </c>
      <c r="AW2">
        <v>0</v>
      </c>
      <c r="AX2">
        <v>0</v>
      </c>
      <c r="AY2">
        <v>0</v>
      </c>
      <c r="AZ2">
        <v>82075.428000000014</v>
      </c>
      <c r="BA2">
        <v>6.0119709932610617</v>
      </c>
      <c r="BB2">
        <v>0.11840562719812428</v>
      </c>
      <c r="BC2">
        <v>5.2999999999999999E-2</v>
      </c>
      <c r="BD2">
        <v>0</v>
      </c>
      <c r="BE2">
        <v>0</v>
      </c>
      <c r="BF2">
        <v>0</v>
      </c>
      <c r="BG2" s="1">
        <v>786</v>
      </c>
      <c r="BH2" s="1">
        <v>57.6</v>
      </c>
      <c r="BJ2" s="1">
        <v>360</v>
      </c>
      <c r="BK2" s="1">
        <v>26.4</v>
      </c>
      <c r="BM2" s="1">
        <v>49000</v>
      </c>
      <c r="BN2" s="1">
        <v>3.6</v>
      </c>
      <c r="BP2" s="1">
        <v>13652</v>
      </c>
      <c r="BQ2" s="1">
        <v>21103</v>
      </c>
      <c r="BR2" s="1">
        <v>11729</v>
      </c>
      <c r="BS2" s="1">
        <v>11729</v>
      </c>
      <c r="BT2" s="1">
        <v>2721</v>
      </c>
      <c r="BU2" s="1">
        <v>2651</v>
      </c>
      <c r="BV2" s="1">
        <v>3382</v>
      </c>
      <c r="BW2" s="1">
        <v>2975</v>
      </c>
      <c r="BX2">
        <v>8.1999999999999993</v>
      </c>
      <c r="BY2">
        <v>10.4</v>
      </c>
      <c r="BZ2">
        <v>5.0999999999999996</v>
      </c>
      <c r="CA2">
        <v>5.2</v>
      </c>
      <c r="CB2" s="1">
        <v>7.05</v>
      </c>
      <c r="CC2" s="1">
        <v>8.2322675486953329</v>
      </c>
      <c r="CD2" s="1">
        <v>10.448887212372689</v>
      </c>
      <c r="CE2" s="1">
        <v>5.0561797752808983</v>
      </c>
      <c r="CF2" s="1">
        <v>5.2100840336134455</v>
      </c>
      <c r="CG2" s="1">
        <v>15695</v>
      </c>
      <c r="CH2" s="1">
        <v>0</v>
      </c>
      <c r="CI2" s="1">
        <v>0.85914151772634051</v>
      </c>
      <c r="CJ2" s="1">
        <v>1.1496484031643714</v>
      </c>
      <c r="CK2" s="1">
        <v>2.0087899208907118</v>
      </c>
      <c r="CL2" t="s">
        <v>273</v>
      </c>
      <c r="CM2">
        <v>0</v>
      </c>
      <c r="CN2" t="s">
        <v>273</v>
      </c>
      <c r="CO2">
        <v>0</v>
      </c>
      <c r="CP2" t="s">
        <v>273</v>
      </c>
      <c r="CQ2">
        <v>0</v>
      </c>
      <c r="CR2" t="s">
        <v>273</v>
      </c>
      <c r="CS2">
        <v>0</v>
      </c>
      <c r="CT2" s="1">
        <v>0.12397860005115525</v>
      </c>
      <c r="CU2" s="1">
        <v>8.0659081453362624</v>
      </c>
      <c r="CV2" s="1">
        <v>8.3999999999999977E-2</v>
      </c>
      <c r="CW2">
        <v>0</v>
      </c>
      <c r="CX2" s="1">
        <v>4.7000000000000007E-2</v>
      </c>
      <c r="CY2">
        <v>5.2999999999999999E-2</v>
      </c>
      <c r="CZ2" s="1">
        <v>4.0000000000000008E-2</v>
      </c>
      <c r="DA2" s="1">
        <v>6.2166146557882468E-2</v>
      </c>
      <c r="DB2" s="1">
        <v>0.65100000000000036</v>
      </c>
      <c r="DC2" s="1">
        <v>0.25199999999999995</v>
      </c>
      <c r="DD2" s="1">
        <v>0.31900000000000023</v>
      </c>
      <c r="DE2" s="1">
        <v>1.2658730158730171</v>
      </c>
      <c r="DF2" s="1">
        <v>0</v>
      </c>
      <c r="DG2" s="1">
        <v>0.54</v>
      </c>
      <c r="DH2" s="1">
        <v>0.54</v>
      </c>
      <c r="DI2" s="1">
        <v>109.2</v>
      </c>
      <c r="DJ2" s="1">
        <v>109.2</v>
      </c>
      <c r="DK2" s="1">
        <v>0.69</v>
      </c>
      <c r="DL2" s="1">
        <v>0.69</v>
      </c>
      <c r="DM2" s="1">
        <v>1672</v>
      </c>
      <c r="DN2" s="1">
        <v>0.122</v>
      </c>
      <c r="DO2" s="1">
        <v>10601</v>
      </c>
      <c r="DP2" s="1">
        <v>0.77700000000000002</v>
      </c>
      <c r="DQ2" s="1">
        <v>10601</v>
      </c>
      <c r="DR2" s="1">
        <v>0.77700000000000002</v>
      </c>
      <c r="DS2" s="4">
        <v>0</v>
      </c>
      <c r="DT2" s="4">
        <v>0</v>
      </c>
      <c r="DU2" s="4">
        <v>0</v>
      </c>
      <c r="DV2" s="4">
        <v>0</v>
      </c>
      <c r="DW2" s="4">
        <v>0</v>
      </c>
      <c r="DX2" s="4">
        <v>0</v>
      </c>
      <c r="DY2" s="1">
        <v>6.88</v>
      </c>
      <c r="DZ2" s="1">
        <v>0</v>
      </c>
      <c r="EA2" s="1">
        <v>0</v>
      </c>
      <c r="EB2">
        <v>0</v>
      </c>
    </row>
    <row r="3" spans="1:132">
      <c r="A3" s="1" t="s">
        <v>465</v>
      </c>
      <c r="B3" s="1" t="s">
        <v>462</v>
      </c>
      <c r="C3" s="1" t="s">
        <v>463</v>
      </c>
      <c r="D3" s="1" t="s">
        <v>464</v>
      </c>
      <c r="E3" s="1" t="s">
        <v>369</v>
      </c>
      <c r="F3" s="1">
        <v>50</v>
      </c>
      <c r="G3" s="1">
        <v>1565</v>
      </c>
      <c r="H3" s="1">
        <v>696000</v>
      </c>
      <c r="I3" s="1">
        <v>50.98</v>
      </c>
      <c r="J3" s="191">
        <v>695833.04399999999</v>
      </c>
      <c r="K3" s="1">
        <v>0</v>
      </c>
      <c r="L3">
        <v>0</v>
      </c>
      <c r="M3" s="191">
        <v>0</v>
      </c>
      <c r="N3" s="191">
        <v>0</v>
      </c>
      <c r="O3" s="1">
        <v>38006.267999999996</v>
      </c>
      <c r="P3" s="1">
        <v>0</v>
      </c>
      <c r="Q3">
        <v>0</v>
      </c>
      <c r="R3" s="191">
        <v>0</v>
      </c>
      <c r="S3" s="1">
        <v>145037.296</v>
      </c>
      <c r="T3" s="191">
        <v>0</v>
      </c>
      <c r="U3" s="191">
        <v>153372.81200000001</v>
      </c>
      <c r="V3" s="1">
        <v>0</v>
      </c>
      <c r="W3" s="191">
        <v>180081.948</v>
      </c>
      <c r="X3" s="1">
        <v>0</v>
      </c>
      <c r="Y3">
        <v>0</v>
      </c>
      <c r="Z3">
        <v>0</v>
      </c>
      <c r="AA3" s="1">
        <v>179334.72</v>
      </c>
      <c r="AB3" s="1">
        <v>0</v>
      </c>
      <c r="AC3" s="1">
        <v>0</v>
      </c>
      <c r="AD3">
        <v>0</v>
      </c>
      <c r="AE3">
        <v>0</v>
      </c>
      <c r="AF3" s="1">
        <v>0</v>
      </c>
      <c r="AG3" s="1">
        <v>0</v>
      </c>
      <c r="AH3">
        <v>0</v>
      </c>
      <c r="AI3">
        <v>0</v>
      </c>
      <c r="AJ3" s="1">
        <v>0</v>
      </c>
      <c r="AK3">
        <v>0</v>
      </c>
      <c r="AL3">
        <v>0</v>
      </c>
      <c r="AM3">
        <v>0</v>
      </c>
      <c r="AN3">
        <v>0</v>
      </c>
      <c r="AO3">
        <v>0</v>
      </c>
      <c r="AP3">
        <v>0</v>
      </c>
      <c r="AQ3">
        <v>0</v>
      </c>
      <c r="AR3">
        <v>0</v>
      </c>
      <c r="AS3" s="191">
        <v>25385.3</v>
      </c>
      <c r="AT3" s="1">
        <v>1.8594564898915908</v>
      </c>
      <c r="AU3" s="1">
        <v>3.6342321219226259E-2</v>
      </c>
      <c r="AV3" s="1">
        <v>0</v>
      </c>
      <c r="AW3">
        <v>0</v>
      </c>
      <c r="AX3">
        <v>0</v>
      </c>
      <c r="AY3">
        <v>0</v>
      </c>
      <c r="AZ3">
        <v>82390.54800000001</v>
      </c>
      <c r="BA3">
        <v>6.0350533255200709</v>
      </c>
      <c r="BB3">
        <v>0.11840562719812428</v>
      </c>
      <c r="BC3">
        <v>5.2999999999999999E-2</v>
      </c>
      <c r="BD3">
        <v>0</v>
      </c>
      <c r="BE3">
        <v>0</v>
      </c>
      <c r="BF3">
        <v>0</v>
      </c>
      <c r="BG3" s="1">
        <v>786</v>
      </c>
      <c r="BH3" s="1">
        <v>57.6</v>
      </c>
      <c r="BJ3" s="1">
        <v>360</v>
      </c>
      <c r="BK3" s="1">
        <v>26.4</v>
      </c>
      <c r="BM3" s="1">
        <v>49000</v>
      </c>
      <c r="BN3" s="1">
        <v>3.6</v>
      </c>
      <c r="BP3" s="1">
        <v>13652</v>
      </c>
      <c r="BQ3" s="1">
        <v>21103</v>
      </c>
      <c r="BR3" s="1">
        <v>11729</v>
      </c>
      <c r="BS3" s="1">
        <v>11729</v>
      </c>
      <c r="BT3" s="1">
        <v>2721</v>
      </c>
      <c r="BU3" s="1">
        <v>2651</v>
      </c>
      <c r="BV3" s="1">
        <v>3382</v>
      </c>
      <c r="BW3" s="1">
        <v>2975</v>
      </c>
      <c r="BX3">
        <v>8.1999999999999993</v>
      </c>
      <c r="BY3">
        <v>10.4</v>
      </c>
      <c r="BZ3">
        <v>5.0999999999999996</v>
      </c>
      <c r="CA3">
        <v>5.2</v>
      </c>
      <c r="CB3" s="1">
        <v>7.05</v>
      </c>
      <c r="CC3" s="1">
        <v>8.2322675486953329</v>
      </c>
      <c r="CD3" s="1">
        <v>10.448887212372689</v>
      </c>
      <c r="CE3" s="1">
        <v>5.0561797752808983</v>
      </c>
      <c r="CF3" s="1">
        <v>5.2100840336134455</v>
      </c>
      <c r="CG3" s="1">
        <v>15695</v>
      </c>
      <c r="CH3" s="1">
        <v>0</v>
      </c>
      <c r="CI3" s="1">
        <v>0.85914151772634051</v>
      </c>
      <c r="CJ3" s="1">
        <v>1.1496484031643714</v>
      </c>
      <c r="CK3" s="1">
        <v>2.0087899208907118</v>
      </c>
      <c r="CL3" t="s">
        <v>273</v>
      </c>
      <c r="CM3">
        <v>0</v>
      </c>
      <c r="CN3" t="s">
        <v>273</v>
      </c>
      <c r="CO3">
        <v>0</v>
      </c>
      <c r="CP3" t="s">
        <v>273</v>
      </c>
      <c r="CQ3">
        <v>0</v>
      </c>
      <c r="CR3" t="s">
        <v>273</v>
      </c>
      <c r="CS3">
        <v>0</v>
      </c>
      <c r="CT3" s="1">
        <v>0.12397860005115525</v>
      </c>
      <c r="CU3" s="1">
        <v>8.0659081453362624</v>
      </c>
      <c r="CV3" s="1">
        <v>8.3999999999999977E-2</v>
      </c>
      <c r="CW3">
        <v>0</v>
      </c>
      <c r="CX3" s="1">
        <v>4.7000000000000007E-2</v>
      </c>
      <c r="CY3">
        <v>5.2999999999999999E-2</v>
      </c>
      <c r="CZ3" s="1">
        <v>4.0000000000000008E-2</v>
      </c>
      <c r="DA3" s="1">
        <v>6.2166146557882468E-2</v>
      </c>
      <c r="DB3" s="1">
        <v>0.65100000000000036</v>
      </c>
      <c r="DC3" s="1">
        <v>0.25199999999999995</v>
      </c>
      <c r="DD3" s="1">
        <v>0.31900000000000023</v>
      </c>
      <c r="DE3" s="1">
        <v>1.2658730158730171</v>
      </c>
      <c r="DF3" s="1">
        <v>0</v>
      </c>
      <c r="DG3" s="1">
        <v>0.54</v>
      </c>
      <c r="DH3" s="1">
        <v>0.54</v>
      </c>
      <c r="DI3" s="1">
        <v>109.2</v>
      </c>
      <c r="DJ3" s="1">
        <v>109.2</v>
      </c>
      <c r="DK3" s="1">
        <v>0.69</v>
      </c>
      <c r="DL3" s="1">
        <v>0.69</v>
      </c>
      <c r="DM3" s="1">
        <v>1672</v>
      </c>
      <c r="DN3" s="1">
        <v>0.122</v>
      </c>
      <c r="DO3" s="1">
        <v>10601</v>
      </c>
      <c r="DP3" s="1">
        <v>0.77700000000000002</v>
      </c>
      <c r="DQ3" s="1">
        <v>10601</v>
      </c>
      <c r="DR3" s="1">
        <v>0.77700000000000002</v>
      </c>
      <c r="DS3" s="4">
        <v>0</v>
      </c>
      <c r="DT3" s="4">
        <v>0</v>
      </c>
      <c r="DU3" s="4">
        <v>0</v>
      </c>
      <c r="DV3" s="4">
        <v>0</v>
      </c>
      <c r="DW3" s="4">
        <v>0</v>
      </c>
      <c r="DX3" s="4">
        <v>0</v>
      </c>
      <c r="DY3" s="1">
        <v>6.88</v>
      </c>
      <c r="DZ3" s="1">
        <v>0</v>
      </c>
      <c r="EA3" s="1">
        <v>0</v>
      </c>
      <c r="EB3">
        <v>0</v>
      </c>
    </row>
    <row r="4" spans="1:132">
      <c r="A4" s="1" t="s">
        <v>466</v>
      </c>
      <c r="B4" s="1" t="s">
        <v>462</v>
      </c>
      <c r="C4" s="1" t="s">
        <v>463</v>
      </c>
      <c r="D4" s="1" t="s">
        <v>464</v>
      </c>
      <c r="E4" s="1" t="s">
        <v>369</v>
      </c>
      <c r="F4" s="1">
        <v>50</v>
      </c>
      <c r="G4" s="1">
        <v>1565</v>
      </c>
      <c r="H4" s="1">
        <v>686000</v>
      </c>
      <c r="I4" s="1">
        <v>50.25</v>
      </c>
      <c r="J4" s="191">
        <v>685835.88399999996</v>
      </c>
      <c r="K4" s="1">
        <v>0</v>
      </c>
      <c r="L4">
        <v>0</v>
      </c>
      <c r="M4" s="191">
        <v>0</v>
      </c>
      <c r="N4" s="191">
        <v>0</v>
      </c>
      <c r="O4" s="1">
        <v>39261.883999999998</v>
      </c>
      <c r="P4" s="1">
        <v>0</v>
      </c>
      <c r="Q4">
        <v>0</v>
      </c>
      <c r="R4" s="191">
        <v>0</v>
      </c>
      <c r="S4" s="1">
        <v>140536.86799999999</v>
      </c>
      <c r="T4" s="191">
        <v>0</v>
      </c>
      <c r="U4" s="191">
        <v>153372.81200000001</v>
      </c>
      <c r="V4" s="1">
        <v>0</v>
      </c>
      <c r="W4" s="191">
        <v>180081.948</v>
      </c>
      <c r="X4" s="1">
        <v>0</v>
      </c>
      <c r="Y4">
        <v>0</v>
      </c>
      <c r="Z4">
        <v>0</v>
      </c>
      <c r="AA4" s="1">
        <v>172582.372</v>
      </c>
      <c r="AB4" s="1">
        <v>0</v>
      </c>
      <c r="AC4" s="1">
        <v>0</v>
      </c>
      <c r="AD4">
        <v>0</v>
      </c>
      <c r="AE4">
        <v>0</v>
      </c>
      <c r="AF4" s="1">
        <v>0</v>
      </c>
      <c r="AG4" s="1">
        <v>0</v>
      </c>
      <c r="AH4">
        <v>0</v>
      </c>
      <c r="AI4">
        <v>0</v>
      </c>
      <c r="AJ4" s="1">
        <v>0</v>
      </c>
      <c r="AK4">
        <v>0</v>
      </c>
      <c r="AL4">
        <v>0</v>
      </c>
      <c r="AM4">
        <v>0</v>
      </c>
      <c r="AN4">
        <v>0</v>
      </c>
      <c r="AO4">
        <v>0</v>
      </c>
      <c r="AP4">
        <v>0</v>
      </c>
      <c r="AQ4">
        <v>0</v>
      </c>
      <c r="AR4">
        <v>0</v>
      </c>
      <c r="AS4" s="191">
        <v>25385.3</v>
      </c>
      <c r="AT4" s="1">
        <v>1.8594564898915908</v>
      </c>
      <c r="AU4" s="1">
        <v>3.6342321219226259E-2</v>
      </c>
      <c r="AV4" s="1">
        <v>0</v>
      </c>
      <c r="AW4">
        <v>0</v>
      </c>
      <c r="AX4">
        <v>0</v>
      </c>
      <c r="AY4">
        <v>0</v>
      </c>
      <c r="AZ4">
        <v>81206.828000000009</v>
      </c>
      <c r="BA4">
        <v>5.9483466158804577</v>
      </c>
      <c r="BB4">
        <v>0.11840562719812428</v>
      </c>
      <c r="BC4">
        <v>5.2999999999999999E-2</v>
      </c>
      <c r="BD4">
        <v>0</v>
      </c>
      <c r="BE4">
        <v>0</v>
      </c>
      <c r="BF4">
        <v>0</v>
      </c>
      <c r="BG4" s="1">
        <v>786</v>
      </c>
      <c r="BH4" s="1">
        <v>57.6</v>
      </c>
      <c r="BJ4" s="1">
        <v>360</v>
      </c>
      <c r="BK4" s="1">
        <v>26.4</v>
      </c>
      <c r="BM4" s="1">
        <v>49000</v>
      </c>
      <c r="BN4" s="1">
        <v>3.6</v>
      </c>
      <c r="BP4" s="1">
        <v>13652</v>
      </c>
      <c r="BQ4" s="1">
        <v>21103</v>
      </c>
      <c r="BR4" s="1">
        <v>11729</v>
      </c>
      <c r="BS4" s="1">
        <v>11729</v>
      </c>
      <c r="BT4" s="1">
        <v>2721</v>
      </c>
      <c r="BU4" s="1">
        <v>2651</v>
      </c>
      <c r="BV4" s="1">
        <v>3382</v>
      </c>
      <c r="BW4" s="1">
        <v>2975</v>
      </c>
      <c r="BX4">
        <v>8.1999999999999993</v>
      </c>
      <c r="BY4">
        <v>10.4</v>
      </c>
      <c r="BZ4">
        <v>5.0999999999999996</v>
      </c>
      <c r="CA4">
        <v>5.2</v>
      </c>
      <c r="CB4" s="1">
        <v>7.05</v>
      </c>
      <c r="CC4" s="1">
        <v>8.2322675486953329</v>
      </c>
      <c r="CD4" s="1">
        <v>10.448887212372689</v>
      </c>
      <c r="CE4" s="1">
        <v>5.0561797752808983</v>
      </c>
      <c r="CF4" s="1">
        <v>5.2100840336134455</v>
      </c>
      <c r="CG4" s="1">
        <v>15695</v>
      </c>
      <c r="CH4" s="1">
        <v>0</v>
      </c>
      <c r="CI4" s="1">
        <v>0.85914151772634051</v>
      </c>
      <c r="CJ4" s="1">
        <v>1.1496484031643714</v>
      </c>
      <c r="CK4" s="1">
        <v>2.0087899208907118</v>
      </c>
      <c r="CL4" t="s">
        <v>273</v>
      </c>
      <c r="CM4">
        <v>0</v>
      </c>
      <c r="CN4" t="s">
        <v>273</v>
      </c>
      <c r="CO4">
        <v>0</v>
      </c>
      <c r="CP4" t="s">
        <v>273</v>
      </c>
      <c r="CQ4">
        <v>0</v>
      </c>
      <c r="CR4" t="s">
        <v>273</v>
      </c>
      <c r="CS4">
        <v>0</v>
      </c>
      <c r="CT4" s="1">
        <v>0.12397860005115525</v>
      </c>
      <c r="CU4" s="1">
        <v>8.0659081453362624</v>
      </c>
      <c r="CV4" s="1">
        <v>8.3999999999999977E-2</v>
      </c>
      <c r="CW4">
        <v>0</v>
      </c>
      <c r="CX4" s="1">
        <v>4.7000000000000007E-2</v>
      </c>
      <c r="CY4">
        <v>5.2999999999999999E-2</v>
      </c>
      <c r="CZ4" s="1">
        <v>4.0000000000000008E-2</v>
      </c>
      <c r="DA4" s="1">
        <v>6.2166146557882468E-2</v>
      </c>
      <c r="DB4" s="1">
        <v>0.65100000000000036</v>
      </c>
      <c r="DC4" s="1">
        <v>0.25199999999999995</v>
      </c>
      <c r="DD4" s="1">
        <v>0.31900000000000023</v>
      </c>
      <c r="DE4" s="1">
        <v>1.2658730158730171</v>
      </c>
      <c r="DF4" s="1">
        <v>0</v>
      </c>
      <c r="DG4" s="1">
        <v>0.54</v>
      </c>
      <c r="DH4" s="1">
        <v>0.54</v>
      </c>
      <c r="DI4" s="1">
        <v>109.2</v>
      </c>
      <c r="DJ4" s="1">
        <v>109.2</v>
      </c>
      <c r="DK4" s="1">
        <v>0.69</v>
      </c>
      <c r="DL4" s="1">
        <v>0.69</v>
      </c>
      <c r="DM4" s="1">
        <v>1672</v>
      </c>
      <c r="DN4" s="1">
        <v>0.122</v>
      </c>
      <c r="DO4" s="1">
        <v>10601</v>
      </c>
      <c r="DP4" s="1">
        <v>0.77700000000000002</v>
      </c>
      <c r="DQ4" s="1">
        <v>10601</v>
      </c>
      <c r="DR4" s="1">
        <v>0.77700000000000002</v>
      </c>
      <c r="DS4" s="4">
        <v>0</v>
      </c>
      <c r="DT4" s="4">
        <v>0</v>
      </c>
      <c r="DU4" s="4">
        <v>0</v>
      </c>
      <c r="DV4" s="4">
        <v>0</v>
      </c>
      <c r="DW4" s="4">
        <v>0</v>
      </c>
      <c r="DX4" s="4">
        <v>0</v>
      </c>
      <c r="DY4" s="1">
        <v>6.88</v>
      </c>
      <c r="DZ4" s="1">
        <v>0</v>
      </c>
      <c r="EA4" s="1">
        <v>0</v>
      </c>
      <c r="EB4">
        <v>0</v>
      </c>
    </row>
    <row r="5" spans="1:132">
      <c r="A5" s="1" t="s">
        <v>467</v>
      </c>
      <c r="B5" s="1" t="s">
        <v>462</v>
      </c>
      <c r="C5" s="1" t="s">
        <v>463</v>
      </c>
      <c r="D5" s="1" t="s">
        <v>464</v>
      </c>
      <c r="E5" s="1" t="s">
        <v>369</v>
      </c>
      <c r="F5" s="1">
        <v>50</v>
      </c>
      <c r="G5" s="1">
        <v>1565</v>
      </c>
      <c r="H5" s="1">
        <v>683000</v>
      </c>
      <c r="I5" s="1">
        <v>50.03</v>
      </c>
      <c r="J5" s="191">
        <v>683041.45600000001</v>
      </c>
      <c r="K5" s="1">
        <v>0</v>
      </c>
      <c r="L5">
        <v>0</v>
      </c>
      <c r="M5" s="191">
        <v>0</v>
      </c>
      <c r="N5" s="191">
        <v>0</v>
      </c>
      <c r="O5" s="1">
        <v>38579.483999999997</v>
      </c>
      <c r="P5" s="1">
        <v>0</v>
      </c>
      <c r="Q5">
        <v>0</v>
      </c>
      <c r="R5" s="191">
        <v>0</v>
      </c>
      <c r="S5" s="1">
        <v>140864.41999999998</v>
      </c>
      <c r="T5" s="191">
        <v>0</v>
      </c>
      <c r="U5" s="191">
        <v>153372.81200000001</v>
      </c>
      <c r="V5" s="1">
        <v>0</v>
      </c>
      <c r="W5" s="191">
        <v>180081.948</v>
      </c>
      <c r="X5" s="1">
        <v>0</v>
      </c>
      <c r="Y5">
        <v>0</v>
      </c>
      <c r="Z5">
        <v>0</v>
      </c>
      <c r="AA5" s="1">
        <v>170142.79199999999</v>
      </c>
      <c r="AB5" s="1">
        <v>0</v>
      </c>
      <c r="AC5" s="1">
        <v>0</v>
      </c>
      <c r="AD5">
        <v>0</v>
      </c>
      <c r="AE5">
        <v>0</v>
      </c>
      <c r="AF5" s="1">
        <v>0</v>
      </c>
      <c r="AG5" s="1">
        <v>0</v>
      </c>
      <c r="AH5">
        <v>0</v>
      </c>
      <c r="AI5">
        <v>0</v>
      </c>
      <c r="AJ5" s="1">
        <v>0</v>
      </c>
      <c r="AK5">
        <v>0</v>
      </c>
      <c r="AL5">
        <v>0</v>
      </c>
      <c r="AM5">
        <v>0</v>
      </c>
      <c r="AN5">
        <v>0</v>
      </c>
      <c r="AO5">
        <v>0</v>
      </c>
      <c r="AP5">
        <v>0</v>
      </c>
      <c r="AQ5">
        <v>0</v>
      </c>
      <c r="AR5">
        <v>0</v>
      </c>
      <c r="AS5" s="191">
        <v>25385.3</v>
      </c>
      <c r="AT5" s="1">
        <v>1.8594564898915908</v>
      </c>
      <c r="AU5" s="1">
        <v>3.6342321219226259E-2</v>
      </c>
      <c r="AV5" s="1">
        <v>0</v>
      </c>
      <c r="AW5">
        <v>0</v>
      </c>
      <c r="AX5">
        <v>0</v>
      </c>
      <c r="AY5">
        <v>0</v>
      </c>
      <c r="AZ5">
        <v>80875.952000000005</v>
      </c>
      <c r="BA5">
        <v>5.9241101670084975</v>
      </c>
      <c r="BB5">
        <v>0.11840562719812428</v>
      </c>
      <c r="BC5">
        <v>5.2999999999999999E-2</v>
      </c>
      <c r="BD5">
        <v>0</v>
      </c>
      <c r="BE5">
        <v>0</v>
      </c>
      <c r="BF5">
        <v>0</v>
      </c>
      <c r="BG5" s="1">
        <v>786</v>
      </c>
      <c r="BH5" s="1">
        <v>57.6</v>
      </c>
      <c r="BJ5" s="1">
        <v>360</v>
      </c>
      <c r="BK5" s="1">
        <v>26.4</v>
      </c>
      <c r="BM5" s="1">
        <v>49000</v>
      </c>
      <c r="BN5" s="1">
        <v>3.6</v>
      </c>
      <c r="BP5" s="1">
        <v>13652</v>
      </c>
      <c r="BQ5" s="1">
        <v>21103</v>
      </c>
      <c r="BR5" s="1">
        <v>11729</v>
      </c>
      <c r="BS5" s="1">
        <v>11729</v>
      </c>
      <c r="BT5" s="1">
        <v>2721</v>
      </c>
      <c r="BU5" s="1">
        <v>2651</v>
      </c>
      <c r="BV5" s="1">
        <v>3382</v>
      </c>
      <c r="BW5" s="1">
        <v>2975</v>
      </c>
      <c r="BX5">
        <v>8.1999999999999993</v>
      </c>
      <c r="BY5">
        <v>10.4</v>
      </c>
      <c r="BZ5">
        <v>5.0999999999999996</v>
      </c>
      <c r="CA5">
        <v>5.2</v>
      </c>
      <c r="CB5" s="1">
        <v>7.05</v>
      </c>
      <c r="CC5" s="1">
        <v>8.2322675486953329</v>
      </c>
      <c r="CD5" s="1">
        <v>10.448887212372689</v>
      </c>
      <c r="CE5" s="1">
        <v>5.0561797752808983</v>
      </c>
      <c r="CF5" s="1">
        <v>5.2100840336134455</v>
      </c>
      <c r="CG5" s="1">
        <v>15695</v>
      </c>
      <c r="CH5" s="1">
        <v>0</v>
      </c>
      <c r="CI5" s="1">
        <v>0.85914151772634051</v>
      </c>
      <c r="CJ5" s="1">
        <v>1.1496484031643714</v>
      </c>
      <c r="CK5" s="1">
        <v>2.0087899208907118</v>
      </c>
      <c r="CL5" t="s">
        <v>273</v>
      </c>
      <c r="CM5">
        <v>0</v>
      </c>
      <c r="CN5" t="s">
        <v>273</v>
      </c>
      <c r="CO5">
        <v>0</v>
      </c>
      <c r="CP5" t="s">
        <v>273</v>
      </c>
      <c r="CQ5">
        <v>0</v>
      </c>
      <c r="CR5" t="s">
        <v>273</v>
      </c>
      <c r="CS5">
        <v>0</v>
      </c>
      <c r="CT5" s="1">
        <v>0.12397860005115525</v>
      </c>
      <c r="CU5" s="1">
        <v>8.0659081453362624</v>
      </c>
      <c r="CV5" s="1">
        <v>8.3999999999999977E-2</v>
      </c>
      <c r="CW5">
        <v>0</v>
      </c>
      <c r="CX5" s="1">
        <v>4.7000000000000007E-2</v>
      </c>
      <c r="CY5">
        <v>5.2999999999999999E-2</v>
      </c>
      <c r="CZ5" s="1">
        <v>4.0000000000000008E-2</v>
      </c>
      <c r="DA5" s="1">
        <v>6.2166146557882468E-2</v>
      </c>
      <c r="DB5" s="1">
        <v>0.65100000000000036</v>
      </c>
      <c r="DC5" s="1">
        <v>0.25199999999999995</v>
      </c>
      <c r="DD5" s="1">
        <v>0.31900000000000023</v>
      </c>
      <c r="DE5" s="1">
        <v>1.2658730158730171</v>
      </c>
      <c r="DF5" s="1">
        <v>0</v>
      </c>
      <c r="DG5" s="1">
        <v>0.54</v>
      </c>
      <c r="DH5" s="1">
        <v>0.54</v>
      </c>
      <c r="DI5" s="1">
        <v>109.2</v>
      </c>
      <c r="DJ5" s="1">
        <v>109.2</v>
      </c>
      <c r="DK5" s="1">
        <v>0.69</v>
      </c>
      <c r="DL5" s="1">
        <v>0.69</v>
      </c>
      <c r="DM5" s="1">
        <v>1672</v>
      </c>
      <c r="DN5" s="1">
        <v>0.122</v>
      </c>
      <c r="DO5" s="1">
        <v>10601</v>
      </c>
      <c r="DP5" s="1">
        <v>0.77700000000000002</v>
      </c>
      <c r="DQ5" s="1">
        <v>10601</v>
      </c>
      <c r="DR5" s="1">
        <v>0.77700000000000002</v>
      </c>
      <c r="DS5" s="4">
        <v>0</v>
      </c>
      <c r="DT5" s="4">
        <v>0</v>
      </c>
      <c r="DU5" s="4">
        <v>0</v>
      </c>
      <c r="DV5" s="4">
        <v>0</v>
      </c>
      <c r="DW5" s="4">
        <v>0</v>
      </c>
      <c r="DX5" s="4">
        <v>0</v>
      </c>
      <c r="DY5" s="1">
        <v>6.88</v>
      </c>
      <c r="DZ5" s="1">
        <v>0</v>
      </c>
      <c r="EA5" s="1">
        <v>0</v>
      </c>
      <c r="EB5">
        <v>0</v>
      </c>
    </row>
    <row r="6" spans="1:132">
      <c r="J6" s="191"/>
      <c r="L6"/>
      <c r="M6" s="191"/>
      <c r="N6" s="191"/>
      <c r="Q6"/>
      <c r="R6" s="191"/>
      <c r="T6" s="191"/>
      <c r="U6" s="191"/>
      <c r="W6" s="191"/>
      <c r="Y6"/>
      <c r="Z6"/>
      <c r="AD6"/>
      <c r="AE6"/>
      <c r="AH6"/>
      <c r="AI6"/>
      <c r="AK6"/>
      <c r="AL6"/>
      <c r="AM6"/>
      <c r="AN6"/>
      <c r="AO6"/>
      <c r="AP6"/>
      <c r="AQ6"/>
      <c r="AR6"/>
      <c r="AS6" s="191"/>
      <c r="AW6"/>
      <c r="AX6"/>
      <c r="AY6"/>
      <c r="AZ6"/>
      <c r="BA6"/>
      <c r="BB6"/>
      <c r="BC6"/>
      <c r="BD6"/>
      <c r="BE6"/>
      <c r="BF6"/>
      <c r="BX6"/>
      <c r="BY6"/>
      <c r="BZ6"/>
      <c r="CA6"/>
      <c r="CL6"/>
      <c r="CM6"/>
      <c r="CN6"/>
      <c r="CO6"/>
      <c r="CP6"/>
      <c r="CQ6"/>
      <c r="CR6"/>
      <c r="CS6"/>
      <c r="CW6"/>
      <c r="CY6"/>
      <c r="DS6" s="4"/>
      <c r="DT6" s="4"/>
      <c r="DU6" s="4"/>
      <c r="DV6" s="4"/>
      <c r="DW6" s="4"/>
      <c r="DX6" s="4"/>
      <c r="EB6"/>
    </row>
    <row r="7" spans="1:132">
      <c r="J7" s="191"/>
      <c r="L7"/>
      <c r="M7" s="191"/>
      <c r="N7" s="191"/>
      <c r="Q7"/>
      <c r="R7" s="191"/>
      <c r="T7" s="191"/>
      <c r="U7" s="191"/>
      <c r="W7" s="191"/>
      <c r="Y7"/>
      <c r="Z7"/>
      <c r="AD7"/>
      <c r="AE7"/>
      <c r="AH7"/>
      <c r="AI7"/>
      <c r="AK7"/>
      <c r="AL7"/>
      <c r="AM7"/>
      <c r="AN7"/>
      <c r="AO7"/>
      <c r="AP7"/>
      <c r="AQ7"/>
      <c r="AR7"/>
      <c r="AS7" s="191"/>
      <c r="AW7"/>
      <c r="AX7"/>
      <c r="AY7"/>
      <c r="AZ7"/>
      <c r="BA7"/>
      <c r="BB7"/>
      <c r="BC7"/>
      <c r="BD7"/>
      <c r="BE7"/>
      <c r="BF7"/>
      <c r="BX7"/>
      <c r="BY7"/>
      <c r="BZ7"/>
      <c r="CA7"/>
      <c r="CL7"/>
      <c r="CM7"/>
      <c r="CN7"/>
      <c r="CO7"/>
      <c r="CP7"/>
      <c r="CQ7"/>
      <c r="CR7"/>
      <c r="CS7"/>
      <c r="CW7"/>
      <c r="CY7"/>
      <c r="DS7" s="4"/>
      <c r="DT7" s="4"/>
      <c r="DU7" s="4"/>
      <c r="DV7" s="4"/>
      <c r="DW7" s="4"/>
      <c r="DX7" s="4"/>
      <c r="EB7"/>
    </row>
    <row r="8" spans="1:132">
      <c r="J8" s="191"/>
      <c r="L8"/>
      <c r="M8" s="191"/>
      <c r="N8" s="191"/>
      <c r="Q8"/>
      <c r="R8" s="191"/>
      <c r="T8" s="191"/>
      <c r="U8" s="191"/>
      <c r="W8" s="191"/>
      <c r="Y8"/>
      <c r="Z8"/>
      <c r="AD8"/>
      <c r="AE8"/>
      <c r="AH8"/>
      <c r="AI8"/>
      <c r="AK8"/>
      <c r="AL8"/>
      <c r="AM8"/>
      <c r="AN8"/>
      <c r="AO8"/>
      <c r="AP8"/>
      <c r="AQ8"/>
      <c r="AR8"/>
      <c r="AS8" s="191"/>
      <c r="AW8"/>
      <c r="AX8"/>
      <c r="AY8"/>
      <c r="AZ8"/>
      <c r="BA8"/>
      <c r="BB8"/>
      <c r="BC8"/>
      <c r="BD8"/>
      <c r="BE8"/>
      <c r="BF8"/>
      <c r="BX8"/>
      <c r="BY8"/>
      <c r="BZ8"/>
      <c r="CA8"/>
      <c r="CL8"/>
      <c r="CM8"/>
      <c r="CN8"/>
      <c r="CO8"/>
      <c r="CP8"/>
      <c r="CQ8"/>
      <c r="CR8"/>
      <c r="CS8"/>
      <c r="CW8"/>
      <c r="CY8"/>
      <c r="DS8" s="4"/>
      <c r="DT8" s="4"/>
      <c r="DU8" s="4"/>
      <c r="DV8" s="4"/>
      <c r="DW8" s="4"/>
      <c r="DX8" s="4"/>
      <c r="EB8"/>
    </row>
    <row r="9" spans="1:132">
      <c r="J9" s="191"/>
      <c r="L9"/>
      <c r="M9" s="191"/>
      <c r="N9" s="191"/>
      <c r="Q9"/>
      <c r="R9" s="191"/>
      <c r="T9" s="191"/>
      <c r="U9" s="191"/>
      <c r="W9" s="191"/>
      <c r="Y9"/>
      <c r="Z9"/>
      <c r="AD9"/>
      <c r="AE9"/>
      <c r="AH9"/>
      <c r="AI9"/>
      <c r="AK9"/>
      <c r="AL9"/>
      <c r="AM9"/>
      <c r="AN9"/>
      <c r="AO9"/>
      <c r="AP9"/>
      <c r="AQ9"/>
      <c r="AR9"/>
      <c r="AS9" s="191"/>
      <c r="AW9"/>
      <c r="AX9"/>
      <c r="AY9"/>
      <c r="AZ9"/>
      <c r="BA9"/>
      <c r="BB9"/>
      <c r="BC9"/>
      <c r="BD9"/>
      <c r="BE9"/>
      <c r="BF9"/>
      <c r="BX9"/>
      <c r="BY9"/>
      <c r="BZ9"/>
      <c r="CA9"/>
      <c r="CL9"/>
      <c r="CM9"/>
      <c r="CN9"/>
      <c r="CO9"/>
      <c r="CP9"/>
      <c r="CQ9"/>
      <c r="CR9"/>
      <c r="CS9"/>
      <c r="CW9"/>
      <c r="CY9"/>
      <c r="DS9" s="4"/>
      <c r="DT9" s="4"/>
      <c r="DU9" s="4"/>
      <c r="DV9" s="4"/>
      <c r="DW9" s="4"/>
      <c r="DX9" s="4"/>
      <c r="EB9"/>
    </row>
  </sheetData>
  <sheetProtection selectLockedCells="1"/>
  <phoneticPr fontId="46"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8C4ACE-AE64-48C5-BCA9-A02B8B1B3912}">
  <sheetPr>
    <tabColor theme="0" tint="-4.9989318521683403E-2"/>
  </sheetPr>
  <dimension ref="A1:EB2"/>
  <sheetViews>
    <sheetView workbookViewId="0">
      <selection activeCell="A2" sqref="A2"/>
    </sheetView>
  </sheetViews>
  <sheetFormatPr defaultColWidth="12.5546875" defaultRowHeight="15"/>
  <cols>
    <col min="1" max="1" width="20.33203125" style="1" customWidth="1"/>
    <col min="2" max="5" width="12.5546875" style="1"/>
    <col min="6" max="75" width="12.5546875" style="1" customWidth="1"/>
    <col min="76" max="89" width="12.5546875" style="1"/>
    <col min="90" max="118" width="12.5546875" style="1" customWidth="1"/>
    <col min="119" max="16384" width="12.5546875" style="1"/>
  </cols>
  <sheetData>
    <row r="1" spans="1:132" s="179" customFormat="1" ht="82.8">
      <c r="A1" s="178" t="s">
        <v>116</v>
      </c>
      <c r="B1" s="178" t="s">
        <v>117</v>
      </c>
      <c r="C1" s="178" t="s">
        <v>118</v>
      </c>
      <c r="D1" s="178" t="s">
        <v>119</v>
      </c>
      <c r="E1" s="178" t="s">
        <v>120</v>
      </c>
      <c r="F1" s="181" t="s">
        <v>121</v>
      </c>
      <c r="G1" s="181" t="s">
        <v>122</v>
      </c>
      <c r="H1" s="180" t="str">
        <f>_xlfn.CONCAT("Total Energy Use ",IF('Project Info'!$I$4=Menus!$A$2,"(kWh)","(kBtu)"))</f>
        <v>Total Energy Use (kBtu)</v>
      </c>
      <c r="I1" s="180" t="str">
        <f>_xlfn.CONCAT("Energy Use Intensity ",IF('Project Info'!$I$4=Menus!$A$2,"(kWh/m²)","(kBtu/ft²)"))</f>
        <v>Energy Use Intensity (kBtu/ft²)</v>
      </c>
      <c r="J1" s="180" t="str">
        <f>_xlfn.CONCAT("Electricity ",IF('Project Info'!$I$4=Menus!$A$2,"(kWh)","(kBtu)"))</f>
        <v>Electricity (kBtu)</v>
      </c>
      <c r="K1" s="180" t="str">
        <f>_xlfn.CONCAT("Gas ",IF('Project Info'!$I$4=Menus!$A$2,"(kWh)","(kBtu)"))</f>
        <v>Gas (kBtu)</v>
      </c>
      <c r="L1" s="180" t="str">
        <f>_xlfn.CONCAT("Additional Fuel ",IF('Project Info'!$I$4=Menus!$A$2,"(kWh)","(kBtu)"))</f>
        <v>Additional Fuel (kBtu)</v>
      </c>
      <c r="M1" s="180" t="str">
        <f>_xlfn.CONCAT("District Cooling ",IF('Project Info'!$I$4=Menus!$A$2,"(kWh)","(kBtu)"))</f>
        <v>District Cooling (kBtu)</v>
      </c>
      <c r="N1" s="180" t="str">
        <f>_xlfn.CONCAT("District Heating ",IF('Project Info'!$I$4=Menus!$A$2,"(kWh)","(kBtu)"))</f>
        <v>District Heating (kBtu)</v>
      </c>
      <c r="O1" s="182" t="str">
        <f>_xlfn.CONCAT("Heating - Electricity Energy Use ",IF('Project Info'!$I$4=Menus!$A$2,"(kWh)","(kBtu)"))</f>
        <v>Heating - Electricity Energy Use (kBtu)</v>
      </c>
      <c r="P1" s="182" t="str">
        <f>_xlfn.CONCAT("Heating - Gas Energy Use ",IF('Project Info'!$I$4=Menus!$A$2,"(kWh)","(kBtu)"))</f>
        <v>Heating - Gas Energy Use (kBtu)</v>
      </c>
      <c r="Q1" s="182" t="str">
        <f>_xlfn.CONCAT("Heating - Additonal Fuel Energy Use ",IF('Project Info'!$I$4=Menus!$A$2,"(kWh)","(kBtu)"))</f>
        <v>Heating - Additonal Fuel Energy Use (kBtu)</v>
      </c>
      <c r="R1" s="182" t="str">
        <f>_xlfn.CONCAT("Heating - District Heating Energy Use ",IF('Project Info'!$I$4=Menus!$A$2,"(kWh)","(kBtu)"))</f>
        <v>Heating - District Heating Energy Use (kBtu)</v>
      </c>
      <c r="S1" s="182" t="str">
        <f>_xlfn.CONCAT("Cooling - Electricity Energy Use ",IF('Project Info'!$I$4=Menus!$A$2,"(kWh)","(kBtu)"))</f>
        <v>Cooling - Electricity Energy Use (kBtu)</v>
      </c>
      <c r="T1" s="182" t="str">
        <f>_xlfn.CONCAT("Cooling - District Energy Use ",IF('Project Info'!$I$4=Menus!$A$2,"(kWh)","(kBtu)"))</f>
        <v>Cooling - District Energy Use (kBtu)</v>
      </c>
      <c r="U1" s="182" t="str">
        <f>_xlfn.CONCAT("Interior Lighting - Electricity Energy Use ",IF('Project Info'!$I$4=Menus!$A$2,"(kWh)","(kBtu)"))</f>
        <v>Interior Lighting - Electricity Energy Use (kBtu)</v>
      </c>
      <c r="V1" s="182" t="str">
        <f>_xlfn.CONCAT("Exterior Lighting - Electricity Energy Use ",IF('Project Info'!$I$4=Menus!$A$2,"(kWh)","(kBtu)"))</f>
        <v>Exterior Lighting - Electricity Energy Use (kBtu)</v>
      </c>
      <c r="W1" s="182" t="str">
        <f>_xlfn.CONCAT("Interior Equipment - Electricity Energy Use ",IF('Project Info'!$I$4=Menus!$A$2,"(kWh)","(kBtu)"))</f>
        <v>Interior Equipment - Electricity Energy Use (kBtu)</v>
      </c>
      <c r="X1" s="182" t="str">
        <f>_xlfn.CONCAT("Interior Equipment - Gas Energy Use ",IF('Project Info'!$I$4=Menus!$A$2,"(kWh)","(kBtu)"))</f>
        <v>Interior Equipment - Gas Energy Use (kBtu)</v>
      </c>
      <c r="Y1" s="182" t="str">
        <f>_xlfn.CONCAT("Interior Equipment - Additional Fuel Energy Use ",IF('Project Info'!$I$4=Menus!$A$2,"(kWh)","(kBtu)"))</f>
        <v>Interior Equipment - Additional Fuel Energy Use (kBtu)</v>
      </c>
      <c r="Z1" s="182" t="str">
        <f>_xlfn.CONCAT("Exterior Equipment - Energy Use ",IF('Project Info'!$I$4=Menus!$A$2,"(kWh)","(kBtu)"))</f>
        <v>Exterior Equipment - Energy Use (kBtu)</v>
      </c>
      <c r="AA1" s="182" t="str">
        <f>_xlfn.CONCAT("Fans - Electricity Energy Use ",IF('Project Info'!$I$4=Menus!$A$2,"(kWh)","(kBtu)"))</f>
        <v>Fans - Electricity Energy Use (kBtu)</v>
      </c>
      <c r="AB1" s="182" t="str">
        <f>_xlfn.CONCAT("Pumps - Electricity Energy Use ",IF('Project Info'!$I$4=Menus!$A$2,"(kWh)","(kBtu)"))</f>
        <v>Pumps - Electricity Energy Use (kBtu)</v>
      </c>
      <c r="AC1" s="182" t="str">
        <f>_xlfn.CONCAT("Heat Rejection - Electricity Energy Use ",IF('Project Info'!$I$4=Menus!$A$2,"(kWh)","(kBtu)"))</f>
        <v>Heat Rejection - Electricity Energy Use (kBtu)</v>
      </c>
      <c r="AD1" s="182" t="str">
        <f>_xlfn.CONCAT("Humidification - Electricity Energy Use ",IF('Project Info'!$I$4=Menus!$A$2,"(kWh)","(kBtu)"))</f>
        <v>Humidification - Electricity Energy Use (kBtu)</v>
      </c>
      <c r="AE1" s="182" t="str">
        <f>_xlfn.CONCAT("Heat Recovery - Electricity Energy Use ",IF('Project Info'!$I$4=Menus!$A$2,"(kWh)","(kBtu)"))</f>
        <v>Heat Recovery - Electricity Energy Use (kBtu)</v>
      </c>
      <c r="AF1" s="182" t="str">
        <f>_xlfn.CONCAT("Water Systems - Electricity Energy Use ",IF('Project Info'!$I$4=Menus!$A$2,"(kWh)","(kBtu)"))</f>
        <v>Water Systems - Electricity Energy Use (kBtu)</v>
      </c>
      <c r="AG1" s="182" t="str">
        <f>_xlfn.CONCAT("Water Systems - Gas Energy Use ",IF('Project Info'!$I$4=Menus!$A$2,"(kWh)","(kBtu)"))</f>
        <v>Water Systems - Gas Energy Use (kBtu)</v>
      </c>
      <c r="AH1" s="182" t="str">
        <f>_xlfn.CONCAT("Water Systems - Additional Fuel Energy Use ",IF('Project Info'!$I$4=Menus!$A$2,"(kWh)","(kBtu)"))</f>
        <v>Water Systems - Additional Fuel Energy Use (kBtu)</v>
      </c>
      <c r="AI1" s="182" t="str">
        <f>_xlfn.CONCAT("Water Systems - District Heating Energy Use ",IF('Project Info'!$I$4=Menus!$A$2,"(kWh)","(kBtu)"))</f>
        <v>Water Systems - District Heating Energy Use (kBtu)</v>
      </c>
      <c r="AJ1" s="182" t="str">
        <f>_xlfn.CONCAT("Refrigeration - Electricity Energy Use ",IF('Project Info'!$I$4=Menus!$A$2,"(kWh)","(kBtu)"))</f>
        <v>Refrigeration - Electricity Energy Use (kBtu)</v>
      </c>
      <c r="AK1" s="182" t="str">
        <f>_xlfn.CONCAT("Generators  Electricity Energy Use ",IF('Project Info'!$I$4=Menus!$A$2,"(kWh)","(kBtu)"))</f>
        <v>Generators  Electricity Energy Use (kBtu)</v>
      </c>
      <c r="AL1" s="182" t="str">
        <f>_xlfn.CONCAT("Misc 1 -  Electricity Energy Use ",IF('Project Info'!$I$4=Menus!$A$2,"(kWh)","(kBtu)"))</f>
        <v>Misc 1 -  Electricity Energy Use (kBtu)</v>
      </c>
      <c r="AM1" s="182" t="str">
        <f>_xlfn.CONCAT("Misc 2 -  Electricity Energy Use ",IF('Project Info'!$I$4=Menus!$A$2,"(kWh)","(kBtu)"))</f>
        <v>Misc 2 -  Electricity Energy Use (kBtu)</v>
      </c>
      <c r="AN1" s="181" t="str">
        <f>_xlfn.CONCAT("Total Water Use ",IF('Project Info'!$I$4=Menus!$A$2,"(m3)","(kGal)"))</f>
        <v>Total Water Use (kGal)</v>
      </c>
      <c r="AO1" s="181" t="str">
        <f>_xlfn.CONCAT("Water Use Intensity ",IF('Project Info'!$I$4=Menus!$A$2,"(m³/m²)","(kGal/ft²)"))</f>
        <v>Water Use Intensity (kGal/ft²)</v>
      </c>
      <c r="AP1" s="181" t="str">
        <f>_xlfn.CONCAT("Heat Rejection - Water Use ",IF('Project Info'!$I$4=Menus!$A$2,"(m3)","(kGal)"))</f>
        <v>Heat Rejection - Water Use (kGal)</v>
      </c>
      <c r="AQ1" s="181" t="str">
        <f>_xlfn.CONCAT("Humidificatopn - Water Use ",IF('Project Info'!$I$4=Menus!$A$2,"(m3)","(kGal)"))</f>
        <v>Humidificatopn - Water Use (kGal)</v>
      </c>
      <c r="AR1" s="181" t="str">
        <f>_xlfn.CONCAT("Water System - Water Use ",IF('Project Info'!$I$4=Menus!$A$2,"(m3)","(kGal)"))</f>
        <v>Water System - Water Use (kGal)</v>
      </c>
      <c r="AS1" s="183" t="s">
        <v>123</v>
      </c>
      <c r="AT1" s="183" t="str">
        <f>_xlfn.CONCAT("Energy Cost Intensity (",IF('Project Info'!$I$4=Menus!$A$2,Menus!$E$10,Menus!$E$11),")")</f>
        <v>Energy Cost Intensity ($/ft²)</v>
      </c>
      <c r="AU1" s="183" t="str">
        <f>_xlfn.CONCAT("Electricity Virtual Rate (",IF('Project Info'!$I$4=Menus!$A$2,Menus!$E$14,Menus!$E$15),")")</f>
        <v>Electricity Virtual Rate ($/kBtu)</v>
      </c>
      <c r="AV1" s="183" t="str">
        <f>_xlfn.CONCAT("Gas Virtual Rate (",IF('Project Info'!$I$4=Menus!$A$2,Menus!$E$14,Menus!$E$15),")")</f>
        <v>Gas Virtual Rate ($/kBtu)</v>
      </c>
      <c r="AW1" s="183" t="str">
        <f>_xlfn.CONCAT("Additional Fuel Virtual Rate (",IF('Project Info'!$I$4=Menus!$A$2,Menus!$E$14,Menus!$E$15),")")</f>
        <v>Additional Fuel Virtual Rate ($/kBtu)</v>
      </c>
      <c r="AX1" s="183" t="str">
        <f>_xlfn.CONCAT("District Cooling Virtual Rate (",IF('Project Info'!$I$4=Menus!$A$2,Menus!$E$14,Menus!$E$15),")")</f>
        <v>District Cooling Virtual Rate ($/kBtu)</v>
      </c>
      <c r="AY1" s="183" t="str">
        <f>_xlfn.CONCAT("District Heating Virtual Rate (",IF('Project Info'!$I$4=Menus!$A$2,Menus!$E$14,Menus!$E$15),")")</f>
        <v>District Heating Virtual Rate ($/kBtu)</v>
      </c>
      <c r="AZ1" s="184" t="str">
        <f>_xlfn.CONCAT("Total Carbon Emissions (",IF('Project Info'!$I$4=Menus!$A$2,Menus!$G$6,Menus!$G$7),")")</f>
        <v>Total Carbon Emissions (kg CO2e)</v>
      </c>
      <c r="BA1" s="184" t="str">
        <f>_xlfn.CONCAT("Carbon Emission Intensity (",IF('Project Info'!$I$4=Menus!$A$2,Menus!$G$10,Menus!$G$11),")")</f>
        <v>Carbon Emission Intensity (kg CO2e/ft²)</v>
      </c>
      <c r="BB1" s="184" t="str">
        <f>_xlfn.CONCAT("Electricity Virtual Rate (",IF('Project Info'!$I$4=Menus!$A$2,Menus!$G$14,Menus!$G$15),")")</f>
        <v>Electricity Virtual Rate (kg CO2e/kBtu)</v>
      </c>
      <c r="BC1" s="184" t="str">
        <f>_xlfn.CONCAT("Gas Virtual Rate (",IF('Project Info'!$I$4=Menus!$A$2,Menus!$G$14,Menus!$G$15),")")</f>
        <v>Gas Virtual Rate (kg CO2e/kBtu)</v>
      </c>
      <c r="BD1" s="184" t="str">
        <f>_xlfn.CONCAT("Additional Fuel Virtual Rate (",IF('Project Info'!$I$4=Menus!$A$2,Menus!$G$14,Menus!$G$15),")")</f>
        <v>Additional Fuel Virtual Rate (kg CO2e/kBtu)</v>
      </c>
      <c r="BE1" s="184" t="str">
        <f>_xlfn.CONCAT("District Cooling Virtual Rate (",IF('Project Info'!$I$4=Menus!$A$2,Menus!$G$14,Menus!$G$15),")")</f>
        <v>District Cooling Virtual Rate (kg CO2e/kBtu)</v>
      </c>
      <c r="BF1" s="184" t="str">
        <f>_xlfn.CONCAT("District Heating Virtual Rate (",IF('Project Info'!$I$4=Menus!$A$2,Menus!$G$14,Menus!$G$15),")")</f>
        <v>District Heating Virtual Rate (kg CO2e/kBtu)</v>
      </c>
      <c r="BG1" s="185" t="str">
        <f>_xlfn.CONCAT("Peak Heating ",IF('Project Info'!$I$4=Menus!$A$2,"(kW)","(kBtuh)"))</f>
        <v>Peak Heating (kBtuh)</v>
      </c>
      <c r="BH1" s="185" t="str">
        <f>_xlfn.CONCAT("Peak Heating ",IF('Project Info'!$I$4=Menus!$A$2,"(W/m²)","(Btuh/ft²)"))</f>
        <v>Peak Heating (Btuh/ft²)</v>
      </c>
      <c r="BI1" s="185" t="s">
        <v>124</v>
      </c>
      <c r="BJ1" s="186" t="str">
        <f>_xlfn.CONCAT("Peak Cooling ",IF('Project Info'!$I$4=Menus!$A$2,"(kW)","(kBtuh)"))</f>
        <v>Peak Cooling (kBtuh)</v>
      </c>
      <c r="BK1" s="186" t="str">
        <f>_xlfn.CONCAT("Peak Cooling ",IF('Project Info'!$I$4=Menus!$A$2,"(W/m²)","(Btuh/ft²)"))</f>
        <v>Peak Cooling (Btuh/ft²)</v>
      </c>
      <c r="BL1" s="186" t="s">
        <v>125</v>
      </c>
      <c r="BM1" s="187" t="s">
        <v>126</v>
      </c>
      <c r="BN1" s="187" t="str">
        <f>_xlfn.CONCAT("Peak Electrical Load Intensity ",IF('Project Info'!$I$4=Menus!$A$2,"(W/m²)","(W/ft²)"))</f>
        <v>Peak Electrical Load Intensity (W/ft²)</v>
      </c>
      <c r="BO1" s="187" t="s">
        <v>127</v>
      </c>
      <c r="BP1" s="178" t="str">
        <f>_xlfn.CONCAT("Conditioned Floor Area ",IF('Project Info'!$I$4=Menus!$A$2,"(m²)","(ft²)"))</f>
        <v>Conditioned Floor Area (ft²)</v>
      </c>
      <c r="BQ1" s="178" t="str">
        <f>_xlfn.CONCAT("Total Floor Area ",IF('Project Info'!$I$4=Menus!$A$2,"(m²)","(ft²)"))</f>
        <v>Total Floor Area (ft²)</v>
      </c>
      <c r="BR1" s="178" t="str">
        <f>_xlfn.CONCAT("Gross Wall Area ",IF('Project Info'!$I$4=Menus!$A$2,"(m²)","(ft²)"))</f>
        <v>Gross Wall Area (ft²)</v>
      </c>
      <c r="BS1" s="178" t="str">
        <f>_xlfn.CONCAT("Above Ground Gross Wall Area ",IF('Project Info'!$I$4=Menus!$A$2,"(m²)","(ft²)"))</f>
        <v>Above Ground Gross Wall Area (ft²)</v>
      </c>
      <c r="BT1" s="178" t="str">
        <f>_xlfn.CONCAT("Above Ground North Wall Area ",IF('Project Info'!$I$4=Menus!$A$2,"(m²)","(ft²)"))</f>
        <v>Above Ground North Wall Area (ft²)</v>
      </c>
      <c r="BU1" s="178" t="str">
        <f>_xlfn.CONCAT("Above Ground East Wall Area ",IF('Project Info'!$I$4=Menus!$A$2,"(m²)","(ft²)"))</f>
        <v>Above Ground East Wall Area (ft²)</v>
      </c>
      <c r="BV1" s="178" t="str">
        <f>_xlfn.CONCAT("Above Ground South Wall Area ",IF('Project Info'!$I$4=Menus!$A$2,"(m²)","(ft²)"))</f>
        <v>Above Ground South Wall Area (ft²)</v>
      </c>
      <c r="BW1" s="178" t="str">
        <f>_xlfn.CONCAT("Above Ground East Wall Area ",IF('Project Info'!$I$4=Menus!$A$2,"(m²)","(ft²)"))</f>
        <v>Above Ground East Wall Area (ft²)</v>
      </c>
      <c r="BX1" s="179" t="s">
        <v>128</v>
      </c>
      <c r="BY1" s="179" t="s">
        <v>129</v>
      </c>
      <c r="BZ1" s="179" t="s">
        <v>130</v>
      </c>
      <c r="CA1" s="179" t="s">
        <v>131</v>
      </c>
      <c r="CB1" s="179" t="s">
        <v>132</v>
      </c>
      <c r="CC1" s="179" t="s">
        <v>133</v>
      </c>
      <c r="CD1" s="179" t="s">
        <v>134</v>
      </c>
      <c r="CE1" s="179" t="s">
        <v>135</v>
      </c>
      <c r="CF1" s="179" t="s">
        <v>136</v>
      </c>
      <c r="CG1" s="178" t="str">
        <f>_xlfn.CONCAT("Gross Roof Area ",IF('Project Info'!$I$4=Menus!$A$2,"(m²)","(ft²)"))</f>
        <v>Gross Roof Area (ft²)</v>
      </c>
      <c r="CH1" s="179" t="s">
        <v>137</v>
      </c>
      <c r="CI1" s="178" t="s">
        <v>138</v>
      </c>
      <c r="CJ1" s="178" t="s">
        <v>139</v>
      </c>
      <c r="CK1" s="178" t="s">
        <v>140</v>
      </c>
      <c r="CL1" s="179" t="s">
        <v>141</v>
      </c>
      <c r="CM1" s="179" t="s">
        <v>142</v>
      </c>
      <c r="CN1" s="179" t="s">
        <v>143</v>
      </c>
      <c r="CO1" s="179" t="s">
        <v>144</v>
      </c>
      <c r="CP1" s="179" t="s">
        <v>145</v>
      </c>
      <c r="CQ1" s="179" t="s">
        <v>146</v>
      </c>
      <c r="CR1" s="179" t="s">
        <v>147</v>
      </c>
      <c r="CS1" s="179" t="s">
        <v>148</v>
      </c>
      <c r="CT1" s="179" t="str">
        <f>_xlfn.CONCAT("Vertical Weighted U-Value ",IF('Project Info'!$D$7=Menus!$C$2,"(W/m²·K)","(Btu/h·ft²·F)"))</f>
        <v>Vertical Weighted U-Value (Btu/h·ft²·F)</v>
      </c>
      <c r="CU1" s="179" t="str">
        <f>_xlfn.CONCAT("Vertical Weighted R-Value ",IF('Project Info'!$D$7=Menus!$C$2,"(m²·K/W)","(ft²·h·F/Btu )"))</f>
        <v>Vertical Weighted R-Value (ft²·h·F/Btu )</v>
      </c>
      <c r="CV1" s="179" t="str">
        <f>_xlfn.CONCAT("Wall U-Value ",IF('Project Info'!$D$7=Menus!$C$2,"(W/m²·K)","(Btu/h·ft²·F)"))</f>
        <v>Wall U-Value (Btu/h·ft²·F)</v>
      </c>
      <c r="CW1" s="179" t="str">
        <f>_xlfn.CONCAT("Wall 2 U-Value ",IF('Project Info'!$D$7=Menus!$C$2,"(W/m²·K)","(Btu/h·ft²·F)"))</f>
        <v>Wall 2 U-Value (Btu/h·ft²·F)</v>
      </c>
      <c r="CX1" s="179" t="str">
        <f>_xlfn.CONCAT("Roof U-Value ",IF('Project Info'!$D$7=Menus!$C$2,"(W/m²·K)","(Btu/h·ft²·F)"))</f>
        <v>Roof U-Value (Btu/h·ft²·F)</v>
      </c>
      <c r="CY1" s="179" t="str">
        <f>_xlfn.CONCAT("Exposed Floor U-Value ",IF('Project Info'!$D$7=Menus!$C$2,"(W/m²·K)","(Btu/h·ft²·F)"))</f>
        <v>Exposed Floor U-Value (Btu/h·ft²·F)</v>
      </c>
      <c r="CZ1" s="179" t="str">
        <f>_xlfn.CONCAT("Slab on Grade U-Value ",IF('Project Info'!$D$7=Menus!$C$2,"(W/m²·K)","(Btu/h·ft²·F)"))</f>
        <v>Slab on Grade U-Value (Btu/h·ft²·F)</v>
      </c>
      <c r="DA1" s="179" t="str">
        <f>_xlfn.CONCAT("Assembly U-Value ",IF('Project Info'!$D$7=Menus!$C$2,"(W/m²·K)","(Btu/h·ft²·F)"))</f>
        <v>Assembly U-Value (Btu/h·ft²·F)</v>
      </c>
      <c r="DB1" s="179" t="str">
        <f>_xlfn.CONCAT("Glass U-Value ",IF('Project Info'!$D$7=Menus!$C$2,"(W/m²·K)","(Btu/h·ft²·F)"))</f>
        <v>Glass U-Value (Btu/h·ft²·F)</v>
      </c>
      <c r="DC1" s="179" t="s">
        <v>149</v>
      </c>
      <c r="DD1" s="179" t="s">
        <v>150</v>
      </c>
      <c r="DE1" s="179" t="s">
        <v>151</v>
      </c>
      <c r="DF1" s="179" t="str">
        <f>_xlfn.CONCAT("Infiltration Rate ",IF('Project Info'!$D$7=Menus!$C$2,"(m³/s/m² façade)","(CFM/ft² facade)"))</f>
        <v>Infiltration Rate (CFM/ft² facade)</v>
      </c>
      <c r="DG1" s="179" t="str">
        <f>_xlfn.CONCAT("Lighting Power Density ",IF('Project Info'!$D$7=Menus!$C$2,"(W/m²)","(W/ft²)"))</f>
        <v>Lighting Power Density (W/ft²)</v>
      </c>
      <c r="DH1" s="179" t="str">
        <f>_xlfn.CONCAT("Conditioned Lighting Power Density ",IF('Project Info'!$D$7=Menus!$C$2,"(W/m²)","(W/ft²)"))</f>
        <v>Conditioned Lighting Power Density (W/ft²)</v>
      </c>
      <c r="DI1" s="179" t="str">
        <f>_xlfn.CONCAT("Occupant Density ",IF('Project Info'!$D$7=Menus!$C$2,"(m/person²)","(ft²/person)"))</f>
        <v>Occupant Density (ft²/person)</v>
      </c>
      <c r="DJ1" s="179" t="str">
        <f>_xlfn.CONCAT("Conditioned Occupant Density ",IF('Project Info'!$D$7=Menus!$C$2,"(m/person²)","(ft²/person)"))</f>
        <v>Conditioned Occupant Density (ft²/person)</v>
      </c>
      <c r="DK1" s="179" t="str">
        <f>_xlfn.CONCAT("Equipment Power Density ",IF('Project Info'!$D$7=Menus!$C$2,"(W/m²)","(W/ft²)"))</f>
        <v>Equipment Power Density (W/ft²)</v>
      </c>
      <c r="DL1" s="179" t="str">
        <f>_xlfn.CONCAT("Conditioned Equipment Power Density ",IF('Project Info'!$D$7=Menus!$C$2,"(W/m²)","(W/ft²)"))</f>
        <v>Conditioned Equipment Power Density (W/ft²)</v>
      </c>
      <c r="DM1" s="179" t="str">
        <f>_xlfn.CONCAT("Total Ventilation Air Flow Rate ",IF('Project Info'!$D$7=Menus!$C$2,"(m²/s)","(CFM)"))</f>
        <v>Total Ventilation Air Flow Rate (CFM)</v>
      </c>
      <c r="DN1" s="179" t="str">
        <f>_xlfn.CONCAT("Ventilation Air Flow Rate per Area ",IF('Project Info'!$D$7=Menus!$C$2,"(m3/s/m²)","(CFM/ft²)"))</f>
        <v>Ventilation Air Flow Rate per Area (CFM/ft²)</v>
      </c>
      <c r="DO1" s="179" t="str">
        <f>_xlfn.CONCAT("Total Heating Airflow Rate ",IF('Project Info'!$D$7=Menus!$C$2,"(m²/s)","(CFM)"))</f>
        <v>Total Heating Airflow Rate (CFM)</v>
      </c>
      <c r="DP1" s="179" t="str">
        <f>_xlfn.CONCAT("Heating Airflow Rate per Area ",IF('Project Info'!$D$7=Menus!$C$2,"(m3/s/m²)","(CFM/ft²)"))</f>
        <v>Heating Airflow Rate per Area (CFM/ft²)</v>
      </c>
      <c r="DQ1" s="179" t="str">
        <f>_xlfn.CONCAT("Total Cooling Airflow Rate ",IF('Project Info'!$D$7=Menus!$C$2,"(m²/s)","(CFM)"))</f>
        <v>Total Cooling Airflow Rate (CFM)</v>
      </c>
      <c r="DR1" s="179" t="str">
        <f>_xlfn.CONCAT("Cooling Airflow Rate per Area ",IF('Project Info'!$D$7=Menus!$C$2,"(m3/s/m²)","(CFM/ft²)"))</f>
        <v>Cooling Airflow Rate per Area (CFM/ft²)</v>
      </c>
      <c r="DS1" s="179" t="s">
        <v>152</v>
      </c>
      <c r="DT1" s="179" t="s">
        <v>153</v>
      </c>
      <c r="DU1" s="179" t="s">
        <v>154</v>
      </c>
      <c r="DV1" s="179" t="s">
        <v>155</v>
      </c>
      <c r="DW1" s="179" t="s">
        <v>156</v>
      </c>
      <c r="DX1" s="179" t="s">
        <v>157</v>
      </c>
      <c r="DY1" s="179" t="s">
        <v>158</v>
      </c>
      <c r="DZ1" s="179" t="s">
        <v>159</v>
      </c>
      <c r="EA1" s="179" t="s">
        <v>160</v>
      </c>
      <c r="EB1" s="179" t="s">
        <v>161</v>
      </c>
    </row>
    <row r="2" spans="1:132" s="4" customFormat="1">
      <c r="A2" s="4" t="s">
        <v>468</v>
      </c>
      <c r="B2" s="4" t="s">
        <v>462</v>
      </c>
      <c r="C2" s="4" t="s">
        <v>463</v>
      </c>
      <c r="D2" s="4" t="s">
        <v>464</v>
      </c>
      <c r="E2" s="4" t="s">
        <v>369</v>
      </c>
      <c r="F2" s="20">
        <v>105</v>
      </c>
      <c r="G2" s="20">
        <v>547</v>
      </c>
      <c r="H2" s="20">
        <v>689500</v>
      </c>
      <c r="I2" s="92">
        <v>50.505000000000003</v>
      </c>
      <c r="J2" s="20">
        <v>689470.51699999999</v>
      </c>
      <c r="K2" s="20">
        <v>0</v>
      </c>
      <c r="L2" s="20">
        <v>0</v>
      </c>
      <c r="M2" s="20">
        <v>0</v>
      </c>
      <c r="N2" s="20">
        <v>0</v>
      </c>
      <c r="O2" s="20">
        <v>38337.231999999996</v>
      </c>
      <c r="P2" s="20">
        <v>0</v>
      </c>
      <c r="Q2" s="20">
        <v>0</v>
      </c>
      <c r="R2" s="20">
        <v>0</v>
      </c>
      <c r="S2" s="20">
        <v>142882.61800000002</v>
      </c>
      <c r="T2" s="20">
        <v>0</v>
      </c>
      <c r="U2" s="20">
        <v>153372.81200000001</v>
      </c>
      <c r="V2" s="20">
        <v>0</v>
      </c>
      <c r="W2" s="20">
        <v>180081.948</v>
      </c>
      <c r="X2" s="20">
        <v>0</v>
      </c>
      <c r="Y2" s="20">
        <v>0</v>
      </c>
      <c r="Z2" s="20">
        <v>0</v>
      </c>
      <c r="AA2" s="20">
        <v>174795.90700000001</v>
      </c>
      <c r="AB2" s="20">
        <v>0</v>
      </c>
      <c r="AC2" s="20">
        <v>0</v>
      </c>
      <c r="AD2" s="20">
        <v>0</v>
      </c>
      <c r="AE2" s="20">
        <v>0</v>
      </c>
      <c r="AF2" s="20">
        <v>0</v>
      </c>
      <c r="AG2" s="20">
        <v>0</v>
      </c>
      <c r="AH2" s="20">
        <v>0</v>
      </c>
      <c r="AI2" s="20">
        <v>0</v>
      </c>
      <c r="AJ2" s="20">
        <v>0</v>
      </c>
      <c r="AK2" s="20">
        <v>0</v>
      </c>
      <c r="AL2" s="20">
        <v>0</v>
      </c>
      <c r="AM2" s="20">
        <v>0</v>
      </c>
      <c r="AN2" s="20">
        <v>0</v>
      </c>
      <c r="AO2" s="20">
        <v>0</v>
      </c>
      <c r="AP2" s="20">
        <v>0</v>
      </c>
      <c r="AQ2" s="20">
        <v>0</v>
      </c>
      <c r="AR2" s="20">
        <v>0</v>
      </c>
      <c r="AS2" s="191">
        <v>26967.79</v>
      </c>
      <c r="AT2" s="93">
        <v>1.9753728391444478</v>
      </c>
      <c r="AU2" s="93">
        <v>3.6342321219226259E-2</v>
      </c>
      <c r="AV2" s="93">
        <v>0</v>
      </c>
      <c r="AW2" s="93">
        <v>0</v>
      </c>
      <c r="AX2" s="93">
        <v>0</v>
      </c>
      <c r="AY2" s="93">
        <v>0</v>
      </c>
      <c r="AZ2" s="20">
        <v>81637.189000000013</v>
      </c>
      <c r="BA2" s="102">
        <v>5.9798702754175226</v>
      </c>
      <c r="BB2" s="119">
        <v>0.11840562719812428</v>
      </c>
      <c r="BC2" s="119">
        <v>5.2999999999999999E-2</v>
      </c>
      <c r="BD2" s="119">
        <v>0</v>
      </c>
      <c r="BE2" s="119">
        <v>0</v>
      </c>
      <c r="BF2" s="119">
        <v>0</v>
      </c>
      <c r="BG2" s="92">
        <v>410</v>
      </c>
      <c r="BH2" s="92">
        <v>30</v>
      </c>
      <c r="BI2" s="120"/>
      <c r="BJ2" s="101">
        <v>300</v>
      </c>
      <c r="BK2" s="92">
        <v>22</v>
      </c>
      <c r="BL2" s="120"/>
      <c r="BM2" s="20">
        <v>53000</v>
      </c>
      <c r="BN2" s="94">
        <v>3.9</v>
      </c>
      <c r="BO2" s="94"/>
      <c r="BP2" s="20">
        <v>13652</v>
      </c>
      <c r="BQ2" s="20">
        <v>21103</v>
      </c>
      <c r="BR2" s="20">
        <v>11729</v>
      </c>
      <c r="BS2" s="20">
        <v>11729</v>
      </c>
      <c r="BT2" s="20">
        <v>2721</v>
      </c>
      <c r="BU2" s="20">
        <v>2651</v>
      </c>
      <c r="BV2" s="20">
        <v>3382</v>
      </c>
      <c r="BW2" s="20">
        <v>2975</v>
      </c>
      <c r="BX2">
        <v>8.1999999999999993</v>
      </c>
      <c r="BY2">
        <v>10.4</v>
      </c>
      <c r="BZ2">
        <v>5.0999999999999996</v>
      </c>
      <c r="CA2">
        <v>5.2</v>
      </c>
      <c r="CB2" s="4">
        <v>7.05</v>
      </c>
      <c r="CC2" s="4">
        <v>8.2322675486953329</v>
      </c>
      <c r="CD2" s="4">
        <v>10.448887212372689</v>
      </c>
      <c r="CE2" s="4">
        <v>5.0561797752808983</v>
      </c>
      <c r="CF2" s="4">
        <v>5.2100840336134455</v>
      </c>
      <c r="CG2" s="20">
        <v>15695</v>
      </c>
      <c r="CH2" s="20">
        <v>0</v>
      </c>
      <c r="CI2" s="102">
        <v>0.85914151772634051</v>
      </c>
      <c r="CJ2" s="102">
        <v>1.1496484031643714</v>
      </c>
      <c r="CK2" s="102">
        <v>2.0087899208907118</v>
      </c>
      <c r="CL2" t="s">
        <v>273</v>
      </c>
      <c r="CM2">
        <v>0</v>
      </c>
      <c r="CN2" t="s">
        <v>273</v>
      </c>
      <c r="CO2">
        <v>0</v>
      </c>
      <c r="CP2" t="s">
        <v>273</v>
      </c>
      <c r="CQ2">
        <v>0</v>
      </c>
      <c r="CR2" t="s">
        <v>273</v>
      </c>
      <c r="CS2">
        <v>0</v>
      </c>
      <c r="CT2" s="4">
        <v>7.8081592633643102E-2</v>
      </c>
      <c r="CU2" s="94">
        <v>12.807115816553273</v>
      </c>
      <c r="CV2" s="4">
        <v>4.6000000000000006E-2</v>
      </c>
      <c r="CW2">
        <v>0</v>
      </c>
      <c r="CX2" s="4">
        <v>2.6000000000000006E-2</v>
      </c>
      <c r="CY2">
        <v>3.7999999999999999E-2</v>
      </c>
      <c r="CZ2" s="4">
        <v>4.1000000000000009E-2</v>
      </c>
      <c r="DA2" s="4">
        <v>3.4197917058314854E-2</v>
      </c>
      <c r="DB2" s="4">
        <v>0.50099999999999989</v>
      </c>
      <c r="DC2" s="4">
        <v>0.40100000000000002</v>
      </c>
      <c r="DD2" s="4">
        <v>0.442</v>
      </c>
      <c r="DE2" s="94">
        <v>1.1022443890274314</v>
      </c>
      <c r="DF2" s="4">
        <v>0</v>
      </c>
      <c r="DG2" s="94">
        <v>0.45</v>
      </c>
      <c r="DH2" s="94">
        <v>0.45</v>
      </c>
      <c r="DI2" s="94">
        <v>109.2</v>
      </c>
      <c r="DJ2" s="94">
        <v>109.2</v>
      </c>
      <c r="DK2" s="94">
        <v>0.69</v>
      </c>
      <c r="DL2" s="94">
        <v>0.69</v>
      </c>
      <c r="DM2" s="20">
        <v>1550</v>
      </c>
      <c r="DN2" s="4">
        <v>0.114</v>
      </c>
      <c r="DO2" s="4">
        <v>4082</v>
      </c>
      <c r="DP2" s="4">
        <v>0.29899999999999999</v>
      </c>
      <c r="DQ2" s="4">
        <v>8767</v>
      </c>
      <c r="DR2" s="4">
        <v>0.64200000000000002</v>
      </c>
      <c r="DS2" s="4">
        <v>0</v>
      </c>
      <c r="DT2" s="4">
        <v>0</v>
      </c>
      <c r="DU2">
        <v>0</v>
      </c>
      <c r="DV2">
        <v>0</v>
      </c>
      <c r="DW2">
        <v>0</v>
      </c>
      <c r="DX2">
        <v>0</v>
      </c>
      <c r="DY2" s="4">
        <v>0</v>
      </c>
      <c r="DZ2" s="4">
        <v>0</v>
      </c>
      <c r="EA2" s="4">
        <v>0</v>
      </c>
      <c r="EB2">
        <v>0</v>
      </c>
    </row>
  </sheetData>
  <sheetProtection selectLockedCells="1"/>
  <phoneticPr fontId="46"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636C8-FF3E-49BE-960E-674D041C6660}">
  <sheetPr>
    <tabColor theme="0" tint="-0.14999847407452621"/>
  </sheetPr>
  <dimension ref="A1:AA61"/>
  <sheetViews>
    <sheetView showGridLines="0" topLeftCell="A4" workbookViewId="0">
      <selection activeCell="C10" sqref="C10:D10"/>
    </sheetView>
  </sheetViews>
  <sheetFormatPr defaultColWidth="9.109375" defaultRowHeight="15"/>
  <cols>
    <col min="1" max="1" width="3.5546875" style="1" customWidth="1"/>
    <col min="2" max="2" width="12.5546875" style="1" customWidth="1"/>
    <col min="3" max="27" width="9.5546875" style="1" customWidth="1"/>
    <col min="28" max="28" width="10.5546875" style="1" customWidth="1"/>
    <col min="29" max="16384" width="9.109375" style="1"/>
  </cols>
  <sheetData>
    <row r="1" spans="1:27">
      <c r="A1" s="76" t="s">
        <v>164</v>
      </c>
      <c r="B1" s="77"/>
      <c r="C1" s="77"/>
      <c r="D1" s="77"/>
      <c r="E1" s="77"/>
      <c r="F1" s="77"/>
      <c r="G1" s="77"/>
      <c r="H1" s="77"/>
      <c r="I1" s="77"/>
      <c r="J1" s="77"/>
      <c r="K1" s="77"/>
      <c r="L1" s="77"/>
      <c r="M1" s="77"/>
      <c r="N1" s="77"/>
      <c r="O1" s="77"/>
      <c r="P1" s="77"/>
      <c r="Q1" s="77"/>
      <c r="R1" s="77"/>
      <c r="S1" s="77"/>
      <c r="T1" s="77"/>
      <c r="U1" s="77"/>
      <c r="V1" s="77"/>
      <c r="W1" s="77"/>
      <c r="X1" s="77"/>
      <c r="Y1" s="77"/>
      <c r="Z1" s="77"/>
      <c r="AA1" s="77"/>
    </row>
    <row r="3" spans="1:27" ht="15.6" thickBot="1">
      <c r="B3" s="63" t="s">
        <v>1</v>
      </c>
      <c r="C3" s="63"/>
      <c r="D3" s="63"/>
      <c r="E3" s="63"/>
      <c r="F3" s="63"/>
      <c r="G3" s="63"/>
      <c r="H3" s="63"/>
      <c r="I3" s="63"/>
      <c r="J3" s="63"/>
      <c r="K3" s="63"/>
      <c r="L3" s="63"/>
      <c r="M3" s="63"/>
      <c r="N3" s="63"/>
      <c r="O3" s="63"/>
      <c r="P3" s="63"/>
      <c r="Q3" s="63"/>
      <c r="R3" s="63"/>
      <c r="S3" s="63"/>
      <c r="T3" s="63"/>
      <c r="U3" s="63"/>
      <c r="V3" s="63"/>
      <c r="W3" s="63"/>
      <c r="X3" s="63"/>
      <c r="Y3" s="63"/>
      <c r="Z3" s="63"/>
      <c r="AA3" s="63"/>
    </row>
    <row r="4" spans="1:27" ht="15.75" customHeight="1">
      <c r="B4" s="214" t="s">
        <v>165</v>
      </c>
      <c r="C4" s="214"/>
      <c r="D4" s="214"/>
      <c r="E4" s="214"/>
      <c r="F4" s="214"/>
      <c r="G4" s="214"/>
      <c r="H4" s="214"/>
      <c r="I4" s="214"/>
      <c r="J4" s="214"/>
      <c r="K4" s="214"/>
      <c r="L4" s="214"/>
      <c r="M4" s="214"/>
      <c r="N4" s="214"/>
      <c r="O4" s="214"/>
      <c r="P4" s="214"/>
      <c r="Q4" s="214"/>
      <c r="R4" s="214"/>
      <c r="S4" s="214"/>
      <c r="T4" s="214"/>
      <c r="U4" s="214"/>
      <c r="V4" s="214"/>
      <c r="W4" s="214"/>
      <c r="X4" s="214"/>
      <c r="Y4" s="214"/>
      <c r="Z4" s="214"/>
      <c r="AA4" s="214"/>
    </row>
    <row r="5" spans="1:27">
      <c r="B5" s="214"/>
      <c r="C5" s="214"/>
      <c r="D5" s="214"/>
      <c r="E5" s="214"/>
      <c r="F5" s="214"/>
      <c r="G5" s="214"/>
      <c r="H5" s="214"/>
      <c r="I5" s="214"/>
      <c r="J5" s="214"/>
      <c r="K5" s="214"/>
      <c r="L5" s="214"/>
      <c r="M5" s="214"/>
      <c r="N5" s="214"/>
      <c r="O5" s="214"/>
      <c r="P5" s="214"/>
      <c r="Q5" s="214"/>
      <c r="R5" s="214"/>
      <c r="S5" s="214"/>
      <c r="T5" s="214"/>
      <c r="U5" s="214"/>
      <c r="V5" s="214"/>
      <c r="W5" s="214"/>
      <c r="X5" s="214"/>
      <c r="Y5" s="214"/>
      <c r="Z5" s="214"/>
      <c r="AA5" s="214"/>
    </row>
    <row r="6" spans="1:27">
      <c r="C6" s="48"/>
      <c r="D6" s="48"/>
      <c r="F6" s="3"/>
      <c r="G6" s="3"/>
      <c r="H6" s="3"/>
      <c r="I6" s="3"/>
      <c r="J6" s="3"/>
      <c r="K6" s="3"/>
      <c r="L6" s="3"/>
      <c r="M6" s="3"/>
      <c r="N6" s="3"/>
      <c r="O6" s="3"/>
      <c r="P6" s="3"/>
      <c r="T6" s="6"/>
    </row>
    <row r="7" spans="1:27">
      <c r="B7" s="30" t="str">
        <f>IF($C$10=Menus!$I$2,$A$1,_xlfn.CONCAT($A$1," 0° Rotation"))</f>
        <v>LEED Baseline Results Worksheet 0° Rotation</v>
      </c>
      <c r="C7" s="30"/>
      <c r="D7" s="30"/>
      <c r="E7" s="30"/>
      <c r="F7" s="30"/>
      <c r="G7" s="30"/>
      <c r="H7" s="30"/>
      <c r="I7" s="30"/>
      <c r="J7" s="30"/>
      <c r="K7" s="30"/>
      <c r="L7" s="30"/>
      <c r="M7" s="30"/>
      <c r="N7" s="30"/>
      <c r="O7" s="30"/>
      <c r="P7" s="30"/>
      <c r="Q7" s="30"/>
      <c r="R7" s="30"/>
      <c r="S7" s="30"/>
      <c r="T7" s="30"/>
      <c r="U7" s="30"/>
      <c r="V7" s="30"/>
      <c r="W7" s="30"/>
      <c r="X7" s="30"/>
      <c r="Y7" s="30"/>
      <c r="Z7" s="30"/>
      <c r="AA7" s="30"/>
    </row>
    <row r="9" spans="1:27" ht="15.6" thickBot="1">
      <c r="A9" s="3"/>
      <c r="B9" s="85" t="str">
        <f>IF(AND(C10=Menus!$I$3,OR(Z24=0,Z38=0,Z52=0)),"Missing baseline rotations. Set to '"&amp;Menus!$I$2&amp;"'"," ")</f>
        <v xml:space="preserve"> </v>
      </c>
      <c r="F9" s="3"/>
      <c r="G9" s="63" t="s">
        <v>166</v>
      </c>
      <c r="H9" s="63"/>
      <c r="I9" s="63" t="s">
        <v>167</v>
      </c>
      <c r="J9" s="63"/>
      <c r="K9" s="63"/>
      <c r="L9" s="63"/>
      <c r="M9" s="63"/>
      <c r="N9" s="63"/>
      <c r="O9" s="63" t="s">
        <v>118</v>
      </c>
      <c r="P9" s="63"/>
      <c r="R9" s="63" t="s">
        <v>168</v>
      </c>
      <c r="S9" s="63"/>
      <c r="T9" s="63"/>
      <c r="Y9" s="63" t="s">
        <v>169</v>
      </c>
      <c r="Z9" s="63"/>
      <c r="AA9" s="63"/>
    </row>
    <row r="10" spans="1:27">
      <c r="B10" s="4" t="s">
        <v>170</v>
      </c>
      <c r="C10" s="218"/>
      <c r="D10" s="219"/>
      <c r="F10" s="49" t="s">
        <v>172</v>
      </c>
      <c r="G10" s="98" t="str">
        <f>'BL Data'!A2</f>
        <v>ASHRAE 90.1-2010 Baseline 0°</v>
      </c>
      <c r="H10" s="98"/>
      <c r="I10" s="98" t="str">
        <f>'BL Data'!B2</f>
        <v>Casa De Amparo_v4z 1.pdf</v>
      </c>
      <c r="J10" s="98"/>
      <c r="K10" s="98"/>
      <c r="L10" s="98"/>
      <c r="M10" s="98"/>
      <c r="N10" s="98"/>
      <c r="O10" s="99" t="str">
        <f>'BL Data'!C2</f>
        <v>Jun 11, 2026 - 10:50 PM</v>
      </c>
      <c r="P10" s="100"/>
      <c r="R10" s="91">
        <f>'BL Data'!BM2/1000</f>
        <v>49</v>
      </c>
      <c r="S10" s="4" t="s">
        <v>173</v>
      </c>
      <c r="Y10" s="4" t="s">
        <v>174</v>
      </c>
      <c r="Z10" s="91">
        <f>SUM(C19:AA19)</f>
        <v>693171.68399999989</v>
      </c>
      <c r="AA10" s="105" t="str">
        <f>'Project Info'!$I$5</f>
        <v>kBtu</v>
      </c>
    </row>
    <row r="11" spans="1:27">
      <c r="B11" s="4" t="s">
        <v>175</v>
      </c>
      <c r="C11" s="91">
        <f>IFERROR(IF(ISBLANK('Project Info'!$D$7),'BL Data'!BP2,'Project Info'!$D$7),0)</f>
        <v>13652</v>
      </c>
      <c r="D11" s="105" t="str">
        <f>IF($I$11="SI","m²","ft²")</f>
        <v>ft²</v>
      </c>
      <c r="F11" s="49" t="s">
        <v>176</v>
      </c>
      <c r="G11" s="86" t="s">
        <v>162</v>
      </c>
      <c r="H11" s="86"/>
      <c r="I11" s="86"/>
      <c r="J11" s="86"/>
      <c r="K11" s="86"/>
      <c r="L11" s="86"/>
      <c r="M11" s="86"/>
      <c r="N11" s="86"/>
      <c r="O11" s="86"/>
      <c r="P11" s="86"/>
      <c r="R11" s="89"/>
      <c r="S11" s="4" t="s">
        <v>173</v>
      </c>
      <c r="Z11" s="103">
        <f>IFERROR(Z10/$C$11,0)</f>
        <v>50.77436888368004</v>
      </c>
      <c r="AA11" s="105" t="str">
        <f>IF('Project Info'!$I$4=Menus!$A$2,"kWh/m²","kBtu/ft²")</f>
        <v>kBtu/ft²</v>
      </c>
    </row>
    <row r="12" spans="1:27">
      <c r="F12" s="49" t="s">
        <v>177</v>
      </c>
      <c r="G12" s="98" t="str">
        <f>IF(ISBLANK(G11),IF(G10=0,"LEED Baseline",G10),G11)</f>
        <v>LEED Baseline</v>
      </c>
      <c r="H12" s="98"/>
      <c r="I12" s="98" t="str">
        <f>IF(ISBLANK(I11),I10,I11)</f>
        <v>Casa De Amparo_v4z 1.pdf</v>
      </c>
      <c r="J12" s="98"/>
      <c r="K12" s="98"/>
      <c r="L12" s="98"/>
      <c r="M12" s="98"/>
      <c r="N12" s="98"/>
      <c r="O12" s="98" t="str">
        <f>IF(ISBLANK(O11),O10,O11)</f>
        <v>Jun 11, 2026 - 10:50 PM</v>
      </c>
      <c r="P12" s="98"/>
      <c r="R12" s="91">
        <f>IF(ISBLANK(R11),R10,R11)</f>
        <v>49</v>
      </c>
      <c r="S12" s="4" t="s">
        <v>173</v>
      </c>
    </row>
    <row r="13" spans="1:27">
      <c r="B13" s="3"/>
      <c r="C13" s="3"/>
      <c r="D13" s="3"/>
      <c r="E13" s="3"/>
      <c r="F13" s="3"/>
      <c r="G13" s="3"/>
      <c r="H13" s="3"/>
      <c r="I13" s="3"/>
      <c r="J13" s="3"/>
      <c r="K13" s="3"/>
      <c r="L13" s="3"/>
      <c r="M13" s="3"/>
      <c r="N13" s="3"/>
      <c r="O13" s="3"/>
      <c r="P13" s="3"/>
      <c r="T13" s="6"/>
    </row>
    <row r="14" spans="1:27" ht="41.4">
      <c r="A14" s="2"/>
      <c r="B14" s="4" t="s">
        <v>178</v>
      </c>
      <c r="C14" s="227" t="s">
        <v>179</v>
      </c>
      <c r="D14" s="228"/>
      <c r="E14" s="228"/>
      <c r="F14" s="228"/>
      <c r="G14" s="227" t="s">
        <v>180</v>
      </c>
      <c r="H14" s="228"/>
      <c r="I14" s="32" t="s">
        <v>181</v>
      </c>
      <c r="J14" s="32" t="s">
        <v>182</v>
      </c>
      <c r="K14" s="225" t="s">
        <v>183</v>
      </c>
      <c r="L14" s="226"/>
      <c r="M14" s="229"/>
      <c r="N14" s="32" t="s">
        <v>184</v>
      </c>
      <c r="O14" s="32" t="s">
        <v>185</v>
      </c>
      <c r="P14" s="32" t="s">
        <v>186</v>
      </c>
      <c r="Q14" s="32" t="s">
        <v>187</v>
      </c>
      <c r="R14" s="54" t="s">
        <v>188</v>
      </c>
      <c r="S14" s="54" t="s">
        <v>189</v>
      </c>
      <c r="T14" s="225" t="s">
        <v>190</v>
      </c>
      <c r="U14" s="226"/>
      <c r="V14" s="226"/>
      <c r="W14" s="226"/>
      <c r="X14" s="54" t="s">
        <v>191</v>
      </c>
      <c r="Y14" s="33" t="s">
        <v>192</v>
      </c>
      <c r="Z14" s="34">
        <f>'Project Info'!$I$10</f>
        <v>0</v>
      </c>
      <c r="AA14" s="34">
        <f>'Project Info'!$J$10</f>
        <v>0</v>
      </c>
    </row>
    <row r="15" spans="1:27">
      <c r="A15" s="7"/>
      <c r="B15" s="4" t="s">
        <v>193</v>
      </c>
      <c r="C15" s="18" t="s">
        <v>59</v>
      </c>
      <c r="D15" s="18" t="s">
        <v>60</v>
      </c>
      <c r="E15" s="18" t="s">
        <v>194</v>
      </c>
      <c r="F15" s="18" t="s">
        <v>103</v>
      </c>
      <c r="G15" s="18" t="s">
        <v>59</v>
      </c>
      <c r="H15" s="18" t="s">
        <v>102</v>
      </c>
      <c r="I15" s="18" t="s">
        <v>59</v>
      </c>
      <c r="J15" s="18" t="s">
        <v>59</v>
      </c>
      <c r="K15" s="18" t="s">
        <v>59</v>
      </c>
      <c r="L15" s="18" t="s">
        <v>60</v>
      </c>
      <c r="M15" s="18" t="s">
        <v>194</v>
      </c>
      <c r="N15" s="18" t="s">
        <v>59</v>
      </c>
      <c r="O15" s="18" t="s">
        <v>59</v>
      </c>
      <c r="P15" s="18" t="s">
        <v>59</v>
      </c>
      <c r="Q15" s="18" t="s">
        <v>59</v>
      </c>
      <c r="R15" s="18" t="s">
        <v>59</v>
      </c>
      <c r="S15" s="18" t="s">
        <v>59</v>
      </c>
      <c r="T15" s="18" t="s">
        <v>59</v>
      </c>
      <c r="U15" s="18" t="s">
        <v>60</v>
      </c>
      <c r="V15" s="18" t="s">
        <v>194</v>
      </c>
      <c r="W15" s="18" t="s">
        <v>103</v>
      </c>
      <c r="X15" s="18" t="s">
        <v>59</v>
      </c>
      <c r="Y15" s="18" t="s">
        <v>59</v>
      </c>
      <c r="Z15" s="55" t="s">
        <v>59</v>
      </c>
      <c r="AA15" s="55" t="s">
        <v>59</v>
      </c>
    </row>
    <row r="16" spans="1:27">
      <c r="A16" s="7"/>
      <c r="B16" s="4" t="s">
        <v>195</v>
      </c>
      <c r="C16" s="128" t="str">
        <f>'Project Info'!$I$5</f>
        <v>kBtu</v>
      </c>
      <c r="D16" s="128" t="str">
        <f>'Project Info'!$I$5</f>
        <v>kBtu</v>
      </c>
      <c r="E16" s="128" t="str">
        <f>'Project Info'!$I$5</f>
        <v>kBtu</v>
      </c>
      <c r="F16" s="128" t="str">
        <f>'Project Info'!$I$5</f>
        <v>kBtu</v>
      </c>
      <c r="G16" s="128" t="str">
        <f>'Project Info'!$I$5</f>
        <v>kBtu</v>
      </c>
      <c r="H16" s="128" t="str">
        <f>'Project Info'!$I$5</f>
        <v>kBtu</v>
      </c>
      <c r="I16" s="128" t="str">
        <f>'Project Info'!$I$5</f>
        <v>kBtu</v>
      </c>
      <c r="J16" s="128" t="str">
        <f>'Project Info'!$I$5</f>
        <v>kBtu</v>
      </c>
      <c r="K16" s="128" t="str">
        <f>'Project Info'!$I$5</f>
        <v>kBtu</v>
      </c>
      <c r="L16" s="128" t="str">
        <f>'Project Info'!$I$5</f>
        <v>kBtu</v>
      </c>
      <c r="M16" s="128" t="str">
        <f>'Project Info'!$I$5</f>
        <v>kBtu</v>
      </c>
      <c r="N16" s="128" t="str">
        <f>'Project Info'!$I$5</f>
        <v>kBtu</v>
      </c>
      <c r="O16" s="128" t="str">
        <f>'Project Info'!$I$5</f>
        <v>kBtu</v>
      </c>
      <c r="P16" s="128" t="str">
        <f>'Project Info'!$I$5</f>
        <v>kBtu</v>
      </c>
      <c r="Q16" s="128" t="str">
        <f>'Project Info'!$I$5</f>
        <v>kBtu</v>
      </c>
      <c r="R16" s="128" t="str">
        <f>'Project Info'!$I$5</f>
        <v>kBtu</v>
      </c>
      <c r="S16" s="128" t="str">
        <f>'Project Info'!$I$5</f>
        <v>kBtu</v>
      </c>
      <c r="T16" s="128" t="str">
        <f>'Project Info'!$I$5</f>
        <v>kBtu</v>
      </c>
      <c r="U16" s="128" t="str">
        <f>'Project Info'!$I$5</f>
        <v>kBtu</v>
      </c>
      <c r="V16" s="128" t="str">
        <f>'Project Info'!$I$5</f>
        <v>kBtu</v>
      </c>
      <c r="W16" s="128" t="str">
        <f>'Project Info'!$I$5</f>
        <v>kBtu</v>
      </c>
      <c r="X16" s="128" t="str">
        <f>'Project Info'!$I$5</f>
        <v>kBtu</v>
      </c>
      <c r="Y16" s="128" t="str">
        <f>'Project Info'!$I$5</f>
        <v>kBtu</v>
      </c>
      <c r="Z16" s="128" t="str">
        <f>'Project Info'!$I$5</f>
        <v>kBtu</v>
      </c>
      <c r="AA16" s="128" t="str">
        <f>'Project Info'!$I$5</f>
        <v>kBtu</v>
      </c>
    </row>
    <row r="17" spans="1:27">
      <c r="A17" s="7"/>
      <c r="B17" s="4" t="s">
        <v>172</v>
      </c>
      <c r="C17" s="91">
        <f>'BL Data'!O2</f>
        <v>37501.292000000001</v>
      </c>
      <c r="D17" s="91">
        <f>'BL Data'!P2</f>
        <v>0</v>
      </c>
      <c r="E17" s="91">
        <f>'BL Data'!Q2</f>
        <v>0</v>
      </c>
      <c r="F17" s="91">
        <f>'BL Data'!R2</f>
        <v>0</v>
      </c>
      <c r="G17" s="91">
        <f>'BL Data'!S2</f>
        <v>145091.88800000001</v>
      </c>
      <c r="H17" s="91">
        <f>'BL Data'!T2</f>
        <v>0</v>
      </c>
      <c r="I17" s="91">
        <f>'BL Data'!U2</f>
        <v>153372.81200000001</v>
      </c>
      <c r="J17" s="91">
        <f>'BL Data'!V2</f>
        <v>0</v>
      </c>
      <c r="K17" s="91">
        <f>'BL Data'!W2</f>
        <v>180081.948</v>
      </c>
      <c r="L17" s="91">
        <f>'BL Data'!X2</f>
        <v>0</v>
      </c>
      <c r="M17" s="91">
        <f>'BL Data'!Y2</f>
        <v>0</v>
      </c>
      <c r="N17" s="91">
        <f>'BL Data'!Z2</f>
        <v>0</v>
      </c>
      <c r="O17" s="91">
        <f>'BL Data'!AA2</f>
        <v>177123.74400000001</v>
      </c>
      <c r="P17" s="91">
        <f>'BL Data'!AB2</f>
        <v>0</v>
      </c>
      <c r="Q17" s="91">
        <f>'BL Data'!AC2</f>
        <v>0</v>
      </c>
      <c r="R17" s="91">
        <f>'BL Data'!AD2</f>
        <v>0</v>
      </c>
      <c r="S17" s="91">
        <f>'BL Data'!AE2</f>
        <v>0</v>
      </c>
      <c r="T17" s="91">
        <f>'BL Data'!AF2</f>
        <v>0</v>
      </c>
      <c r="U17" s="91">
        <f>'BL Data'!AG2</f>
        <v>0</v>
      </c>
      <c r="V17" s="91">
        <f>'BL Data'!AH2</f>
        <v>0</v>
      </c>
      <c r="W17" s="91">
        <f>'BL Data'!AI2</f>
        <v>0</v>
      </c>
      <c r="X17" s="91">
        <f>'BL Data'!AJ2</f>
        <v>0</v>
      </c>
      <c r="Y17" s="91">
        <f>'BL Data'!AK2</f>
        <v>0</v>
      </c>
      <c r="Z17" s="91">
        <f>'BL Data'!AL2</f>
        <v>0</v>
      </c>
      <c r="AA17" s="91">
        <f>'BL Data'!AM2</f>
        <v>0</v>
      </c>
    </row>
    <row r="18" spans="1:27">
      <c r="B18" s="4" t="s">
        <v>176</v>
      </c>
      <c r="C18" s="127"/>
      <c r="D18" s="127"/>
      <c r="E18" s="127"/>
      <c r="F18" s="127"/>
      <c r="G18" s="127"/>
      <c r="H18" s="127"/>
      <c r="I18" s="127"/>
      <c r="J18" s="127"/>
      <c r="K18" s="127"/>
      <c r="L18" s="127"/>
      <c r="M18" s="127"/>
      <c r="N18" s="127"/>
      <c r="O18" s="127"/>
      <c r="P18" s="127"/>
      <c r="Q18" s="127"/>
      <c r="R18" s="127"/>
      <c r="S18" s="127"/>
      <c r="T18" s="127"/>
      <c r="U18" s="127"/>
      <c r="V18" s="127"/>
      <c r="W18" s="127"/>
      <c r="X18" s="127"/>
      <c r="Y18" s="127"/>
      <c r="Z18" s="127"/>
      <c r="AA18" s="127"/>
    </row>
    <row r="19" spans="1:27">
      <c r="B19" s="4" t="s">
        <v>177</v>
      </c>
      <c r="C19" s="91">
        <f>IF(ISBLANK(C18),C17,C18)</f>
        <v>37501.292000000001</v>
      </c>
      <c r="D19" s="91">
        <f t="shared" ref="D19:Z19" si="0">IF(ISBLANK(D18),D17,D18)</f>
        <v>0</v>
      </c>
      <c r="E19" s="91">
        <f t="shared" si="0"/>
        <v>0</v>
      </c>
      <c r="F19" s="91">
        <f t="shared" si="0"/>
        <v>0</v>
      </c>
      <c r="G19" s="91">
        <f t="shared" si="0"/>
        <v>145091.88800000001</v>
      </c>
      <c r="H19" s="91">
        <f t="shared" si="0"/>
        <v>0</v>
      </c>
      <c r="I19" s="91">
        <f t="shared" si="0"/>
        <v>153372.81200000001</v>
      </c>
      <c r="J19" s="91">
        <f t="shared" si="0"/>
        <v>0</v>
      </c>
      <c r="K19" s="91">
        <f t="shared" si="0"/>
        <v>180081.948</v>
      </c>
      <c r="L19" s="91">
        <f t="shared" si="0"/>
        <v>0</v>
      </c>
      <c r="M19" s="91">
        <f t="shared" si="0"/>
        <v>0</v>
      </c>
      <c r="N19" s="91">
        <f t="shared" si="0"/>
        <v>0</v>
      </c>
      <c r="O19" s="91">
        <f t="shared" si="0"/>
        <v>177123.74400000001</v>
      </c>
      <c r="P19" s="91">
        <f t="shared" si="0"/>
        <v>0</v>
      </c>
      <c r="Q19" s="91">
        <f t="shared" si="0"/>
        <v>0</v>
      </c>
      <c r="R19" s="91">
        <f t="shared" si="0"/>
        <v>0</v>
      </c>
      <c r="S19" s="91">
        <f t="shared" si="0"/>
        <v>0</v>
      </c>
      <c r="T19" s="91">
        <f t="shared" si="0"/>
        <v>0</v>
      </c>
      <c r="U19" s="91">
        <f t="shared" si="0"/>
        <v>0</v>
      </c>
      <c r="V19" s="91">
        <f t="shared" si="0"/>
        <v>0</v>
      </c>
      <c r="W19" s="91">
        <f t="shared" si="0"/>
        <v>0</v>
      </c>
      <c r="X19" s="91">
        <f t="shared" si="0"/>
        <v>0</v>
      </c>
      <c r="Y19" s="91">
        <f t="shared" si="0"/>
        <v>0</v>
      </c>
      <c r="Z19" s="91">
        <f t="shared" si="0"/>
        <v>0</v>
      </c>
      <c r="AA19" s="91">
        <f>IF(ISBLANK(AA18),AA17,AA18)</f>
        <v>0</v>
      </c>
    </row>
    <row r="21" spans="1:27">
      <c r="B21" s="30" t="str">
        <f>IF($C$10=Menus!$I$2,"N/A",_xlfn.CONCAT($A$1," 90° Rotation"))</f>
        <v>LEED Baseline Results Worksheet 90° Rotation</v>
      </c>
      <c r="C21" s="30"/>
      <c r="D21" s="30"/>
      <c r="E21" s="30"/>
      <c r="F21" s="30"/>
      <c r="G21" s="30"/>
      <c r="H21" s="30"/>
      <c r="I21" s="30"/>
      <c r="J21" s="30"/>
      <c r="K21" s="30"/>
      <c r="L21" s="30"/>
      <c r="M21" s="30"/>
      <c r="N21" s="30"/>
      <c r="O21" s="30"/>
      <c r="P21" s="30"/>
      <c r="Q21" s="30"/>
      <c r="R21" s="30"/>
      <c r="S21" s="30"/>
      <c r="T21" s="30"/>
      <c r="U21" s="30"/>
      <c r="V21" s="30"/>
      <c r="W21" s="30"/>
      <c r="X21" s="30"/>
      <c r="Y21" s="30"/>
      <c r="Z21" s="30"/>
      <c r="AA21" s="30"/>
    </row>
    <row r="23" spans="1:27" ht="15.6" thickBot="1">
      <c r="F23" s="3"/>
      <c r="G23" s="63" t="s">
        <v>166</v>
      </c>
      <c r="H23" s="63"/>
      <c r="I23" s="63" t="s">
        <v>167</v>
      </c>
      <c r="J23" s="63"/>
      <c r="K23" s="63"/>
      <c r="L23" s="63"/>
      <c r="M23" s="63"/>
      <c r="N23" s="63"/>
      <c r="O23" s="63" t="s">
        <v>118</v>
      </c>
      <c r="P23" s="63"/>
      <c r="R23" s="63" t="s">
        <v>168</v>
      </c>
      <c r="S23" s="63"/>
      <c r="T23" s="63"/>
      <c r="Y23" s="63" t="s">
        <v>169</v>
      </c>
      <c r="Z23" s="63"/>
      <c r="AA23" s="63"/>
    </row>
    <row r="24" spans="1:27">
      <c r="F24" s="49" t="s">
        <v>172</v>
      </c>
      <c r="G24" s="98" t="str">
        <f>'BL Data'!A3</f>
        <v>ASHRAE 90.1-2010 Baseline 90°</v>
      </c>
      <c r="H24" s="98"/>
      <c r="I24" s="98" t="str">
        <f>'BL Data'!B3</f>
        <v>Casa De Amparo_v4z 1.pdf</v>
      </c>
      <c r="J24" s="98"/>
      <c r="K24" s="98"/>
      <c r="L24" s="98"/>
      <c r="M24" s="98"/>
      <c r="N24" s="98"/>
      <c r="O24" s="99" t="str">
        <f>'BL Data'!C3</f>
        <v>Jun 11, 2026 - 10:50 PM</v>
      </c>
      <c r="P24" s="100"/>
      <c r="R24" s="91">
        <f>'BL Data'!BM3/1000</f>
        <v>49</v>
      </c>
      <c r="S24" s="4" t="s">
        <v>173</v>
      </c>
      <c r="Y24" s="4" t="s">
        <v>174</v>
      </c>
      <c r="Z24" s="91">
        <f>SUM(C33:AA33)</f>
        <v>695833.04399999999</v>
      </c>
      <c r="AA24" s="105" t="str">
        <f>'Project Info'!$I$5</f>
        <v>kBtu</v>
      </c>
    </row>
    <row r="25" spans="1:27">
      <c r="F25" s="49" t="s">
        <v>176</v>
      </c>
      <c r="G25" s="86"/>
      <c r="H25" s="86"/>
      <c r="I25" s="86"/>
      <c r="J25" s="86"/>
      <c r="K25" s="86"/>
      <c r="L25" s="86"/>
      <c r="M25" s="86"/>
      <c r="N25" s="86"/>
      <c r="O25" s="86"/>
      <c r="P25" s="86"/>
      <c r="R25" s="89"/>
      <c r="S25" s="4" t="s">
        <v>173</v>
      </c>
      <c r="Z25" s="103">
        <f>IFERROR(Z24/$C$11,0)</f>
        <v>50.969311749194254</v>
      </c>
      <c r="AA25" s="105" t="str">
        <f>IF('Project Info'!$I$4=Menus!$A$2,"kWh/m²","kBtu/ft²")</f>
        <v>kBtu/ft²</v>
      </c>
    </row>
    <row r="26" spans="1:27">
      <c r="F26" s="49" t="s">
        <v>177</v>
      </c>
      <c r="G26" s="98" t="str">
        <f>IF(ISBLANK(G25),G24,G25)</f>
        <v>ASHRAE 90.1-2010 Baseline 90°</v>
      </c>
      <c r="H26" s="98"/>
      <c r="I26" s="98" t="str">
        <f>IF(ISBLANK(I25),I24,I25)</f>
        <v>Casa De Amparo_v4z 1.pdf</v>
      </c>
      <c r="J26" s="98"/>
      <c r="K26" s="98"/>
      <c r="L26" s="98"/>
      <c r="M26" s="98"/>
      <c r="N26" s="98"/>
      <c r="O26" s="98" t="str">
        <f>IF(ISBLANK(O25),O24,O25)</f>
        <v>Jun 11, 2026 - 10:50 PM</v>
      </c>
      <c r="P26" s="98"/>
      <c r="R26" s="91">
        <f>IF(ISBLANK(R25),R24,R25)</f>
        <v>49</v>
      </c>
      <c r="S26" s="4" t="s">
        <v>173</v>
      </c>
    </row>
    <row r="27" spans="1:27">
      <c r="B27" s="3"/>
      <c r="C27" s="3"/>
      <c r="D27" s="3"/>
      <c r="E27" s="3"/>
      <c r="F27" s="3"/>
      <c r="G27" s="3"/>
      <c r="H27" s="3"/>
      <c r="I27" s="3"/>
      <c r="J27" s="3"/>
      <c r="K27" s="3"/>
      <c r="L27" s="3"/>
      <c r="M27" s="3"/>
      <c r="N27" s="3"/>
      <c r="O27" s="3"/>
      <c r="P27" s="3"/>
      <c r="T27" s="6"/>
    </row>
    <row r="28" spans="1:27" ht="41.4">
      <c r="B28" s="4" t="s">
        <v>178</v>
      </c>
      <c r="C28" s="227" t="s">
        <v>179</v>
      </c>
      <c r="D28" s="228"/>
      <c r="E28" s="228"/>
      <c r="F28" s="228"/>
      <c r="G28" s="227" t="s">
        <v>180</v>
      </c>
      <c r="H28" s="228"/>
      <c r="I28" s="32" t="s">
        <v>181</v>
      </c>
      <c r="J28" s="32" t="s">
        <v>182</v>
      </c>
      <c r="K28" s="225" t="s">
        <v>183</v>
      </c>
      <c r="L28" s="226"/>
      <c r="M28" s="229"/>
      <c r="N28" s="32" t="s">
        <v>184</v>
      </c>
      <c r="O28" s="32" t="s">
        <v>185</v>
      </c>
      <c r="P28" s="32" t="s">
        <v>186</v>
      </c>
      <c r="Q28" s="32" t="s">
        <v>187</v>
      </c>
      <c r="R28" s="54" t="s">
        <v>188</v>
      </c>
      <c r="S28" s="54" t="s">
        <v>189</v>
      </c>
      <c r="T28" s="225" t="s">
        <v>190</v>
      </c>
      <c r="U28" s="226"/>
      <c r="V28" s="226"/>
      <c r="W28" s="226"/>
      <c r="X28" s="54" t="s">
        <v>191</v>
      </c>
      <c r="Y28" s="33" t="s">
        <v>192</v>
      </c>
      <c r="Z28" s="34">
        <f>'Project Info'!$I$10</f>
        <v>0</v>
      </c>
      <c r="AA28" s="34">
        <f>'Project Info'!$J$10</f>
        <v>0</v>
      </c>
    </row>
    <row r="29" spans="1:27">
      <c r="B29" s="4" t="s">
        <v>193</v>
      </c>
      <c r="C29" s="18" t="s">
        <v>59</v>
      </c>
      <c r="D29" s="18" t="s">
        <v>60</v>
      </c>
      <c r="E29" s="18" t="s">
        <v>194</v>
      </c>
      <c r="F29" s="18" t="s">
        <v>103</v>
      </c>
      <c r="G29" s="18" t="s">
        <v>59</v>
      </c>
      <c r="H29" s="18" t="s">
        <v>102</v>
      </c>
      <c r="I29" s="18" t="s">
        <v>59</v>
      </c>
      <c r="J29" s="18" t="s">
        <v>59</v>
      </c>
      <c r="K29" s="18" t="s">
        <v>59</v>
      </c>
      <c r="L29" s="18" t="s">
        <v>60</v>
      </c>
      <c r="M29" s="18" t="s">
        <v>194</v>
      </c>
      <c r="N29" s="18" t="s">
        <v>59</v>
      </c>
      <c r="O29" s="18" t="s">
        <v>59</v>
      </c>
      <c r="P29" s="18" t="s">
        <v>59</v>
      </c>
      <c r="Q29" s="18" t="s">
        <v>59</v>
      </c>
      <c r="R29" s="18" t="s">
        <v>59</v>
      </c>
      <c r="S29" s="18" t="s">
        <v>59</v>
      </c>
      <c r="T29" s="18" t="s">
        <v>59</v>
      </c>
      <c r="U29" s="18" t="s">
        <v>60</v>
      </c>
      <c r="V29" s="18" t="s">
        <v>194</v>
      </c>
      <c r="W29" s="18" t="s">
        <v>103</v>
      </c>
      <c r="X29" s="18" t="s">
        <v>59</v>
      </c>
      <c r="Y29" s="18" t="s">
        <v>59</v>
      </c>
      <c r="Z29" s="55" t="s">
        <v>59</v>
      </c>
      <c r="AA29" s="55" t="s">
        <v>59</v>
      </c>
    </row>
    <row r="30" spans="1:27">
      <c r="B30" s="4" t="s">
        <v>195</v>
      </c>
      <c r="C30" s="128" t="str">
        <f>'Project Info'!$I$5</f>
        <v>kBtu</v>
      </c>
      <c r="D30" s="128" t="str">
        <f>'Project Info'!$I$5</f>
        <v>kBtu</v>
      </c>
      <c r="E30" s="128" t="str">
        <f>'Project Info'!$I$5</f>
        <v>kBtu</v>
      </c>
      <c r="F30" s="128" t="str">
        <f>'Project Info'!$I$5</f>
        <v>kBtu</v>
      </c>
      <c r="G30" s="128" t="str">
        <f>'Project Info'!$I$5</f>
        <v>kBtu</v>
      </c>
      <c r="H30" s="128" t="str">
        <f>'Project Info'!$I$5</f>
        <v>kBtu</v>
      </c>
      <c r="I30" s="128" t="str">
        <f>'Project Info'!$I$5</f>
        <v>kBtu</v>
      </c>
      <c r="J30" s="128" t="str">
        <f>'Project Info'!$I$5</f>
        <v>kBtu</v>
      </c>
      <c r="K30" s="128" t="str">
        <f>'Project Info'!$I$5</f>
        <v>kBtu</v>
      </c>
      <c r="L30" s="128" t="str">
        <f>'Project Info'!$I$5</f>
        <v>kBtu</v>
      </c>
      <c r="M30" s="128" t="str">
        <f>'Project Info'!$I$5</f>
        <v>kBtu</v>
      </c>
      <c r="N30" s="128" t="str">
        <f>'Project Info'!$I$5</f>
        <v>kBtu</v>
      </c>
      <c r="O30" s="128" t="str">
        <f>'Project Info'!$I$5</f>
        <v>kBtu</v>
      </c>
      <c r="P30" s="128" t="str">
        <f>'Project Info'!$I$5</f>
        <v>kBtu</v>
      </c>
      <c r="Q30" s="128" t="str">
        <f>'Project Info'!$I$5</f>
        <v>kBtu</v>
      </c>
      <c r="R30" s="128" t="str">
        <f>'Project Info'!$I$5</f>
        <v>kBtu</v>
      </c>
      <c r="S30" s="128" t="str">
        <f>'Project Info'!$I$5</f>
        <v>kBtu</v>
      </c>
      <c r="T30" s="128" t="str">
        <f>'Project Info'!$I$5</f>
        <v>kBtu</v>
      </c>
      <c r="U30" s="128" t="str">
        <f>'Project Info'!$I$5</f>
        <v>kBtu</v>
      </c>
      <c r="V30" s="128" t="str">
        <f>'Project Info'!$I$5</f>
        <v>kBtu</v>
      </c>
      <c r="W30" s="128" t="str">
        <f>'Project Info'!$I$5</f>
        <v>kBtu</v>
      </c>
      <c r="X30" s="128" t="str">
        <f>'Project Info'!$I$5</f>
        <v>kBtu</v>
      </c>
      <c r="Y30" s="128" t="str">
        <f>'Project Info'!$I$5</f>
        <v>kBtu</v>
      </c>
      <c r="Z30" s="128" t="str">
        <f>'Project Info'!$I$5</f>
        <v>kBtu</v>
      </c>
      <c r="AA30" s="128" t="str">
        <f>'Project Info'!$I$5</f>
        <v>kBtu</v>
      </c>
    </row>
    <row r="31" spans="1:27">
      <c r="B31" s="4" t="s">
        <v>172</v>
      </c>
      <c r="C31" s="91">
        <f>'BL Data'!O3</f>
        <v>38006.267999999996</v>
      </c>
      <c r="D31" s="91">
        <f>'BL Data'!P3</f>
        <v>0</v>
      </c>
      <c r="E31" s="91">
        <f>'BL Data'!Q3</f>
        <v>0</v>
      </c>
      <c r="F31" s="91">
        <f>'BL Data'!R3</f>
        <v>0</v>
      </c>
      <c r="G31" s="91">
        <f>'BL Data'!S3</f>
        <v>145037.296</v>
      </c>
      <c r="H31" s="91">
        <f>'BL Data'!T3</f>
        <v>0</v>
      </c>
      <c r="I31" s="91">
        <f>'BL Data'!U3</f>
        <v>153372.81200000001</v>
      </c>
      <c r="J31" s="91">
        <f>'BL Data'!V3</f>
        <v>0</v>
      </c>
      <c r="K31" s="91">
        <f>'BL Data'!W3</f>
        <v>180081.948</v>
      </c>
      <c r="L31" s="91">
        <f>'BL Data'!X3</f>
        <v>0</v>
      </c>
      <c r="M31" s="91">
        <f>'BL Data'!Y3</f>
        <v>0</v>
      </c>
      <c r="N31" s="91">
        <f>'BL Data'!Z3</f>
        <v>0</v>
      </c>
      <c r="O31" s="91">
        <f>'BL Data'!AA3</f>
        <v>179334.72</v>
      </c>
      <c r="P31" s="91">
        <f>'BL Data'!AB3</f>
        <v>0</v>
      </c>
      <c r="Q31" s="91">
        <f>'BL Data'!AC3</f>
        <v>0</v>
      </c>
      <c r="R31" s="91">
        <f>'BL Data'!AD3</f>
        <v>0</v>
      </c>
      <c r="S31" s="91">
        <f>'BL Data'!AE3</f>
        <v>0</v>
      </c>
      <c r="T31" s="91">
        <f>'BL Data'!AF3</f>
        <v>0</v>
      </c>
      <c r="U31" s="91">
        <f>'BL Data'!AG3</f>
        <v>0</v>
      </c>
      <c r="V31" s="91">
        <f>'BL Data'!AH3</f>
        <v>0</v>
      </c>
      <c r="W31" s="91">
        <f>'BL Data'!AI3</f>
        <v>0</v>
      </c>
      <c r="X31" s="91">
        <f>'BL Data'!AJ3</f>
        <v>0</v>
      </c>
      <c r="Y31" s="91">
        <f>'BL Data'!AK3</f>
        <v>0</v>
      </c>
      <c r="Z31" s="91">
        <f>'BL Data'!AL3</f>
        <v>0</v>
      </c>
      <c r="AA31" s="91">
        <f>'BL Data'!AM3</f>
        <v>0</v>
      </c>
    </row>
    <row r="32" spans="1:27">
      <c r="B32" s="4" t="s">
        <v>176</v>
      </c>
      <c r="C32" s="127"/>
      <c r="D32" s="127"/>
      <c r="E32" s="127"/>
      <c r="F32" s="127"/>
      <c r="G32" s="127"/>
      <c r="H32" s="127"/>
      <c r="I32" s="127"/>
      <c r="J32" s="127"/>
      <c r="K32" s="127"/>
      <c r="L32" s="127"/>
      <c r="M32" s="127"/>
      <c r="N32" s="127"/>
      <c r="O32" s="127"/>
      <c r="P32" s="127"/>
      <c r="Q32" s="127"/>
      <c r="R32" s="127"/>
      <c r="S32" s="127"/>
      <c r="T32" s="127"/>
      <c r="U32" s="127"/>
      <c r="V32" s="127"/>
      <c r="W32" s="127"/>
      <c r="X32" s="127"/>
      <c r="Y32" s="127"/>
      <c r="Z32" s="127"/>
      <c r="AA32" s="127"/>
    </row>
    <row r="33" spans="2:27">
      <c r="B33" s="4" t="s">
        <v>177</v>
      </c>
      <c r="C33" s="91">
        <f>IF(ISBLANK(C32),C31,C32)</f>
        <v>38006.267999999996</v>
      </c>
      <c r="D33" s="91">
        <f t="shared" ref="D33:Z33" si="1">IF(ISBLANK(D32),D31,D32)</f>
        <v>0</v>
      </c>
      <c r="E33" s="91">
        <f t="shared" si="1"/>
        <v>0</v>
      </c>
      <c r="F33" s="91">
        <f t="shared" si="1"/>
        <v>0</v>
      </c>
      <c r="G33" s="91">
        <f t="shared" si="1"/>
        <v>145037.296</v>
      </c>
      <c r="H33" s="91">
        <f t="shared" si="1"/>
        <v>0</v>
      </c>
      <c r="I33" s="91">
        <f t="shared" si="1"/>
        <v>153372.81200000001</v>
      </c>
      <c r="J33" s="91">
        <f t="shared" si="1"/>
        <v>0</v>
      </c>
      <c r="K33" s="91">
        <f t="shared" si="1"/>
        <v>180081.948</v>
      </c>
      <c r="L33" s="91">
        <f>IF(ISBLANK(L32),L31,L32)</f>
        <v>0</v>
      </c>
      <c r="M33" s="91">
        <f>IF(ISBLANK(M32),M31,M32)</f>
        <v>0</v>
      </c>
      <c r="N33" s="91">
        <f t="shared" si="1"/>
        <v>0</v>
      </c>
      <c r="O33" s="91">
        <f t="shared" si="1"/>
        <v>179334.72</v>
      </c>
      <c r="P33" s="91">
        <f t="shared" si="1"/>
        <v>0</v>
      </c>
      <c r="Q33" s="91">
        <f t="shared" si="1"/>
        <v>0</v>
      </c>
      <c r="R33" s="91">
        <f t="shared" si="1"/>
        <v>0</v>
      </c>
      <c r="S33" s="91">
        <f t="shared" si="1"/>
        <v>0</v>
      </c>
      <c r="T33" s="91">
        <f t="shared" si="1"/>
        <v>0</v>
      </c>
      <c r="U33" s="91">
        <f t="shared" si="1"/>
        <v>0</v>
      </c>
      <c r="V33" s="91">
        <f t="shared" si="1"/>
        <v>0</v>
      </c>
      <c r="W33" s="91">
        <f t="shared" si="1"/>
        <v>0</v>
      </c>
      <c r="X33" s="91">
        <f t="shared" si="1"/>
        <v>0</v>
      </c>
      <c r="Y33" s="91">
        <f t="shared" si="1"/>
        <v>0</v>
      </c>
      <c r="Z33" s="91">
        <f t="shared" si="1"/>
        <v>0</v>
      </c>
      <c r="AA33" s="91">
        <f>IF(ISBLANK(AA32),AA31,AA32)</f>
        <v>0</v>
      </c>
    </row>
    <row r="35" spans="2:27">
      <c r="B35" s="30" t="str">
        <f>IF($C$10=Menus!$I$2,"N/A",_xlfn.CONCAT($A$1," 180° Rotation"))</f>
        <v>LEED Baseline Results Worksheet 180° Rotation</v>
      </c>
      <c r="C35" s="30"/>
      <c r="D35" s="30"/>
      <c r="E35" s="30"/>
      <c r="F35" s="30"/>
      <c r="G35" s="30"/>
      <c r="H35" s="30"/>
      <c r="I35" s="30"/>
      <c r="J35" s="30"/>
      <c r="K35" s="30"/>
      <c r="L35" s="30"/>
      <c r="M35" s="30"/>
      <c r="N35" s="30"/>
      <c r="O35" s="30"/>
      <c r="P35" s="30"/>
      <c r="Q35" s="30"/>
      <c r="R35" s="30"/>
      <c r="S35" s="30"/>
      <c r="T35" s="30"/>
      <c r="U35" s="30"/>
      <c r="V35" s="30"/>
      <c r="W35" s="30"/>
      <c r="X35" s="30"/>
      <c r="Y35" s="30"/>
      <c r="Z35" s="30"/>
      <c r="AA35" s="30"/>
    </row>
    <row r="37" spans="2:27" ht="15.6" thickBot="1">
      <c r="F37" s="3"/>
      <c r="G37" s="63" t="s">
        <v>166</v>
      </c>
      <c r="H37" s="63"/>
      <c r="I37" s="63" t="s">
        <v>167</v>
      </c>
      <c r="J37" s="63"/>
      <c r="K37" s="63"/>
      <c r="L37" s="63"/>
      <c r="M37" s="63"/>
      <c r="N37" s="63"/>
      <c r="O37" s="63" t="s">
        <v>118</v>
      </c>
      <c r="P37" s="63"/>
      <c r="R37" s="63" t="s">
        <v>168</v>
      </c>
      <c r="S37" s="63"/>
      <c r="T37" s="63"/>
      <c r="Y37" s="63" t="s">
        <v>169</v>
      </c>
      <c r="Z37" s="63"/>
      <c r="AA37" s="63"/>
    </row>
    <row r="38" spans="2:27">
      <c r="D38" s="3"/>
      <c r="F38" s="49" t="s">
        <v>172</v>
      </c>
      <c r="G38" s="91" t="str">
        <f>'BL Data'!A4</f>
        <v>ASHRAE 90.1-2010 Baseline 180°</v>
      </c>
      <c r="H38" s="91"/>
      <c r="I38" s="91" t="str">
        <f>'BL Data'!B4</f>
        <v>Casa De Amparo_v4z 1.pdf</v>
      </c>
      <c r="J38" s="91"/>
      <c r="K38" s="91"/>
      <c r="L38" s="91"/>
      <c r="M38" s="91"/>
      <c r="N38" s="91"/>
      <c r="O38" s="91" t="str">
        <f>'BL Data'!C4</f>
        <v>Jun 11, 2026 - 10:50 PM</v>
      </c>
      <c r="P38" s="91"/>
      <c r="R38" s="91">
        <f>'BL Data'!BM4/1000</f>
        <v>49</v>
      </c>
      <c r="S38" s="4" t="s">
        <v>173</v>
      </c>
      <c r="Y38" s="4" t="s">
        <v>174</v>
      </c>
      <c r="Z38" s="91">
        <f>SUM(C47:AA47)</f>
        <v>685835.88399999996</v>
      </c>
      <c r="AA38" s="105" t="str">
        <f>'Project Info'!$I$5</f>
        <v>kBtu</v>
      </c>
    </row>
    <row r="39" spans="2:27">
      <c r="F39" s="49" t="s">
        <v>176</v>
      </c>
      <c r="G39" s="86"/>
      <c r="H39" s="86"/>
      <c r="I39" s="86"/>
      <c r="J39" s="86"/>
      <c r="K39" s="86"/>
      <c r="L39" s="86"/>
      <c r="M39" s="86"/>
      <c r="N39" s="86"/>
      <c r="O39" s="86"/>
      <c r="P39" s="86"/>
      <c r="R39" s="89"/>
      <c r="S39" s="4" t="s">
        <v>173</v>
      </c>
      <c r="Z39" s="103">
        <f>IFERROR(Z38/$C$11,0)</f>
        <v>50.237026369762667</v>
      </c>
      <c r="AA39" s="105" t="str">
        <f>IF('Project Info'!$I$4=Menus!$A$2,"kWh/m²","kBtu/ft²")</f>
        <v>kBtu/ft²</v>
      </c>
    </row>
    <row r="40" spans="2:27">
      <c r="F40" s="49" t="s">
        <v>177</v>
      </c>
      <c r="G40" s="91" t="str">
        <f>IF(ISBLANK(G39),G38,G39)</f>
        <v>ASHRAE 90.1-2010 Baseline 180°</v>
      </c>
      <c r="H40" s="91"/>
      <c r="I40" s="91" t="str">
        <f>IF(ISBLANK(I39),I38,I39)</f>
        <v>Casa De Amparo_v4z 1.pdf</v>
      </c>
      <c r="J40" s="91"/>
      <c r="K40" s="91"/>
      <c r="L40" s="91"/>
      <c r="M40" s="91"/>
      <c r="N40" s="91"/>
      <c r="O40" s="91" t="str">
        <f>IF(ISBLANK(O39),O38,O39)</f>
        <v>Jun 11, 2026 - 10:50 PM</v>
      </c>
      <c r="P40" s="91"/>
      <c r="R40" s="91">
        <f>IF(ISBLANK(R39),R38,R39)</f>
        <v>49</v>
      </c>
      <c r="S40" s="4" t="s">
        <v>173</v>
      </c>
    </row>
    <row r="41" spans="2:27">
      <c r="B41" s="3"/>
      <c r="C41" s="3"/>
      <c r="D41" s="3"/>
      <c r="E41" s="3"/>
      <c r="F41" s="3"/>
      <c r="G41" s="3"/>
      <c r="H41" s="3"/>
      <c r="I41" s="3"/>
      <c r="J41" s="3"/>
      <c r="K41" s="3"/>
      <c r="L41" s="3"/>
      <c r="M41" s="3"/>
      <c r="N41" s="3"/>
      <c r="O41" s="3"/>
      <c r="P41" s="3"/>
    </row>
    <row r="42" spans="2:27" ht="41.4">
      <c r="B42" s="4" t="s">
        <v>178</v>
      </c>
      <c r="C42" s="227" t="s">
        <v>179</v>
      </c>
      <c r="D42" s="228"/>
      <c r="E42" s="228"/>
      <c r="F42" s="228"/>
      <c r="G42" s="227" t="s">
        <v>180</v>
      </c>
      <c r="H42" s="228"/>
      <c r="I42" s="32" t="s">
        <v>181</v>
      </c>
      <c r="J42" s="32" t="s">
        <v>182</v>
      </c>
      <c r="K42" s="225" t="s">
        <v>183</v>
      </c>
      <c r="L42" s="226"/>
      <c r="M42" s="229"/>
      <c r="N42" s="32" t="s">
        <v>184</v>
      </c>
      <c r="O42" s="32" t="s">
        <v>185</v>
      </c>
      <c r="P42" s="32" t="s">
        <v>186</v>
      </c>
      <c r="Q42" s="32" t="s">
        <v>187</v>
      </c>
      <c r="R42" s="54" t="s">
        <v>188</v>
      </c>
      <c r="S42" s="54" t="s">
        <v>189</v>
      </c>
      <c r="T42" s="225" t="s">
        <v>190</v>
      </c>
      <c r="U42" s="226"/>
      <c r="V42" s="226"/>
      <c r="W42" s="226"/>
      <c r="X42" s="54" t="s">
        <v>191</v>
      </c>
      <c r="Y42" s="33" t="s">
        <v>192</v>
      </c>
      <c r="Z42" s="34">
        <f>'Project Info'!$I$10</f>
        <v>0</v>
      </c>
      <c r="AA42" s="34">
        <f>'Project Info'!$J$10</f>
        <v>0</v>
      </c>
    </row>
    <row r="43" spans="2:27">
      <c r="B43" s="4" t="s">
        <v>193</v>
      </c>
      <c r="C43" s="18" t="s">
        <v>59</v>
      </c>
      <c r="D43" s="18" t="s">
        <v>60</v>
      </c>
      <c r="E43" s="18" t="s">
        <v>194</v>
      </c>
      <c r="F43" s="18" t="s">
        <v>103</v>
      </c>
      <c r="G43" s="18" t="s">
        <v>59</v>
      </c>
      <c r="H43" s="18" t="s">
        <v>102</v>
      </c>
      <c r="I43" s="18" t="s">
        <v>59</v>
      </c>
      <c r="J43" s="18" t="s">
        <v>59</v>
      </c>
      <c r="K43" s="18" t="s">
        <v>59</v>
      </c>
      <c r="L43" s="18" t="s">
        <v>60</v>
      </c>
      <c r="M43" s="18" t="s">
        <v>194</v>
      </c>
      <c r="N43" s="18" t="s">
        <v>59</v>
      </c>
      <c r="O43" s="18" t="s">
        <v>59</v>
      </c>
      <c r="P43" s="18" t="s">
        <v>59</v>
      </c>
      <c r="Q43" s="18" t="s">
        <v>59</v>
      </c>
      <c r="R43" s="18" t="s">
        <v>59</v>
      </c>
      <c r="S43" s="18" t="s">
        <v>59</v>
      </c>
      <c r="T43" s="18" t="s">
        <v>59</v>
      </c>
      <c r="U43" s="18" t="s">
        <v>60</v>
      </c>
      <c r="V43" s="18" t="s">
        <v>194</v>
      </c>
      <c r="W43" s="18" t="s">
        <v>103</v>
      </c>
      <c r="X43" s="18" t="s">
        <v>59</v>
      </c>
      <c r="Y43" s="18" t="s">
        <v>59</v>
      </c>
      <c r="Z43" s="55" t="s">
        <v>59</v>
      </c>
      <c r="AA43" s="55" t="s">
        <v>59</v>
      </c>
    </row>
    <row r="44" spans="2:27">
      <c r="B44" s="4" t="s">
        <v>195</v>
      </c>
      <c r="C44" s="128" t="str">
        <f>'Project Info'!$I$5</f>
        <v>kBtu</v>
      </c>
      <c r="D44" s="128" t="str">
        <f>'Project Info'!$I$5</f>
        <v>kBtu</v>
      </c>
      <c r="E44" s="128" t="str">
        <f>'Project Info'!$I$5</f>
        <v>kBtu</v>
      </c>
      <c r="F44" s="128" t="str">
        <f>'Project Info'!$I$5</f>
        <v>kBtu</v>
      </c>
      <c r="G44" s="128" t="str">
        <f>'Project Info'!$I$5</f>
        <v>kBtu</v>
      </c>
      <c r="H44" s="128" t="str">
        <f>'Project Info'!$I$5</f>
        <v>kBtu</v>
      </c>
      <c r="I44" s="128" t="str">
        <f>'Project Info'!$I$5</f>
        <v>kBtu</v>
      </c>
      <c r="J44" s="128" t="str">
        <f>'Project Info'!$I$5</f>
        <v>kBtu</v>
      </c>
      <c r="K44" s="128" t="str">
        <f>'Project Info'!$I$5</f>
        <v>kBtu</v>
      </c>
      <c r="L44" s="128" t="str">
        <f>'Project Info'!$I$5</f>
        <v>kBtu</v>
      </c>
      <c r="M44" s="128" t="str">
        <f>'Project Info'!$I$5</f>
        <v>kBtu</v>
      </c>
      <c r="N44" s="128" t="str">
        <f>'Project Info'!$I$5</f>
        <v>kBtu</v>
      </c>
      <c r="O44" s="128" t="str">
        <f>'Project Info'!$I$5</f>
        <v>kBtu</v>
      </c>
      <c r="P44" s="128" t="str">
        <f>'Project Info'!$I$5</f>
        <v>kBtu</v>
      </c>
      <c r="Q44" s="128" t="str">
        <f>'Project Info'!$I$5</f>
        <v>kBtu</v>
      </c>
      <c r="R44" s="128" t="str">
        <f>'Project Info'!$I$5</f>
        <v>kBtu</v>
      </c>
      <c r="S44" s="128" t="str">
        <f>'Project Info'!$I$5</f>
        <v>kBtu</v>
      </c>
      <c r="T44" s="128" t="str">
        <f>'Project Info'!$I$5</f>
        <v>kBtu</v>
      </c>
      <c r="U44" s="128" t="str">
        <f>'Project Info'!$I$5</f>
        <v>kBtu</v>
      </c>
      <c r="V44" s="128" t="str">
        <f>'Project Info'!$I$5</f>
        <v>kBtu</v>
      </c>
      <c r="W44" s="128" t="str">
        <f>'Project Info'!$I$5</f>
        <v>kBtu</v>
      </c>
      <c r="X44" s="128" t="str">
        <f>'Project Info'!$I$5</f>
        <v>kBtu</v>
      </c>
      <c r="Y44" s="128" t="str">
        <f>'Project Info'!$I$5</f>
        <v>kBtu</v>
      </c>
      <c r="Z44" s="128" t="str">
        <f>'Project Info'!$I$5</f>
        <v>kBtu</v>
      </c>
      <c r="AA44" s="128" t="str">
        <f>'Project Info'!$I$5</f>
        <v>kBtu</v>
      </c>
    </row>
    <row r="45" spans="2:27">
      <c r="B45" s="4" t="s">
        <v>172</v>
      </c>
      <c r="C45" s="91">
        <f>'BL Data'!O4</f>
        <v>39261.883999999998</v>
      </c>
      <c r="D45" s="91">
        <f>'BL Data'!P4</f>
        <v>0</v>
      </c>
      <c r="E45" s="91">
        <f>'BL Data'!Q4</f>
        <v>0</v>
      </c>
      <c r="F45" s="91">
        <f>'BL Data'!R4</f>
        <v>0</v>
      </c>
      <c r="G45" s="91">
        <f>'BL Data'!S4</f>
        <v>140536.86799999999</v>
      </c>
      <c r="H45" s="91">
        <f>'BL Data'!T4</f>
        <v>0</v>
      </c>
      <c r="I45" s="91">
        <f>'BL Data'!U4</f>
        <v>153372.81200000001</v>
      </c>
      <c r="J45" s="91">
        <f>'BL Data'!V4</f>
        <v>0</v>
      </c>
      <c r="K45" s="91">
        <f>'BL Data'!W4</f>
        <v>180081.948</v>
      </c>
      <c r="L45" s="91">
        <f>'BL Data'!X4</f>
        <v>0</v>
      </c>
      <c r="M45" s="91">
        <f>'BL Data'!Y4</f>
        <v>0</v>
      </c>
      <c r="N45" s="91">
        <f>'BL Data'!Z4</f>
        <v>0</v>
      </c>
      <c r="O45" s="91">
        <f>'BL Data'!AA4</f>
        <v>172582.372</v>
      </c>
      <c r="P45" s="91">
        <f>'BL Data'!AB4</f>
        <v>0</v>
      </c>
      <c r="Q45" s="91">
        <f>'BL Data'!AC4</f>
        <v>0</v>
      </c>
      <c r="R45" s="91">
        <f>'BL Data'!AD4</f>
        <v>0</v>
      </c>
      <c r="S45" s="91">
        <f>'BL Data'!AE4</f>
        <v>0</v>
      </c>
      <c r="T45" s="91">
        <f>'BL Data'!AF4</f>
        <v>0</v>
      </c>
      <c r="U45" s="91">
        <f>'BL Data'!AG4</f>
        <v>0</v>
      </c>
      <c r="V45" s="91">
        <f>'BL Data'!AH4</f>
        <v>0</v>
      </c>
      <c r="W45" s="91">
        <f>'BL Data'!AI4</f>
        <v>0</v>
      </c>
      <c r="X45" s="91">
        <f>'BL Data'!AJ4</f>
        <v>0</v>
      </c>
      <c r="Y45" s="91">
        <f>'BL Data'!AK4</f>
        <v>0</v>
      </c>
      <c r="Z45" s="91">
        <f>'BL Data'!AL4</f>
        <v>0</v>
      </c>
      <c r="AA45" s="91">
        <f>'BL Data'!AM4</f>
        <v>0</v>
      </c>
    </row>
    <row r="46" spans="2:27">
      <c r="B46" s="4" t="s">
        <v>176</v>
      </c>
      <c r="C46" s="127"/>
      <c r="D46" s="127"/>
      <c r="E46" s="127"/>
      <c r="F46" s="127"/>
      <c r="G46" s="127"/>
      <c r="H46" s="127"/>
      <c r="I46" s="127"/>
      <c r="J46" s="127"/>
      <c r="K46" s="127"/>
      <c r="L46" s="127"/>
      <c r="M46" s="127"/>
      <c r="N46" s="127"/>
      <c r="O46" s="127"/>
      <c r="P46" s="127"/>
      <c r="Q46" s="127"/>
      <c r="R46" s="127"/>
      <c r="S46" s="127"/>
      <c r="T46" s="127"/>
      <c r="U46" s="127"/>
      <c r="V46" s="127"/>
      <c r="W46" s="127"/>
      <c r="X46" s="127"/>
      <c r="Y46" s="127"/>
      <c r="Z46" s="127"/>
      <c r="AA46" s="127"/>
    </row>
    <row r="47" spans="2:27">
      <c r="B47" s="4" t="s">
        <v>177</v>
      </c>
      <c r="C47" s="91">
        <f>IF(ISBLANK(C46),C45,C46)</f>
        <v>39261.883999999998</v>
      </c>
      <c r="D47" s="91">
        <f t="shared" ref="D47:R47" si="2">IF(ISBLANK(D46),D45,D46)</f>
        <v>0</v>
      </c>
      <c r="E47" s="91">
        <f t="shared" si="2"/>
        <v>0</v>
      </c>
      <c r="F47" s="91">
        <f t="shared" si="2"/>
        <v>0</v>
      </c>
      <c r="G47" s="91">
        <f t="shared" si="2"/>
        <v>140536.86799999999</v>
      </c>
      <c r="H47" s="91">
        <f t="shared" si="2"/>
        <v>0</v>
      </c>
      <c r="I47" s="91">
        <f t="shared" si="2"/>
        <v>153372.81200000001</v>
      </c>
      <c r="J47" s="91">
        <f t="shared" si="2"/>
        <v>0</v>
      </c>
      <c r="K47" s="91">
        <f t="shared" si="2"/>
        <v>180081.948</v>
      </c>
      <c r="L47" s="91">
        <f>IF(ISBLANK(L46),L45,L46)</f>
        <v>0</v>
      </c>
      <c r="M47" s="91">
        <f>IF(ISBLANK(M46),M45,M46)</f>
        <v>0</v>
      </c>
      <c r="N47" s="91">
        <f t="shared" si="2"/>
        <v>0</v>
      </c>
      <c r="O47" s="91">
        <f t="shared" si="2"/>
        <v>172582.372</v>
      </c>
      <c r="P47" s="91">
        <f t="shared" si="2"/>
        <v>0</v>
      </c>
      <c r="Q47" s="91">
        <f t="shared" si="2"/>
        <v>0</v>
      </c>
      <c r="R47" s="91">
        <f t="shared" si="2"/>
        <v>0</v>
      </c>
      <c r="S47" s="91">
        <f t="shared" ref="S47:AA47" si="3">IF(ISBLANK(S46),S45,S46)</f>
        <v>0</v>
      </c>
      <c r="T47" s="91">
        <f t="shared" si="3"/>
        <v>0</v>
      </c>
      <c r="U47" s="91">
        <f t="shared" si="3"/>
        <v>0</v>
      </c>
      <c r="V47" s="91">
        <f t="shared" si="3"/>
        <v>0</v>
      </c>
      <c r="W47" s="91">
        <f t="shared" si="3"/>
        <v>0</v>
      </c>
      <c r="X47" s="91">
        <f t="shared" si="3"/>
        <v>0</v>
      </c>
      <c r="Y47" s="91">
        <f t="shared" si="3"/>
        <v>0</v>
      </c>
      <c r="Z47" s="91">
        <f t="shared" si="3"/>
        <v>0</v>
      </c>
      <c r="AA47" s="91">
        <f t="shared" si="3"/>
        <v>0</v>
      </c>
    </row>
    <row r="49" spans="2:27">
      <c r="B49" s="30" t="str">
        <f>IF($C$10=Menus!$I$2,"N/A",_xlfn.CONCAT($A$1," 270° Rotation"))</f>
        <v>LEED Baseline Results Worksheet 270° Rotation</v>
      </c>
      <c r="C49" s="30"/>
      <c r="D49" s="30"/>
      <c r="E49" s="30"/>
      <c r="F49" s="30"/>
      <c r="G49" s="30"/>
      <c r="H49" s="30"/>
      <c r="I49" s="30"/>
      <c r="J49" s="30"/>
      <c r="K49" s="30"/>
      <c r="L49" s="30"/>
      <c r="M49" s="30"/>
      <c r="N49" s="30"/>
      <c r="O49" s="30"/>
      <c r="P49" s="30"/>
      <c r="Q49" s="30"/>
      <c r="R49" s="30"/>
      <c r="S49" s="30"/>
      <c r="T49" s="30"/>
      <c r="U49" s="30"/>
      <c r="V49" s="30"/>
      <c r="W49" s="30"/>
      <c r="X49" s="30"/>
      <c r="Y49" s="30"/>
      <c r="Z49" s="30"/>
      <c r="AA49" s="30"/>
    </row>
    <row r="51" spans="2:27" ht="15.6" thickBot="1">
      <c r="F51" s="3"/>
      <c r="G51" s="63" t="s">
        <v>166</v>
      </c>
      <c r="H51" s="63"/>
      <c r="I51" s="63" t="s">
        <v>167</v>
      </c>
      <c r="J51" s="63"/>
      <c r="K51" s="63"/>
      <c r="L51" s="63"/>
      <c r="M51" s="63"/>
      <c r="N51" s="63"/>
      <c r="O51" s="63" t="s">
        <v>118</v>
      </c>
      <c r="P51" s="63"/>
      <c r="R51" s="63" t="s">
        <v>168</v>
      </c>
      <c r="S51" s="63"/>
      <c r="T51" s="63"/>
      <c r="Y51" s="63" t="s">
        <v>169</v>
      </c>
      <c r="Z51" s="63"/>
      <c r="AA51" s="63"/>
    </row>
    <row r="52" spans="2:27">
      <c r="D52" s="3"/>
      <c r="F52" s="49" t="s">
        <v>172</v>
      </c>
      <c r="G52" s="98" t="str">
        <f>'BL Data'!A5</f>
        <v>ASHRAE 90.1-2010 Baseline 270°</v>
      </c>
      <c r="H52" s="98"/>
      <c r="I52" s="98" t="str">
        <f>'BL Data'!B5</f>
        <v>Casa De Amparo_v4z 1.pdf</v>
      </c>
      <c r="J52" s="98"/>
      <c r="K52" s="98"/>
      <c r="L52" s="98"/>
      <c r="M52" s="98"/>
      <c r="N52" s="98"/>
      <c r="O52" s="99" t="str">
        <f>'BL Data'!C5</f>
        <v>Jun 11, 2026 - 10:50 PM</v>
      </c>
      <c r="P52" s="100"/>
      <c r="R52" s="91">
        <f>'BL Data'!BM5/1000</f>
        <v>49</v>
      </c>
      <c r="S52" s="4" t="s">
        <v>173</v>
      </c>
      <c r="Y52" s="4" t="s">
        <v>174</v>
      </c>
      <c r="Z52" s="91">
        <f>SUM(C61:AA61)</f>
        <v>683041.45600000001</v>
      </c>
      <c r="AA52" s="105" t="str">
        <f>'Project Info'!$I$5</f>
        <v>kBtu</v>
      </c>
    </row>
    <row r="53" spans="2:27">
      <c r="F53" s="49" t="s">
        <v>176</v>
      </c>
      <c r="G53" s="86"/>
      <c r="H53" s="86"/>
      <c r="I53" s="86"/>
      <c r="J53" s="86"/>
      <c r="K53" s="86"/>
      <c r="L53" s="86"/>
      <c r="M53" s="86"/>
      <c r="N53" s="86"/>
      <c r="O53" s="86"/>
      <c r="P53" s="86"/>
      <c r="R53" s="89"/>
      <c r="S53" s="4" t="s">
        <v>173</v>
      </c>
      <c r="Z53" s="103">
        <f>IFERROR(Z52/$C$11,0)</f>
        <v>50.032336360972749</v>
      </c>
      <c r="AA53" s="105" t="str">
        <f>IF('Project Info'!$I$4=Menus!$A$2,"kWh/m²","kBtu/ft²")</f>
        <v>kBtu/ft²</v>
      </c>
    </row>
    <row r="54" spans="2:27">
      <c r="F54" s="49" t="s">
        <v>177</v>
      </c>
      <c r="G54" s="98" t="str">
        <f>IF(ISBLANK(G53),G52,G53)</f>
        <v>ASHRAE 90.1-2010 Baseline 270°</v>
      </c>
      <c r="H54" s="98"/>
      <c r="I54" s="98" t="str">
        <f>IF(ISBLANK(I53),I52,I53)</f>
        <v>Casa De Amparo_v4z 1.pdf</v>
      </c>
      <c r="J54" s="98"/>
      <c r="K54" s="98"/>
      <c r="L54" s="98"/>
      <c r="M54" s="98"/>
      <c r="N54" s="98"/>
      <c r="O54" s="98" t="str">
        <f>IF(ISBLANK(O53),O52,O53)</f>
        <v>Jun 11, 2026 - 10:50 PM</v>
      </c>
      <c r="P54" s="98"/>
      <c r="R54" s="91">
        <f>IF(ISBLANK(R53),R52,R53)</f>
        <v>49</v>
      </c>
      <c r="S54" s="4" t="s">
        <v>173</v>
      </c>
    </row>
    <row r="55" spans="2:27">
      <c r="B55" s="3"/>
      <c r="C55" s="3"/>
      <c r="D55" s="3"/>
      <c r="E55" s="3"/>
      <c r="F55" s="3"/>
      <c r="G55" s="3"/>
      <c r="H55" s="3"/>
      <c r="I55" s="3"/>
      <c r="J55" s="3"/>
      <c r="K55" s="3"/>
      <c r="L55" s="3"/>
      <c r="M55" s="3"/>
      <c r="N55" s="3"/>
      <c r="O55" s="3"/>
      <c r="P55" s="3"/>
      <c r="T55" s="6"/>
    </row>
    <row r="56" spans="2:27" ht="41.4">
      <c r="B56" s="4" t="s">
        <v>178</v>
      </c>
      <c r="C56" s="227" t="s">
        <v>179</v>
      </c>
      <c r="D56" s="228"/>
      <c r="E56" s="228"/>
      <c r="F56" s="228"/>
      <c r="G56" s="227" t="s">
        <v>180</v>
      </c>
      <c r="H56" s="228"/>
      <c r="I56" s="32" t="s">
        <v>181</v>
      </c>
      <c r="J56" s="32" t="s">
        <v>182</v>
      </c>
      <c r="K56" s="225" t="s">
        <v>183</v>
      </c>
      <c r="L56" s="226"/>
      <c r="M56" s="229"/>
      <c r="N56" s="32" t="s">
        <v>184</v>
      </c>
      <c r="O56" s="32" t="s">
        <v>185</v>
      </c>
      <c r="P56" s="32" t="s">
        <v>186</v>
      </c>
      <c r="Q56" s="32" t="s">
        <v>187</v>
      </c>
      <c r="R56" s="54" t="s">
        <v>188</v>
      </c>
      <c r="S56" s="54" t="s">
        <v>189</v>
      </c>
      <c r="T56" s="225" t="s">
        <v>190</v>
      </c>
      <c r="U56" s="226"/>
      <c r="V56" s="226"/>
      <c r="W56" s="226"/>
      <c r="X56" s="54" t="s">
        <v>191</v>
      </c>
      <c r="Y56" s="33" t="s">
        <v>192</v>
      </c>
      <c r="Z56" s="34">
        <f>'Project Info'!$I$10</f>
        <v>0</v>
      </c>
      <c r="AA56" s="34">
        <f>'Project Info'!$J$10</f>
        <v>0</v>
      </c>
    </row>
    <row r="57" spans="2:27">
      <c r="B57" s="4" t="s">
        <v>193</v>
      </c>
      <c r="C57" s="18" t="s">
        <v>59</v>
      </c>
      <c r="D57" s="18" t="s">
        <v>60</v>
      </c>
      <c r="E57" s="18" t="s">
        <v>194</v>
      </c>
      <c r="F57" s="18" t="s">
        <v>103</v>
      </c>
      <c r="G57" s="18" t="s">
        <v>59</v>
      </c>
      <c r="H57" s="18" t="s">
        <v>102</v>
      </c>
      <c r="I57" s="18" t="s">
        <v>59</v>
      </c>
      <c r="J57" s="18" t="s">
        <v>59</v>
      </c>
      <c r="K57" s="18" t="s">
        <v>59</v>
      </c>
      <c r="L57" s="18" t="s">
        <v>60</v>
      </c>
      <c r="M57" s="18" t="s">
        <v>194</v>
      </c>
      <c r="N57" s="18" t="s">
        <v>59</v>
      </c>
      <c r="O57" s="18" t="s">
        <v>59</v>
      </c>
      <c r="P57" s="18" t="s">
        <v>59</v>
      </c>
      <c r="Q57" s="18" t="s">
        <v>59</v>
      </c>
      <c r="R57" s="18" t="s">
        <v>59</v>
      </c>
      <c r="S57" s="18" t="s">
        <v>59</v>
      </c>
      <c r="T57" s="18" t="s">
        <v>59</v>
      </c>
      <c r="U57" s="18" t="s">
        <v>60</v>
      </c>
      <c r="V57" s="18" t="s">
        <v>194</v>
      </c>
      <c r="W57" s="18" t="s">
        <v>103</v>
      </c>
      <c r="X57" s="18" t="s">
        <v>59</v>
      </c>
      <c r="Y57" s="18" t="s">
        <v>59</v>
      </c>
      <c r="Z57" s="55" t="s">
        <v>59</v>
      </c>
      <c r="AA57" s="55" t="s">
        <v>59</v>
      </c>
    </row>
    <row r="58" spans="2:27">
      <c r="B58" s="4" t="s">
        <v>195</v>
      </c>
      <c r="C58" s="128" t="str">
        <f>'Project Info'!$I$5</f>
        <v>kBtu</v>
      </c>
      <c r="D58" s="128" t="str">
        <f>'Project Info'!$I$5</f>
        <v>kBtu</v>
      </c>
      <c r="E58" s="128" t="str">
        <f>'Project Info'!$I$5</f>
        <v>kBtu</v>
      </c>
      <c r="F58" s="128" t="str">
        <f>'Project Info'!$I$5</f>
        <v>kBtu</v>
      </c>
      <c r="G58" s="128" t="str">
        <f>'Project Info'!$I$5</f>
        <v>kBtu</v>
      </c>
      <c r="H58" s="128" t="str">
        <f>'Project Info'!$I$5</f>
        <v>kBtu</v>
      </c>
      <c r="I58" s="128" t="str">
        <f>'Project Info'!$I$5</f>
        <v>kBtu</v>
      </c>
      <c r="J58" s="128" t="str">
        <f>'Project Info'!$I$5</f>
        <v>kBtu</v>
      </c>
      <c r="K58" s="128" t="str">
        <f>'Project Info'!$I$5</f>
        <v>kBtu</v>
      </c>
      <c r="L58" s="128" t="str">
        <f>'Project Info'!$I$5</f>
        <v>kBtu</v>
      </c>
      <c r="M58" s="128" t="str">
        <f>'Project Info'!$I$5</f>
        <v>kBtu</v>
      </c>
      <c r="N58" s="128" t="str">
        <f>'Project Info'!$I$5</f>
        <v>kBtu</v>
      </c>
      <c r="O58" s="128" t="str">
        <f>'Project Info'!$I$5</f>
        <v>kBtu</v>
      </c>
      <c r="P58" s="128" t="str">
        <f>'Project Info'!$I$5</f>
        <v>kBtu</v>
      </c>
      <c r="Q58" s="128" t="str">
        <f>'Project Info'!$I$5</f>
        <v>kBtu</v>
      </c>
      <c r="R58" s="128" t="str">
        <f>'Project Info'!$I$5</f>
        <v>kBtu</v>
      </c>
      <c r="S58" s="128" t="str">
        <f>'Project Info'!$I$5</f>
        <v>kBtu</v>
      </c>
      <c r="T58" s="128" t="str">
        <f>'Project Info'!$I$5</f>
        <v>kBtu</v>
      </c>
      <c r="U58" s="128" t="str">
        <f>'Project Info'!$I$5</f>
        <v>kBtu</v>
      </c>
      <c r="V58" s="128" t="str">
        <f>'Project Info'!$I$5</f>
        <v>kBtu</v>
      </c>
      <c r="W58" s="128" t="str">
        <f>'Project Info'!$I$5</f>
        <v>kBtu</v>
      </c>
      <c r="X58" s="128" t="str">
        <f>'Project Info'!$I$5</f>
        <v>kBtu</v>
      </c>
      <c r="Y58" s="128" t="str">
        <f>'Project Info'!$I$5</f>
        <v>kBtu</v>
      </c>
      <c r="Z58" s="128" t="str">
        <f>'Project Info'!$I$5</f>
        <v>kBtu</v>
      </c>
      <c r="AA58" s="128" t="str">
        <f>'Project Info'!$I$5</f>
        <v>kBtu</v>
      </c>
    </row>
    <row r="59" spans="2:27">
      <c r="B59" s="4" t="s">
        <v>172</v>
      </c>
      <c r="C59" s="91">
        <f>'BL Data'!O5</f>
        <v>38579.483999999997</v>
      </c>
      <c r="D59" s="91">
        <f>'BL Data'!P5</f>
        <v>0</v>
      </c>
      <c r="E59" s="91">
        <f>'BL Data'!Q5</f>
        <v>0</v>
      </c>
      <c r="F59" s="91">
        <f>'BL Data'!R5</f>
        <v>0</v>
      </c>
      <c r="G59" s="91">
        <f>'BL Data'!S5</f>
        <v>140864.41999999998</v>
      </c>
      <c r="H59" s="91">
        <f>'BL Data'!T5</f>
        <v>0</v>
      </c>
      <c r="I59" s="91">
        <f>'BL Data'!U5</f>
        <v>153372.81200000001</v>
      </c>
      <c r="J59" s="91">
        <f>'BL Data'!V5</f>
        <v>0</v>
      </c>
      <c r="K59" s="91">
        <f>'BL Data'!W5</f>
        <v>180081.948</v>
      </c>
      <c r="L59" s="91">
        <f>'BL Data'!X5</f>
        <v>0</v>
      </c>
      <c r="M59" s="91">
        <f>'BL Data'!Y5</f>
        <v>0</v>
      </c>
      <c r="N59" s="91">
        <f>'BL Data'!Z5</f>
        <v>0</v>
      </c>
      <c r="O59" s="91">
        <f>'BL Data'!AA5</f>
        <v>170142.79199999999</v>
      </c>
      <c r="P59" s="91">
        <f>'BL Data'!AB5</f>
        <v>0</v>
      </c>
      <c r="Q59" s="91">
        <f>'BL Data'!AC5</f>
        <v>0</v>
      </c>
      <c r="R59" s="91">
        <f>'BL Data'!AD5</f>
        <v>0</v>
      </c>
      <c r="S59" s="91">
        <f>'BL Data'!AE5</f>
        <v>0</v>
      </c>
      <c r="T59" s="91">
        <f>'BL Data'!AF5</f>
        <v>0</v>
      </c>
      <c r="U59" s="91">
        <f>'BL Data'!AG5</f>
        <v>0</v>
      </c>
      <c r="V59" s="91">
        <f>'BL Data'!AH5</f>
        <v>0</v>
      </c>
      <c r="W59" s="91">
        <f>'BL Data'!AI5</f>
        <v>0</v>
      </c>
      <c r="X59" s="91">
        <f>'BL Data'!AJ5</f>
        <v>0</v>
      </c>
      <c r="Y59" s="91">
        <f>'BL Data'!AK5</f>
        <v>0</v>
      </c>
      <c r="Z59" s="91">
        <f>'BL Data'!AL5</f>
        <v>0</v>
      </c>
      <c r="AA59" s="91">
        <f>'BL Data'!AM5</f>
        <v>0</v>
      </c>
    </row>
    <row r="60" spans="2:27">
      <c r="B60" s="4" t="s">
        <v>176</v>
      </c>
      <c r="C60" s="127"/>
      <c r="D60" s="127"/>
      <c r="E60" s="127"/>
      <c r="F60" s="127"/>
      <c r="G60" s="127"/>
      <c r="H60" s="127"/>
      <c r="I60" s="127"/>
      <c r="J60" s="127"/>
      <c r="K60" s="127"/>
      <c r="L60" s="127"/>
      <c r="M60" s="127"/>
      <c r="N60" s="127"/>
      <c r="O60" s="127"/>
      <c r="P60" s="127"/>
      <c r="Q60" s="127"/>
      <c r="R60" s="127"/>
      <c r="S60" s="127"/>
      <c r="T60" s="127"/>
      <c r="U60" s="127"/>
      <c r="V60" s="127"/>
      <c r="W60" s="127"/>
      <c r="X60" s="127"/>
      <c r="Y60" s="127"/>
      <c r="Z60" s="127"/>
      <c r="AA60" s="127"/>
    </row>
    <row r="61" spans="2:27">
      <c r="B61" s="4" t="s">
        <v>177</v>
      </c>
      <c r="C61" s="91">
        <f>IF(ISBLANK(C60),C59,C60)</f>
        <v>38579.483999999997</v>
      </c>
      <c r="D61" s="91">
        <f t="shared" ref="D61:R61" si="4">IF(ISBLANK(D60),D59,D60)</f>
        <v>0</v>
      </c>
      <c r="E61" s="91">
        <f t="shared" si="4"/>
        <v>0</v>
      </c>
      <c r="F61" s="91">
        <f t="shared" si="4"/>
        <v>0</v>
      </c>
      <c r="G61" s="91">
        <f t="shared" si="4"/>
        <v>140864.41999999998</v>
      </c>
      <c r="H61" s="91">
        <f t="shared" si="4"/>
        <v>0</v>
      </c>
      <c r="I61" s="91">
        <f t="shared" si="4"/>
        <v>153372.81200000001</v>
      </c>
      <c r="J61" s="91">
        <f t="shared" si="4"/>
        <v>0</v>
      </c>
      <c r="K61" s="91">
        <f t="shared" si="4"/>
        <v>180081.948</v>
      </c>
      <c r="L61" s="91">
        <f>IF(ISBLANK(L60),L59,L60)</f>
        <v>0</v>
      </c>
      <c r="M61" s="91">
        <f>IF(ISBLANK(M60),M59,M60)</f>
        <v>0</v>
      </c>
      <c r="N61" s="91">
        <f t="shared" si="4"/>
        <v>0</v>
      </c>
      <c r="O61" s="91">
        <f t="shared" si="4"/>
        <v>170142.79199999999</v>
      </c>
      <c r="P61" s="91">
        <f t="shared" si="4"/>
        <v>0</v>
      </c>
      <c r="Q61" s="91">
        <f t="shared" si="4"/>
        <v>0</v>
      </c>
      <c r="R61" s="91">
        <f t="shared" si="4"/>
        <v>0</v>
      </c>
      <c r="S61" s="91">
        <f t="shared" ref="S61:AA61" si="5">IF(ISBLANK(S60),S59,S60)</f>
        <v>0</v>
      </c>
      <c r="T61" s="91">
        <f t="shared" si="5"/>
        <v>0</v>
      </c>
      <c r="U61" s="91">
        <f t="shared" si="5"/>
        <v>0</v>
      </c>
      <c r="V61" s="91">
        <f t="shared" si="5"/>
        <v>0</v>
      </c>
      <c r="W61" s="91">
        <f t="shared" si="5"/>
        <v>0</v>
      </c>
      <c r="X61" s="91">
        <f t="shared" si="5"/>
        <v>0</v>
      </c>
      <c r="Y61" s="91">
        <f t="shared" si="5"/>
        <v>0</v>
      </c>
      <c r="Z61" s="91">
        <f t="shared" si="5"/>
        <v>0</v>
      </c>
      <c r="AA61" s="91">
        <f t="shared" si="5"/>
        <v>0</v>
      </c>
    </row>
  </sheetData>
  <sheetProtection selectLockedCells="1"/>
  <mergeCells count="18">
    <mergeCell ref="C14:F14"/>
    <mergeCell ref="G14:H14"/>
    <mergeCell ref="B4:AA5"/>
    <mergeCell ref="T14:W14"/>
    <mergeCell ref="C56:F56"/>
    <mergeCell ref="G56:H56"/>
    <mergeCell ref="T56:W56"/>
    <mergeCell ref="C28:F28"/>
    <mergeCell ref="G28:H28"/>
    <mergeCell ref="T28:W28"/>
    <mergeCell ref="C42:F42"/>
    <mergeCell ref="G42:H42"/>
    <mergeCell ref="T42:W42"/>
    <mergeCell ref="C10:D10"/>
    <mergeCell ref="K14:M14"/>
    <mergeCell ref="K28:M28"/>
    <mergeCell ref="K42:M42"/>
    <mergeCell ref="K56:M56"/>
  </mergeCells>
  <dataValidations count="1">
    <dataValidation type="list" allowBlank="1" showInputMessage="1" showErrorMessage="1" sqref="C10" xr:uid="{CF98E2D1-5826-43D6-9BB5-642A0DEE5666}">
      <formula1>Baseline</formula1>
    </dataValidation>
  </dataValidation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4B110-6798-4527-901C-1BE278EA6604}">
  <sheetPr>
    <tabColor theme="0" tint="-0.14999847407452621"/>
  </sheetPr>
  <dimension ref="A1:AA61"/>
  <sheetViews>
    <sheetView showGridLines="0" workbookViewId="0"/>
  </sheetViews>
  <sheetFormatPr defaultColWidth="9.109375" defaultRowHeight="15"/>
  <cols>
    <col min="1" max="1" width="3.5546875" style="1" customWidth="1"/>
    <col min="2" max="2" width="12.5546875" style="1" customWidth="1"/>
    <col min="3" max="27" width="9.5546875" style="1" customWidth="1"/>
    <col min="28" max="28" width="10.5546875" style="1" customWidth="1"/>
    <col min="29" max="16384" width="9.109375" style="1"/>
  </cols>
  <sheetData>
    <row r="1" spans="1:27">
      <c r="A1" s="76" t="s">
        <v>196</v>
      </c>
      <c r="B1" s="77"/>
      <c r="C1" s="77"/>
      <c r="D1" s="77"/>
      <c r="E1" s="77"/>
      <c r="F1" s="77"/>
      <c r="G1" s="77"/>
      <c r="H1" s="77"/>
      <c r="I1" s="77"/>
      <c r="J1" s="77"/>
      <c r="K1" s="77"/>
      <c r="L1" s="77"/>
      <c r="M1" s="77"/>
      <c r="N1" s="77"/>
      <c r="O1" s="77"/>
      <c r="P1" s="77"/>
      <c r="Q1" s="77"/>
      <c r="R1" s="77"/>
      <c r="S1" s="77"/>
      <c r="T1" s="77"/>
      <c r="U1" s="77"/>
      <c r="V1" s="77"/>
      <c r="W1" s="77"/>
      <c r="X1" s="77"/>
      <c r="Y1" s="77"/>
      <c r="Z1" s="77"/>
      <c r="AA1" s="77"/>
    </row>
    <row r="3" spans="1:27" ht="15.6" thickBot="1">
      <c r="B3" s="63" t="s">
        <v>1</v>
      </c>
      <c r="C3" s="63"/>
      <c r="D3" s="63"/>
      <c r="E3" s="63"/>
      <c r="F3" s="63"/>
      <c r="G3" s="63"/>
      <c r="H3" s="63"/>
      <c r="I3" s="63"/>
      <c r="J3" s="63"/>
      <c r="K3" s="63"/>
      <c r="L3" s="63"/>
      <c r="M3" s="63"/>
      <c r="N3" s="63"/>
      <c r="O3" s="63"/>
      <c r="P3" s="63"/>
      <c r="Q3" s="63"/>
      <c r="R3" s="63"/>
      <c r="S3" s="63"/>
      <c r="T3" s="63"/>
      <c r="U3" s="63"/>
      <c r="V3" s="63"/>
      <c r="W3" s="63"/>
      <c r="X3" s="63"/>
      <c r="Y3" s="63"/>
      <c r="Z3" s="63"/>
      <c r="AA3" s="63"/>
    </row>
    <row r="4" spans="1:27" ht="15.75" customHeight="1">
      <c r="B4" s="214" t="s">
        <v>165</v>
      </c>
      <c r="C4" s="214"/>
      <c r="D4" s="214"/>
      <c r="E4" s="214"/>
      <c r="F4" s="214"/>
      <c r="G4" s="214"/>
      <c r="H4" s="214"/>
      <c r="I4" s="214"/>
      <c r="J4" s="214"/>
      <c r="K4" s="214"/>
      <c r="L4" s="214"/>
      <c r="M4" s="214"/>
      <c r="N4" s="214"/>
      <c r="O4" s="214"/>
      <c r="P4" s="214"/>
      <c r="Q4" s="214"/>
      <c r="R4" s="214"/>
      <c r="S4" s="214"/>
      <c r="T4" s="214"/>
      <c r="U4" s="214"/>
      <c r="V4" s="214"/>
      <c r="W4" s="214"/>
      <c r="X4" s="214"/>
      <c r="Y4" s="214"/>
      <c r="Z4" s="214"/>
      <c r="AA4" s="214"/>
    </row>
    <row r="5" spans="1:27">
      <c r="B5" s="214"/>
      <c r="C5" s="214"/>
      <c r="D5" s="214"/>
      <c r="E5" s="214"/>
      <c r="F5" s="214"/>
      <c r="G5" s="214"/>
      <c r="H5" s="214"/>
      <c r="I5" s="214"/>
      <c r="J5" s="214"/>
      <c r="K5" s="214"/>
      <c r="L5" s="214"/>
      <c r="M5" s="214"/>
      <c r="N5" s="214"/>
      <c r="O5" s="214"/>
      <c r="P5" s="214"/>
      <c r="Q5" s="214"/>
      <c r="R5" s="214"/>
      <c r="S5" s="214"/>
      <c r="T5" s="214"/>
      <c r="U5" s="214"/>
      <c r="V5" s="214"/>
      <c r="W5" s="214"/>
      <c r="X5" s="214"/>
      <c r="Y5" s="214"/>
      <c r="Z5" s="214"/>
      <c r="AA5" s="214"/>
    </row>
    <row r="6" spans="1:27">
      <c r="C6" s="48"/>
      <c r="D6" s="48"/>
      <c r="F6" s="3"/>
      <c r="G6" s="3"/>
      <c r="H6" s="3"/>
      <c r="I6" s="3"/>
      <c r="J6" s="3"/>
      <c r="K6" s="3"/>
      <c r="L6" s="3"/>
      <c r="M6" s="3"/>
      <c r="N6" s="3"/>
      <c r="O6" s="3"/>
      <c r="P6" s="3"/>
      <c r="T6" s="6"/>
    </row>
    <row r="7" spans="1:27">
      <c r="B7" s="30" t="str">
        <f>IF($C$10=Menus!$I$2,$A$1,_xlfn.CONCAT($A$1," 0° Rotation"))</f>
        <v>Code Baseline Results Worksheet 0° Rotation</v>
      </c>
      <c r="C7" s="30"/>
      <c r="D7" s="30"/>
      <c r="E7" s="30"/>
      <c r="F7" s="30"/>
      <c r="G7" s="30"/>
      <c r="H7" s="30"/>
      <c r="I7" s="30"/>
      <c r="J7" s="30"/>
      <c r="K7" s="30"/>
      <c r="L7" s="30"/>
      <c r="M7" s="30"/>
      <c r="N7" s="30"/>
      <c r="O7" s="30"/>
      <c r="P7" s="30"/>
      <c r="Q7" s="30"/>
      <c r="R7" s="30"/>
      <c r="S7" s="30"/>
      <c r="T7" s="30"/>
      <c r="U7" s="30"/>
      <c r="V7" s="30"/>
      <c r="W7" s="30"/>
      <c r="X7" s="30"/>
      <c r="Y7" s="30"/>
      <c r="Z7" s="30"/>
      <c r="AA7" s="30"/>
    </row>
    <row r="9" spans="1:27" ht="15.6" thickBot="1">
      <c r="A9" s="3"/>
      <c r="B9" s="85" t="str">
        <f>IF(AND(C10=Menus!$I$3,OR(Z24=0,Z38=0,Z52=0)),"Missing baseline rotations. Set to '"&amp;Menus!$I$2&amp;"'"," ")</f>
        <v>Missing baseline rotations. Set to '0° Baseline Only'</v>
      </c>
      <c r="F9" s="3"/>
      <c r="G9" s="63" t="s">
        <v>166</v>
      </c>
      <c r="H9" s="63"/>
      <c r="I9" s="63" t="s">
        <v>167</v>
      </c>
      <c r="J9" s="63"/>
      <c r="K9" s="63"/>
      <c r="L9" s="63"/>
      <c r="M9" s="63"/>
      <c r="N9" s="63"/>
      <c r="O9" s="63" t="s">
        <v>118</v>
      </c>
      <c r="P9" s="63"/>
      <c r="R9" s="63" t="s">
        <v>168</v>
      </c>
      <c r="S9" s="63"/>
      <c r="T9" s="63"/>
      <c r="Y9" s="63" t="s">
        <v>169</v>
      </c>
      <c r="Z9" s="63"/>
      <c r="AA9" s="63"/>
    </row>
    <row r="10" spans="1:27">
      <c r="B10" s="4" t="s">
        <v>170</v>
      </c>
      <c r="C10" s="218" t="s">
        <v>171</v>
      </c>
      <c r="D10" s="219"/>
      <c r="F10" s="49" t="s">
        <v>172</v>
      </c>
      <c r="G10" s="98">
        <f>'BL Data'!A6</f>
        <v>0</v>
      </c>
      <c r="H10" s="98"/>
      <c r="I10" s="98">
        <f>'BL Data'!B6</f>
        <v>0</v>
      </c>
      <c r="J10" s="98"/>
      <c r="K10" s="98"/>
      <c r="L10" s="98"/>
      <c r="M10" s="98"/>
      <c r="N10" s="98"/>
      <c r="O10" s="99">
        <f>'BL Data'!C6</f>
        <v>0</v>
      </c>
      <c r="P10" s="100"/>
      <c r="R10" s="98">
        <f>'BL Data'!BM6/1000</f>
        <v>0</v>
      </c>
      <c r="S10" s="4" t="s">
        <v>173</v>
      </c>
      <c r="Y10" s="4" t="s">
        <v>174</v>
      </c>
      <c r="Z10" s="91">
        <f>SUM(C19:AA19)</f>
        <v>0</v>
      </c>
      <c r="AA10" s="105" t="str">
        <f>'Project Info'!$I$5</f>
        <v>kBtu</v>
      </c>
    </row>
    <row r="11" spans="1:27">
      <c r="B11" s="4" t="s">
        <v>175</v>
      </c>
      <c r="C11" s="91">
        <f>IFERROR(IF(ISBLANK('Project Info'!$D$7),'BL Data'!BP6,'Project Info'!$D$7),0)</f>
        <v>13652</v>
      </c>
      <c r="D11" s="105" t="str">
        <f>IF($I$11="SI","m²","ft²")</f>
        <v>ft²</v>
      </c>
      <c r="F11" s="49" t="s">
        <v>176</v>
      </c>
      <c r="G11" s="86"/>
      <c r="H11" s="86"/>
      <c r="I11" s="86"/>
      <c r="J11" s="86"/>
      <c r="K11" s="86"/>
      <c r="L11" s="86"/>
      <c r="M11" s="86"/>
      <c r="N11" s="86"/>
      <c r="O11" s="86"/>
      <c r="P11" s="86"/>
      <c r="R11" s="89"/>
      <c r="S11" s="4" t="s">
        <v>173</v>
      </c>
      <c r="Z11" s="103">
        <f>IFERROR(Z10/$C$11,0)</f>
        <v>0</v>
      </c>
      <c r="AA11" s="105" t="str">
        <f>IF('Project Info'!$I$4=Menus!$A$2,"kWh/m²","kBtu/ft²")</f>
        <v>kBtu/ft²</v>
      </c>
    </row>
    <row r="12" spans="1:27">
      <c r="F12" s="49" t="s">
        <v>177</v>
      </c>
      <c r="G12" s="98" t="str">
        <f>IF(ISBLANK(G11),IF(G10=0,"Code Baseline",G10),G11)</f>
        <v>Code Baseline</v>
      </c>
      <c r="H12" s="98"/>
      <c r="I12" s="98">
        <f>IF(ISBLANK(I11),I10,I11)</f>
        <v>0</v>
      </c>
      <c r="J12" s="98"/>
      <c r="K12" s="98"/>
      <c r="L12" s="98"/>
      <c r="M12" s="98"/>
      <c r="N12" s="98"/>
      <c r="O12" s="98">
        <f>IF(ISBLANK(O11),O10,O11)</f>
        <v>0</v>
      </c>
      <c r="P12" s="98"/>
      <c r="R12" s="98">
        <f>IF(ISBLANK(R11),R10,R11)</f>
        <v>0</v>
      </c>
      <c r="S12" s="4" t="s">
        <v>173</v>
      </c>
    </row>
    <row r="13" spans="1:27">
      <c r="B13" s="3"/>
      <c r="C13" s="3"/>
      <c r="D13" s="3"/>
      <c r="E13" s="3"/>
      <c r="F13" s="3"/>
      <c r="G13" s="3"/>
      <c r="H13" s="3"/>
      <c r="I13" s="3"/>
      <c r="J13" s="3"/>
      <c r="K13" s="3"/>
      <c r="L13" s="3"/>
      <c r="M13" s="3"/>
      <c r="N13" s="3"/>
      <c r="O13" s="3"/>
      <c r="P13" s="3"/>
      <c r="T13" s="6"/>
    </row>
    <row r="14" spans="1:27" ht="41.4">
      <c r="A14" s="2"/>
      <c r="B14" s="4" t="s">
        <v>178</v>
      </c>
      <c r="C14" s="227" t="s">
        <v>179</v>
      </c>
      <c r="D14" s="228"/>
      <c r="E14" s="228"/>
      <c r="F14" s="228"/>
      <c r="G14" s="227" t="s">
        <v>180</v>
      </c>
      <c r="H14" s="228"/>
      <c r="I14" s="32" t="s">
        <v>181</v>
      </c>
      <c r="J14" s="32" t="s">
        <v>182</v>
      </c>
      <c r="K14" s="225" t="s">
        <v>183</v>
      </c>
      <c r="L14" s="226"/>
      <c r="M14" s="229"/>
      <c r="N14" s="32" t="s">
        <v>184</v>
      </c>
      <c r="O14" s="32" t="s">
        <v>185</v>
      </c>
      <c r="P14" s="32" t="s">
        <v>186</v>
      </c>
      <c r="Q14" s="32" t="s">
        <v>187</v>
      </c>
      <c r="R14" s="54" t="s">
        <v>188</v>
      </c>
      <c r="S14" s="54" t="s">
        <v>189</v>
      </c>
      <c r="T14" s="225" t="s">
        <v>190</v>
      </c>
      <c r="U14" s="226"/>
      <c r="V14" s="226"/>
      <c r="W14" s="226"/>
      <c r="X14" s="54" t="s">
        <v>191</v>
      </c>
      <c r="Y14" s="33" t="s">
        <v>192</v>
      </c>
      <c r="Z14" s="34">
        <f>'Project Info'!$I$10</f>
        <v>0</v>
      </c>
      <c r="AA14" s="34">
        <f>'Project Info'!$J$10</f>
        <v>0</v>
      </c>
    </row>
    <row r="15" spans="1:27">
      <c r="A15" s="7"/>
      <c r="B15" s="4" t="s">
        <v>193</v>
      </c>
      <c r="C15" s="18" t="s">
        <v>59</v>
      </c>
      <c r="D15" s="18" t="s">
        <v>60</v>
      </c>
      <c r="E15" s="18" t="s">
        <v>194</v>
      </c>
      <c r="F15" s="18" t="s">
        <v>103</v>
      </c>
      <c r="G15" s="18" t="s">
        <v>59</v>
      </c>
      <c r="H15" s="18" t="s">
        <v>102</v>
      </c>
      <c r="I15" s="18" t="s">
        <v>59</v>
      </c>
      <c r="J15" s="18" t="s">
        <v>59</v>
      </c>
      <c r="K15" s="18" t="s">
        <v>59</v>
      </c>
      <c r="L15" s="18" t="s">
        <v>60</v>
      </c>
      <c r="M15" s="18" t="s">
        <v>194</v>
      </c>
      <c r="N15" s="18" t="s">
        <v>59</v>
      </c>
      <c r="O15" s="18" t="s">
        <v>59</v>
      </c>
      <c r="P15" s="18" t="s">
        <v>59</v>
      </c>
      <c r="Q15" s="18" t="s">
        <v>59</v>
      </c>
      <c r="R15" s="18" t="s">
        <v>59</v>
      </c>
      <c r="S15" s="18" t="s">
        <v>59</v>
      </c>
      <c r="T15" s="18" t="s">
        <v>59</v>
      </c>
      <c r="U15" s="18" t="s">
        <v>60</v>
      </c>
      <c r="V15" s="18" t="s">
        <v>194</v>
      </c>
      <c r="W15" s="18" t="s">
        <v>103</v>
      </c>
      <c r="X15" s="18" t="s">
        <v>59</v>
      </c>
      <c r="Y15" s="18" t="s">
        <v>59</v>
      </c>
      <c r="Z15" s="55" t="s">
        <v>59</v>
      </c>
      <c r="AA15" s="55" t="s">
        <v>59</v>
      </c>
    </row>
    <row r="16" spans="1:27">
      <c r="A16" s="7"/>
      <c r="B16" s="4" t="s">
        <v>195</v>
      </c>
      <c r="C16" s="128" t="str">
        <f>'Project Info'!$I$5</f>
        <v>kBtu</v>
      </c>
      <c r="D16" s="128" t="str">
        <f>'Project Info'!$I$5</f>
        <v>kBtu</v>
      </c>
      <c r="E16" s="128" t="str">
        <f>'Project Info'!$I$5</f>
        <v>kBtu</v>
      </c>
      <c r="F16" s="128" t="str">
        <f>'Project Info'!$I$5</f>
        <v>kBtu</v>
      </c>
      <c r="G16" s="128" t="str">
        <f>'Project Info'!$I$5</f>
        <v>kBtu</v>
      </c>
      <c r="H16" s="128" t="str">
        <f>'Project Info'!$I$5</f>
        <v>kBtu</v>
      </c>
      <c r="I16" s="128" t="str">
        <f>'Project Info'!$I$5</f>
        <v>kBtu</v>
      </c>
      <c r="J16" s="128" t="str">
        <f>'Project Info'!$I$5</f>
        <v>kBtu</v>
      </c>
      <c r="K16" s="128" t="str">
        <f>'Project Info'!$I$5</f>
        <v>kBtu</v>
      </c>
      <c r="L16" s="128" t="str">
        <f>'Project Info'!$I$5</f>
        <v>kBtu</v>
      </c>
      <c r="M16" s="128" t="str">
        <f>'Project Info'!$I$5</f>
        <v>kBtu</v>
      </c>
      <c r="N16" s="128" t="str">
        <f>'Project Info'!$I$5</f>
        <v>kBtu</v>
      </c>
      <c r="O16" s="128" t="str">
        <f>'Project Info'!$I$5</f>
        <v>kBtu</v>
      </c>
      <c r="P16" s="128" t="str">
        <f>'Project Info'!$I$5</f>
        <v>kBtu</v>
      </c>
      <c r="Q16" s="128" t="str">
        <f>'Project Info'!$I$5</f>
        <v>kBtu</v>
      </c>
      <c r="R16" s="128" t="str">
        <f>'Project Info'!$I$5</f>
        <v>kBtu</v>
      </c>
      <c r="S16" s="128" t="str">
        <f>'Project Info'!$I$5</f>
        <v>kBtu</v>
      </c>
      <c r="T16" s="128" t="str">
        <f>'Project Info'!$I$5</f>
        <v>kBtu</v>
      </c>
      <c r="U16" s="128" t="str">
        <f>'Project Info'!$I$5</f>
        <v>kBtu</v>
      </c>
      <c r="V16" s="128" t="str">
        <f>'Project Info'!$I$5</f>
        <v>kBtu</v>
      </c>
      <c r="W16" s="128" t="str">
        <f>'Project Info'!$I$5</f>
        <v>kBtu</v>
      </c>
      <c r="X16" s="128" t="str">
        <f>'Project Info'!$I$5</f>
        <v>kBtu</v>
      </c>
      <c r="Y16" s="128" t="str">
        <f>'Project Info'!$I$5</f>
        <v>kBtu</v>
      </c>
      <c r="Z16" s="128" t="str">
        <f>'Project Info'!$I$5</f>
        <v>kBtu</v>
      </c>
      <c r="AA16" s="128" t="str">
        <f>'Project Info'!$I$5</f>
        <v>kBtu</v>
      </c>
    </row>
    <row r="17" spans="1:27">
      <c r="A17" s="7"/>
      <c r="B17" s="4" t="s">
        <v>172</v>
      </c>
      <c r="C17" s="91">
        <f>'BL Data'!O6</f>
        <v>0</v>
      </c>
      <c r="D17" s="91">
        <f>'BL Data'!P6</f>
        <v>0</v>
      </c>
      <c r="E17" s="91">
        <f>'BL Data'!Q6</f>
        <v>0</v>
      </c>
      <c r="F17" s="91">
        <f>'BL Data'!R6</f>
        <v>0</v>
      </c>
      <c r="G17" s="91">
        <f>'BL Data'!S6</f>
        <v>0</v>
      </c>
      <c r="H17" s="91">
        <f>'BL Data'!T6</f>
        <v>0</v>
      </c>
      <c r="I17" s="91">
        <f>'BL Data'!U6</f>
        <v>0</v>
      </c>
      <c r="J17" s="91">
        <f>'BL Data'!V6</f>
        <v>0</v>
      </c>
      <c r="K17" s="91">
        <f>'BL Data'!W6</f>
        <v>0</v>
      </c>
      <c r="L17" s="91">
        <f>'BL Data'!X6</f>
        <v>0</v>
      </c>
      <c r="M17" s="91">
        <f>'BL Data'!Y6</f>
        <v>0</v>
      </c>
      <c r="N17" s="91">
        <f>'BL Data'!Z6</f>
        <v>0</v>
      </c>
      <c r="O17" s="91">
        <f>'BL Data'!AA6</f>
        <v>0</v>
      </c>
      <c r="P17" s="91">
        <f>'BL Data'!AB6</f>
        <v>0</v>
      </c>
      <c r="Q17" s="91">
        <f>'BL Data'!AC6</f>
        <v>0</v>
      </c>
      <c r="R17" s="91">
        <f>'BL Data'!AD6</f>
        <v>0</v>
      </c>
      <c r="S17" s="91">
        <f>'BL Data'!AE6</f>
        <v>0</v>
      </c>
      <c r="T17" s="91">
        <f>'BL Data'!AF6</f>
        <v>0</v>
      </c>
      <c r="U17" s="91">
        <f>'BL Data'!AG6</f>
        <v>0</v>
      </c>
      <c r="V17" s="91">
        <f>'BL Data'!AH6</f>
        <v>0</v>
      </c>
      <c r="W17" s="91">
        <f>'BL Data'!AI6</f>
        <v>0</v>
      </c>
      <c r="X17" s="91">
        <f>'BL Data'!AJ6</f>
        <v>0</v>
      </c>
      <c r="Y17" s="91">
        <f>'BL Data'!AK6</f>
        <v>0</v>
      </c>
      <c r="Z17" s="91">
        <f>'BL Data'!AL6</f>
        <v>0</v>
      </c>
      <c r="AA17" s="91">
        <f>'BL Data'!AM6</f>
        <v>0</v>
      </c>
    </row>
    <row r="18" spans="1:27">
      <c r="B18" s="4" t="s">
        <v>176</v>
      </c>
      <c r="C18" s="127"/>
      <c r="D18" s="127"/>
      <c r="E18" s="127"/>
      <c r="F18" s="127"/>
      <c r="G18" s="127"/>
      <c r="H18" s="127"/>
      <c r="I18" s="127"/>
      <c r="J18" s="127"/>
      <c r="K18" s="127"/>
      <c r="L18" s="127"/>
      <c r="M18" s="127"/>
      <c r="N18" s="127"/>
      <c r="O18" s="127"/>
      <c r="P18" s="127"/>
      <c r="Q18" s="127"/>
      <c r="R18" s="127"/>
      <c r="S18" s="127"/>
      <c r="T18" s="127"/>
      <c r="U18" s="127"/>
      <c r="V18" s="127"/>
      <c r="W18" s="127"/>
      <c r="X18" s="127"/>
      <c r="Y18" s="127"/>
      <c r="Z18" s="127"/>
      <c r="AA18" s="127"/>
    </row>
    <row r="19" spans="1:27">
      <c r="B19" s="4" t="s">
        <v>177</v>
      </c>
      <c r="C19" s="91">
        <f>IF(ISBLANK(C18),C17,C18)</f>
        <v>0</v>
      </c>
      <c r="D19" s="91">
        <f t="shared" ref="D19:R19" si="0">IF(ISBLANK(D18),D17,D18)</f>
        <v>0</v>
      </c>
      <c r="E19" s="91">
        <f t="shared" si="0"/>
        <v>0</v>
      </c>
      <c r="F19" s="91">
        <f t="shared" si="0"/>
        <v>0</v>
      </c>
      <c r="G19" s="91">
        <f t="shared" si="0"/>
        <v>0</v>
      </c>
      <c r="H19" s="91">
        <f t="shared" si="0"/>
        <v>0</v>
      </c>
      <c r="I19" s="91">
        <f t="shared" si="0"/>
        <v>0</v>
      </c>
      <c r="J19" s="91">
        <f t="shared" si="0"/>
        <v>0</v>
      </c>
      <c r="K19" s="91">
        <f t="shared" si="0"/>
        <v>0</v>
      </c>
      <c r="L19" s="91">
        <f>IF(ISBLANK(L18),L17,L18)</f>
        <v>0</v>
      </c>
      <c r="M19" s="91">
        <f>IF(ISBLANK(M18),M17,M18)</f>
        <v>0</v>
      </c>
      <c r="N19" s="91">
        <f t="shared" si="0"/>
        <v>0</v>
      </c>
      <c r="O19" s="91">
        <f t="shared" si="0"/>
        <v>0</v>
      </c>
      <c r="P19" s="91">
        <f t="shared" si="0"/>
        <v>0</v>
      </c>
      <c r="Q19" s="91">
        <f t="shared" si="0"/>
        <v>0</v>
      </c>
      <c r="R19" s="91">
        <f t="shared" si="0"/>
        <v>0</v>
      </c>
      <c r="S19" s="91">
        <f t="shared" ref="S19:AA19" si="1">IF(ISBLANK(S18),S17,S18)</f>
        <v>0</v>
      </c>
      <c r="T19" s="91">
        <f t="shared" si="1"/>
        <v>0</v>
      </c>
      <c r="U19" s="91">
        <f t="shared" si="1"/>
        <v>0</v>
      </c>
      <c r="V19" s="91">
        <f t="shared" si="1"/>
        <v>0</v>
      </c>
      <c r="W19" s="91">
        <f t="shared" si="1"/>
        <v>0</v>
      </c>
      <c r="X19" s="91">
        <f t="shared" si="1"/>
        <v>0</v>
      </c>
      <c r="Y19" s="91">
        <f t="shared" si="1"/>
        <v>0</v>
      </c>
      <c r="Z19" s="91">
        <f t="shared" si="1"/>
        <v>0</v>
      </c>
      <c r="AA19" s="91">
        <f t="shared" si="1"/>
        <v>0</v>
      </c>
    </row>
    <row r="21" spans="1:27">
      <c r="B21" s="30" t="str">
        <f>IF($C$10=Menus!$I$2,"N/A",_xlfn.CONCAT($A$1," 90° Rotation"))</f>
        <v>Code Baseline Results Worksheet 90° Rotation</v>
      </c>
      <c r="C21" s="30"/>
      <c r="D21" s="30"/>
      <c r="E21" s="30"/>
      <c r="F21" s="30"/>
      <c r="G21" s="30"/>
      <c r="H21" s="30"/>
      <c r="I21" s="30"/>
      <c r="J21" s="30"/>
      <c r="K21" s="30"/>
      <c r="L21" s="30"/>
      <c r="M21" s="30"/>
      <c r="N21" s="30"/>
      <c r="O21" s="30"/>
      <c r="P21" s="30"/>
      <c r="Q21" s="30"/>
      <c r="R21" s="30"/>
      <c r="S21" s="30"/>
      <c r="T21" s="30"/>
      <c r="U21" s="30"/>
      <c r="V21" s="30"/>
      <c r="W21" s="30"/>
      <c r="X21" s="30"/>
      <c r="Y21" s="30"/>
      <c r="Z21" s="30"/>
      <c r="AA21" s="30"/>
    </row>
    <row r="23" spans="1:27" ht="15.6" thickBot="1">
      <c r="A23" s="3"/>
      <c r="B23" s="85" t="str">
        <f>IF(AND(C24=Menus!$I$3,OR(Z38=0,Z52=0,Z66=0)),"Missing baseline rotations. Set to '"&amp;Menus!$I$2&amp;"'"," ")</f>
        <v xml:space="preserve"> </v>
      </c>
      <c r="F23" s="3"/>
      <c r="G23" s="63" t="s">
        <v>166</v>
      </c>
      <c r="H23" s="63"/>
      <c r="I23" s="63" t="s">
        <v>167</v>
      </c>
      <c r="J23" s="63"/>
      <c r="K23" s="63"/>
      <c r="L23" s="63"/>
      <c r="M23" s="63"/>
      <c r="N23" s="63"/>
      <c r="O23" s="63" t="s">
        <v>118</v>
      </c>
      <c r="P23" s="63"/>
      <c r="R23" s="63" t="s">
        <v>168</v>
      </c>
      <c r="S23" s="63"/>
      <c r="T23" s="63"/>
      <c r="Y23" s="63" t="s">
        <v>169</v>
      </c>
      <c r="Z23" s="63"/>
      <c r="AA23" s="63"/>
    </row>
    <row r="24" spans="1:27">
      <c r="F24" s="49" t="s">
        <v>172</v>
      </c>
      <c r="G24" s="50">
        <f>'BL Data'!A7</f>
        <v>0</v>
      </c>
      <c r="H24" s="50"/>
      <c r="I24" s="50">
        <f>'BL Data'!B7</f>
        <v>0</v>
      </c>
      <c r="J24" s="50"/>
      <c r="K24" s="50"/>
      <c r="L24" s="50"/>
      <c r="M24" s="50"/>
      <c r="N24" s="50"/>
      <c r="O24" s="51">
        <f>'BL Data'!C7</f>
        <v>0</v>
      </c>
      <c r="P24" s="52"/>
      <c r="R24" s="50">
        <f>'BL Data'!BM7/1000</f>
        <v>0</v>
      </c>
      <c r="S24" s="4" t="s">
        <v>173</v>
      </c>
      <c r="Y24" s="4" t="s">
        <v>174</v>
      </c>
      <c r="Z24" s="91">
        <f>SUM(C33:AA33)</f>
        <v>0</v>
      </c>
      <c r="AA24" s="105" t="str">
        <f>'Project Info'!$I$5</f>
        <v>kBtu</v>
      </c>
    </row>
    <row r="25" spans="1:27">
      <c r="F25" s="49" t="s">
        <v>176</v>
      </c>
      <c r="G25" s="86"/>
      <c r="H25" s="86"/>
      <c r="I25" s="86"/>
      <c r="J25" s="86"/>
      <c r="K25" s="86"/>
      <c r="L25" s="86"/>
      <c r="M25" s="86"/>
      <c r="N25" s="86"/>
      <c r="O25" s="86"/>
      <c r="P25" s="86"/>
      <c r="R25" s="89"/>
      <c r="S25" s="4" t="s">
        <v>173</v>
      </c>
      <c r="Z25" s="103">
        <f>IFERROR(Z24/$C$11,0)</f>
        <v>0</v>
      </c>
      <c r="AA25" s="105" t="str">
        <f>IF('Project Info'!$I$4=Menus!$A$2,"kWh/m²","kBtu/ft²")</f>
        <v>kBtu/ft²</v>
      </c>
    </row>
    <row r="26" spans="1:27">
      <c r="F26" s="49" t="s">
        <v>177</v>
      </c>
      <c r="G26" s="50">
        <f>IF(ISBLANK(G25),G24,G25)</f>
        <v>0</v>
      </c>
      <c r="H26" s="50"/>
      <c r="I26" s="50">
        <f>IF(ISBLANK(I25),I24,I25)</f>
        <v>0</v>
      </c>
      <c r="J26" s="50"/>
      <c r="K26" s="50"/>
      <c r="L26" s="50"/>
      <c r="M26" s="50"/>
      <c r="N26" s="50"/>
      <c r="O26" s="50">
        <f>IF(ISBLANK(O25),O24,O25)</f>
        <v>0</v>
      </c>
      <c r="P26" s="50"/>
      <c r="R26" s="50">
        <f>IF(ISBLANK(R25),R24,R25)</f>
        <v>0</v>
      </c>
      <c r="S26" s="4" t="s">
        <v>173</v>
      </c>
    </row>
    <row r="27" spans="1:27">
      <c r="B27" s="3"/>
      <c r="C27" s="3"/>
      <c r="D27" s="3"/>
      <c r="E27" s="3"/>
      <c r="F27" s="3"/>
      <c r="G27" s="3"/>
      <c r="H27" s="3"/>
      <c r="I27" s="3"/>
      <c r="J27" s="3"/>
      <c r="K27" s="3"/>
      <c r="L27" s="3"/>
      <c r="M27" s="3"/>
      <c r="N27" s="3"/>
      <c r="O27" s="3"/>
      <c r="P27" s="3"/>
      <c r="T27" s="6"/>
    </row>
    <row r="28" spans="1:27" ht="41.4">
      <c r="B28" s="4" t="s">
        <v>178</v>
      </c>
      <c r="C28" s="227" t="s">
        <v>179</v>
      </c>
      <c r="D28" s="228"/>
      <c r="E28" s="228"/>
      <c r="F28" s="228"/>
      <c r="G28" s="227" t="s">
        <v>180</v>
      </c>
      <c r="H28" s="228"/>
      <c r="I28" s="32" t="s">
        <v>181</v>
      </c>
      <c r="J28" s="32" t="s">
        <v>182</v>
      </c>
      <c r="K28" s="225" t="s">
        <v>183</v>
      </c>
      <c r="L28" s="226"/>
      <c r="M28" s="229"/>
      <c r="N28" s="32" t="s">
        <v>184</v>
      </c>
      <c r="O28" s="32" t="s">
        <v>185</v>
      </c>
      <c r="P28" s="32" t="s">
        <v>186</v>
      </c>
      <c r="Q28" s="32" t="s">
        <v>187</v>
      </c>
      <c r="R28" s="54" t="s">
        <v>188</v>
      </c>
      <c r="S28" s="54" t="s">
        <v>189</v>
      </c>
      <c r="T28" s="225" t="s">
        <v>190</v>
      </c>
      <c r="U28" s="226"/>
      <c r="V28" s="226"/>
      <c r="W28" s="226"/>
      <c r="X28" s="54" t="s">
        <v>191</v>
      </c>
      <c r="Y28" s="33" t="s">
        <v>192</v>
      </c>
      <c r="Z28" s="34">
        <f>'Project Info'!$I$10</f>
        <v>0</v>
      </c>
      <c r="AA28" s="34">
        <f>'Project Info'!$J$10</f>
        <v>0</v>
      </c>
    </row>
    <row r="29" spans="1:27">
      <c r="B29" s="4" t="s">
        <v>193</v>
      </c>
      <c r="C29" s="18" t="s">
        <v>59</v>
      </c>
      <c r="D29" s="18" t="s">
        <v>60</v>
      </c>
      <c r="E29" s="18" t="s">
        <v>194</v>
      </c>
      <c r="F29" s="18" t="s">
        <v>103</v>
      </c>
      <c r="G29" s="18" t="s">
        <v>59</v>
      </c>
      <c r="H29" s="18" t="s">
        <v>102</v>
      </c>
      <c r="I29" s="18" t="s">
        <v>59</v>
      </c>
      <c r="J29" s="18" t="s">
        <v>59</v>
      </c>
      <c r="K29" s="18" t="s">
        <v>59</v>
      </c>
      <c r="L29" s="18" t="s">
        <v>60</v>
      </c>
      <c r="M29" s="18" t="s">
        <v>194</v>
      </c>
      <c r="N29" s="18" t="s">
        <v>59</v>
      </c>
      <c r="O29" s="18" t="s">
        <v>59</v>
      </c>
      <c r="P29" s="18" t="s">
        <v>59</v>
      </c>
      <c r="Q29" s="18" t="s">
        <v>59</v>
      </c>
      <c r="R29" s="18" t="s">
        <v>59</v>
      </c>
      <c r="S29" s="18" t="s">
        <v>59</v>
      </c>
      <c r="T29" s="18" t="s">
        <v>59</v>
      </c>
      <c r="U29" s="18" t="s">
        <v>60</v>
      </c>
      <c r="V29" s="18" t="s">
        <v>194</v>
      </c>
      <c r="W29" s="18" t="s">
        <v>103</v>
      </c>
      <c r="X29" s="18" t="s">
        <v>59</v>
      </c>
      <c r="Y29" s="18" t="s">
        <v>59</v>
      </c>
      <c r="Z29" s="55" t="s">
        <v>59</v>
      </c>
      <c r="AA29" s="55" t="s">
        <v>59</v>
      </c>
    </row>
    <row r="30" spans="1:27">
      <c r="B30" s="4" t="s">
        <v>195</v>
      </c>
      <c r="C30" s="128" t="str">
        <f>'Project Info'!$I$5</f>
        <v>kBtu</v>
      </c>
      <c r="D30" s="128" t="str">
        <f>'Project Info'!$I$5</f>
        <v>kBtu</v>
      </c>
      <c r="E30" s="128" t="str">
        <f>'Project Info'!$I$5</f>
        <v>kBtu</v>
      </c>
      <c r="F30" s="128" t="str">
        <f>'Project Info'!$I$5</f>
        <v>kBtu</v>
      </c>
      <c r="G30" s="128" t="str">
        <f>'Project Info'!$I$5</f>
        <v>kBtu</v>
      </c>
      <c r="H30" s="128" t="str">
        <f>'Project Info'!$I$5</f>
        <v>kBtu</v>
      </c>
      <c r="I30" s="128" t="str">
        <f>'Project Info'!$I$5</f>
        <v>kBtu</v>
      </c>
      <c r="J30" s="128" t="str">
        <f>'Project Info'!$I$5</f>
        <v>kBtu</v>
      </c>
      <c r="K30" s="128" t="str">
        <f>'Project Info'!$I$5</f>
        <v>kBtu</v>
      </c>
      <c r="L30" s="128" t="str">
        <f>'Project Info'!$I$5</f>
        <v>kBtu</v>
      </c>
      <c r="M30" s="128" t="str">
        <f>'Project Info'!$I$5</f>
        <v>kBtu</v>
      </c>
      <c r="N30" s="128" t="str">
        <f>'Project Info'!$I$5</f>
        <v>kBtu</v>
      </c>
      <c r="O30" s="128" t="str">
        <f>'Project Info'!$I$5</f>
        <v>kBtu</v>
      </c>
      <c r="P30" s="128" t="str">
        <f>'Project Info'!$I$5</f>
        <v>kBtu</v>
      </c>
      <c r="Q30" s="128" t="str">
        <f>'Project Info'!$I$5</f>
        <v>kBtu</v>
      </c>
      <c r="R30" s="128" t="str">
        <f>'Project Info'!$I$5</f>
        <v>kBtu</v>
      </c>
      <c r="S30" s="128" t="str">
        <f>'Project Info'!$I$5</f>
        <v>kBtu</v>
      </c>
      <c r="T30" s="128" t="str">
        <f>'Project Info'!$I$5</f>
        <v>kBtu</v>
      </c>
      <c r="U30" s="128" t="str">
        <f>'Project Info'!$I$5</f>
        <v>kBtu</v>
      </c>
      <c r="V30" s="128" t="str">
        <f>'Project Info'!$I$5</f>
        <v>kBtu</v>
      </c>
      <c r="W30" s="128" t="str">
        <f>'Project Info'!$I$5</f>
        <v>kBtu</v>
      </c>
      <c r="X30" s="128" t="str">
        <f>'Project Info'!$I$5</f>
        <v>kBtu</v>
      </c>
      <c r="Y30" s="128" t="str">
        <f>'Project Info'!$I$5</f>
        <v>kBtu</v>
      </c>
      <c r="Z30" s="128" t="str">
        <f>'Project Info'!$I$5</f>
        <v>kBtu</v>
      </c>
      <c r="AA30" s="128" t="str">
        <f>'Project Info'!$I$5</f>
        <v>kBtu</v>
      </c>
    </row>
    <row r="31" spans="1:27">
      <c r="B31" s="4" t="s">
        <v>172</v>
      </c>
      <c r="C31" s="91">
        <f>'BL Data'!O7</f>
        <v>0</v>
      </c>
      <c r="D31" s="91">
        <f>'BL Data'!P7</f>
        <v>0</v>
      </c>
      <c r="E31" s="91">
        <f>'BL Data'!Q7</f>
        <v>0</v>
      </c>
      <c r="F31" s="91">
        <f>'BL Data'!R7</f>
        <v>0</v>
      </c>
      <c r="G31" s="91">
        <f>'BL Data'!S7</f>
        <v>0</v>
      </c>
      <c r="H31" s="91">
        <f>'BL Data'!T7</f>
        <v>0</v>
      </c>
      <c r="I31" s="91">
        <f>'BL Data'!U7</f>
        <v>0</v>
      </c>
      <c r="J31" s="91">
        <f>'BL Data'!V7</f>
        <v>0</v>
      </c>
      <c r="K31" s="91">
        <f>'BL Data'!W7</f>
        <v>0</v>
      </c>
      <c r="L31" s="91">
        <f>'BL Data'!X7</f>
        <v>0</v>
      </c>
      <c r="M31" s="91">
        <f>'BL Data'!Y7</f>
        <v>0</v>
      </c>
      <c r="N31" s="91">
        <f>'BL Data'!Z7</f>
        <v>0</v>
      </c>
      <c r="O31" s="91">
        <f>'BL Data'!AA7</f>
        <v>0</v>
      </c>
      <c r="P31" s="91">
        <f>'BL Data'!AB7</f>
        <v>0</v>
      </c>
      <c r="Q31" s="91">
        <f>'BL Data'!AC7</f>
        <v>0</v>
      </c>
      <c r="R31" s="91">
        <f>'BL Data'!AD7</f>
        <v>0</v>
      </c>
      <c r="S31" s="91">
        <f>'BL Data'!AE7</f>
        <v>0</v>
      </c>
      <c r="T31" s="91">
        <f>'BL Data'!AF7</f>
        <v>0</v>
      </c>
      <c r="U31" s="91">
        <f>'BL Data'!AG7</f>
        <v>0</v>
      </c>
      <c r="V31" s="91">
        <f>'BL Data'!AH7</f>
        <v>0</v>
      </c>
      <c r="W31" s="91">
        <f>'BL Data'!AI7</f>
        <v>0</v>
      </c>
      <c r="X31" s="91">
        <f>'BL Data'!AJ7</f>
        <v>0</v>
      </c>
      <c r="Y31" s="91">
        <f>'BL Data'!AK7</f>
        <v>0</v>
      </c>
      <c r="Z31" s="91">
        <f>'BL Data'!AL7</f>
        <v>0</v>
      </c>
      <c r="AA31" s="91">
        <f>'BL Data'!AM7</f>
        <v>0</v>
      </c>
    </row>
    <row r="32" spans="1:27">
      <c r="B32" s="4" t="s">
        <v>176</v>
      </c>
      <c r="C32" s="127"/>
      <c r="D32" s="127"/>
      <c r="E32" s="127"/>
      <c r="F32" s="127"/>
      <c r="G32" s="127"/>
      <c r="H32" s="127"/>
      <c r="I32" s="127"/>
      <c r="J32" s="127"/>
      <c r="K32" s="127"/>
      <c r="L32" s="127"/>
      <c r="M32" s="127"/>
      <c r="N32" s="127"/>
      <c r="O32" s="127"/>
      <c r="P32" s="127"/>
      <c r="Q32" s="127"/>
      <c r="R32" s="127"/>
      <c r="S32" s="127"/>
      <c r="T32" s="127"/>
      <c r="U32" s="127"/>
      <c r="V32" s="127"/>
      <c r="W32" s="127"/>
      <c r="X32" s="127"/>
      <c r="Y32" s="127"/>
      <c r="Z32" s="127"/>
      <c r="AA32" s="127"/>
    </row>
    <row r="33" spans="1:27">
      <c r="B33" s="4" t="s">
        <v>177</v>
      </c>
      <c r="C33" s="91">
        <f>IF(ISBLANK(C32),C31,C32)</f>
        <v>0</v>
      </c>
      <c r="D33" s="91">
        <f t="shared" ref="D33:R33" si="2">IF(ISBLANK(D32),D31,D32)</f>
        <v>0</v>
      </c>
      <c r="E33" s="91">
        <f t="shared" si="2"/>
        <v>0</v>
      </c>
      <c r="F33" s="91">
        <f t="shared" si="2"/>
        <v>0</v>
      </c>
      <c r="G33" s="91">
        <f t="shared" si="2"/>
        <v>0</v>
      </c>
      <c r="H33" s="91">
        <f t="shared" si="2"/>
        <v>0</v>
      </c>
      <c r="I33" s="91">
        <f t="shared" si="2"/>
        <v>0</v>
      </c>
      <c r="J33" s="91">
        <f t="shared" si="2"/>
        <v>0</v>
      </c>
      <c r="K33" s="91">
        <f t="shared" si="2"/>
        <v>0</v>
      </c>
      <c r="L33" s="91">
        <f>IF(ISBLANK(L32),L31,L32)</f>
        <v>0</v>
      </c>
      <c r="M33" s="91">
        <f>IF(ISBLANK(M32),M31,M32)</f>
        <v>0</v>
      </c>
      <c r="N33" s="91">
        <f t="shared" si="2"/>
        <v>0</v>
      </c>
      <c r="O33" s="91">
        <f t="shared" si="2"/>
        <v>0</v>
      </c>
      <c r="P33" s="91">
        <f t="shared" si="2"/>
        <v>0</v>
      </c>
      <c r="Q33" s="91">
        <f t="shared" si="2"/>
        <v>0</v>
      </c>
      <c r="R33" s="91">
        <f t="shared" si="2"/>
        <v>0</v>
      </c>
      <c r="S33" s="91">
        <f t="shared" ref="S33:AA33" si="3">IF(ISBLANK(S32),S31,S32)</f>
        <v>0</v>
      </c>
      <c r="T33" s="91">
        <f t="shared" si="3"/>
        <v>0</v>
      </c>
      <c r="U33" s="91">
        <f t="shared" si="3"/>
        <v>0</v>
      </c>
      <c r="V33" s="91">
        <f t="shared" si="3"/>
        <v>0</v>
      </c>
      <c r="W33" s="91">
        <f t="shared" si="3"/>
        <v>0</v>
      </c>
      <c r="X33" s="91">
        <f t="shared" si="3"/>
        <v>0</v>
      </c>
      <c r="Y33" s="91">
        <f t="shared" si="3"/>
        <v>0</v>
      </c>
      <c r="Z33" s="91">
        <f t="shared" si="3"/>
        <v>0</v>
      </c>
      <c r="AA33" s="91">
        <f t="shared" si="3"/>
        <v>0</v>
      </c>
    </row>
    <row r="35" spans="1:27">
      <c r="B35" s="30" t="str">
        <f>IF($C$10=Menus!$I$2,"N/A",_xlfn.CONCAT($A$1," 180° Rotation"))</f>
        <v>Code Baseline Results Worksheet 180° Rotation</v>
      </c>
      <c r="C35" s="30"/>
      <c r="D35" s="30"/>
      <c r="E35" s="30"/>
      <c r="F35" s="30"/>
      <c r="G35" s="30"/>
      <c r="H35" s="30"/>
      <c r="I35" s="30"/>
      <c r="J35" s="30"/>
      <c r="K35" s="30"/>
      <c r="L35" s="30"/>
      <c r="M35" s="30"/>
      <c r="N35" s="30"/>
      <c r="O35" s="30"/>
      <c r="P35" s="30"/>
      <c r="Q35" s="30"/>
      <c r="R35" s="30"/>
      <c r="S35" s="30"/>
      <c r="T35" s="30"/>
      <c r="U35" s="30"/>
      <c r="V35" s="30"/>
      <c r="W35" s="30"/>
      <c r="X35" s="30"/>
      <c r="Y35" s="30"/>
      <c r="Z35" s="30"/>
      <c r="AA35" s="30"/>
    </row>
    <row r="37" spans="1:27" ht="15.6" thickBot="1">
      <c r="A37" s="3"/>
      <c r="B37" s="85" t="str">
        <f>IF(AND(C38=Menus!$I$3,OR(Z52=0,Z66=0,Z80=0)),"Missing baseline rotations. Set to '"&amp;Menus!$I$2&amp;"'"," ")</f>
        <v xml:space="preserve"> </v>
      </c>
      <c r="F37" s="3"/>
      <c r="G37" s="63" t="s">
        <v>166</v>
      </c>
      <c r="H37" s="63"/>
      <c r="I37" s="63" t="s">
        <v>167</v>
      </c>
      <c r="J37" s="63"/>
      <c r="K37" s="63"/>
      <c r="L37" s="63"/>
      <c r="M37" s="63"/>
      <c r="N37" s="63"/>
      <c r="O37" s="63" t="s">
        <v>118</v>
      </c>
      <c r="P37" s="63"/>
      <c r="R37" s="63" t="s">
        <v>168</v>
      </c>
      <c r="S37" s="63"/>
      <c r="T37" s="63"/>
      <c r="Y37" s="63" t="s">
        <v>169</v>
      </c>
      <c r="Z37" s="63"/>
      <c r="AA37" s="63"/>
    </row>
    <row r="38" spans="1:27">
      <c r="D38" s="3"/>
      <c r="F38" s="49" t="s">
        <v>172</v>
      </c>
      <c r="G38" s="98">
        <f>'BL Data'!A8</f>
        <v>0</v>
      </c>
      <c r="H38" s="98"/>
      <c r="I38" s="98">
        <f>'BL Data'!B8</f>
        <v>0</v>
      </c>
      <c r="J38" s="98"/>
      <c r="K38" s="98"/>
      <c r="L38" s="98"/>
      <c r="M38" s="98"/>
      <c r="N38" s="98"/>
      <c r="O38" s="99">
        <f>'BL Data'!C8</f>
        <v>0</v>
      </c>
      <c r="P38" s="100"/>
      <c r="R38" s="98">
        <f>'BL Data'!BM8/1000</f>
        <v>0</v>
      </c>
      <c r="S38" s="4" t="s">
        <v>173</v>
      </c>
      <c r="Y38" s="4" t="s">
        <v>174</v>
      </c>
      <c r="Z38" s="91">
        <f>SUM(C47:AA47)</f>
        <v>0</v>
      </c>
      <c r="AA38" s="105" t="str">
        <f>'Project Info'!$I$5</f>
        <v>kBtu</v>
      </c>
    </row>
    <row r="39" spans="1:27">
      <c r="F39" s="49" t="s">
        <v>176</v>
      </c>
      <c r="G39" s="86"/>
      <c r="H39" s="86"/>
      <c r="I39" s="86"/>
      <c r="J39" s="86"/>
      <c r="K39" s="86"/>
      <c r="L39" s="86"/>
      <c r="M39" s="86"/>
      <c r="N39" s="86"/>
      <c r="O39" s="86"/>
      <c r="P39" s="86"/>
      <c r="R39" s="89"/>
      <c r="S39" s="4" t="s">
        <v>173</v>
      </c>
      <c r="Z39" s="103">
        <f>IFERROR(Z38/$C$11,0)</f>
        <v>0</v>
      </c>
      <c r="AA39" s="105" t="str">
        <f>IF('Project Info'!$I$4=Menus!$A$2,"kWh/m²","kBtu/ft²")</f>
        <v>kBtu/ft²</v>
      </c>
    </row>
    <row r="40" spans="1:27">
      <c r="F40" s="49" t="s">
        <v>177</v>
      </c>
      <c r="G40" s="98">
        <f>IF(ISBLANK(G39),G38,G39)</f>
        <v>0</v>
      </c>
      <c r="H40" s="98"/>
      <c r="I40" s="98">
        <f>IF(ISBLANK(I39),I38,I39)</f>
        <v>0</v>
      </c>
      <c r="J40" s="98"/>
      <c r="K40" s="98"/>
      <c r="L40" s="98"/>
      <c r="M40" s="98"/>
      <c r="N40" s="98"/>
      <c r="O40" s="98">
        <f>IF(ISBLANK(O39),O38,O39)</f>
        <v>0</v>
      </c>
      <c r="P40" s="98"/>
      <c r="R40" s="98">
        <f>IF(ISBLANK(R39),R38,R39)</f>
        <v>0</v>
      </c>
      <c r="S40" s="4" t="s">
        <v>173</v>
      </c>
    </row>
    <row r="41" spans="1:27">
      <c r="B41" s="3"/>
      <c r="C41" s="3"/>
      <c r="D41" s="3"/>
      <c r="E41" s="3"/>
      <c r="F41" s="3"/>
      <c r="G41" s="3"/>
      <c r="H41" s="3"/>
      <c r="I41" s="3"/>
      <c r="J41" s="3"/>
      <c r="K41" s="3"/>
      <c r="L41" s="3"/>
      <c r="M41" s="3"/>
      <c r="N41" s="3"/>
      <c r="O41" s="3"/>
      <c r="P41" s="3"/>
    </row>
    <row r="42" spans="1:27" ht="41.4">
      <c r="B42" s="4" t="s">
        <v>178</v>
      </c>
      <c r="C42" s="227" t="s">
        <v>179</v>
      </c>
      <c r="D42" s="228"/>
      <c r="E42" s="228"/>
      <c r="F42" s="228"/>
      <c r="G42" s="227" t="s">
        <v>180</v>
      </c>
      <c r="H42" s="228"/>
      <c r="I42" s="32" t="s">
        <v>181</v>
      </c>
      <c r="J42" s="32" t="s">
        <v>182</v>
      </c>
      <c r="K42" s="225" t="s">
        <v>183</v>
      </c>
      <c r="L42" s="226"/>
      <c r="M42" s="229"/>
      <c r="N42" s="32" t="s">
        <v>184</v>
      </c>
      <c r="O42" s="32" t="s">
        <v>185</v>
      </c>
      <c r="P42" s="32" t="s">
        <v>186</v>
      </c>
      <c r="Q42" s="32" t="s">
        <v>187</v>
      </c>
      <c r="R42" s="54" t="s">
        <v>188</v>
      </c>
      <c r="S42" s="54" t="s">
        <v>189</v>
      </c>
      <c r="T42" s="225" t="s">
        <v>190</v>
      </c>
      <c r="U42" s="226"/>
      <c r="V42" s="226"/>
      <c r="W42" s="226"/>
      <c r="X42" s="54" t="s">
        <v>191</v>
      </c>
      <c r="Y42" s="33" t="s">
        <v>192</v>
      </c>
      <c r="Z42" s="34">
        <f>'Project Info'!$I$10</f>
        <v>0</v>
      </c>
      <c r="AA42" s="34">
        <f>'Project Info'!$J$10</f>
        <v>0</v>
      </c>
    </row>
    <row r="43" spans="1:27">
      <c r="B43" s="4" t="s">
        <v>193</v>
      </c>
      <c r="C43" s="18" t="s">
        <v>59</v>
      </c>
      <c r="D43" s="18" t="s">
        <v>60</v>
      </c>
      <c r="E43" s="18" t="s">
        <v>194</v>
      </c>
      <c r="F43" s="18" t="s">
        <v>103</v>
      </c>
      <c r="G43" s="18" t="s">
        <v>59</v>
      </c>
      <c r="H43" s="18" t="s">
        <v>102</v>
      </c>
      <c r="I43" s="18" t="s">
        <v>59</v>
      </c>
      <c r="J43" s="18" t="s">
        <v>59</v>
      </c>
      <c r="K43" s="18" t="s">
        <v>59</v>
      </c>
      <c r="L43" s="18" t="s">
        <v>60</v>
      </c>
      <c r="M43" s="18" t="s">
        <v>194</v>
      </c>
      <c r="N43" s="18" t="s">
        <v>59</v>
      </c>
      <c r="O43" s="18" t="s">
        <v>59</v>
      </c>
      <c r="P43" s="18" t="s">
        <v>59</v>
      </c>
      <c r="Q43" s="18" t="s">
        <v>59</v>
      </c>
      <c r="R43" s="18" t="s">
        <v>59</v>
      </c>
      <c r="S43" s="18" t="s">
        <v>59</v>
      </c>
      <c r="T43" s="18" t="s">
        <v>59</v>
      </c>
      <c r="U43" s="18" t="s">
        <v>60</v>
      </c>
      <c r="V43" s="18" t="s">
        <v>194</v>
      </c>
      <c r="W43" s="18" t="s">
        <v>103</v>
      </c>
      <c r="X43" s="18" t="s">
        <v>59</v>
      </c>
      <c r="Y43" s="18" t="s">
        <v>59</v>
      </c>
      <c r="Z43" s="55" t="s">
        <v>59</v>
      </c>
      <c r="AA43" s="55" t="s">
        <v>59</v>
      </c>
    </row>
    <row r="44" spans="1:27">
      <c r="B44" s="4" t="s">
        <v>195</v>
      </c>
      <c r="C44" s="128" t="str">
        <f>'Project Info'!$I$5</f>
        <v>kBtu</v>
      </c>
      <c r="D44" s="128" t="str">
        <f>'Project Info'!$I$5</f>
        <v>kBtu</v>
      </c>
      <c r="E44" s="128" t="str">
        <f>'Project Info'!$I$5</f>
        <v>kBtu</v>
      </c>
      <c r="F44" s="128" t="str">
        <f>'Project Info'!$I$5</f>
        <v>kBtu</v>
      </c>
      <c r="G44" s="128" t="str">
        <f>'Project Info'!$I$5</f>
        <v>kBtu</v>
      </c>
      <c r="H44" s="128" t="str">
        <f>'Project Info'!$I$5</f>
        <v>kBtu</v>
      </c>
      <c r="I44" s="128" t="str">
        <f>'Project Info'!$I$5</f>
        <v>kBtu</v>
      </c>
      <c r="J44" s="128" t="str">
        <f>'Project Info'!$I$5</f>
        <v>kBtu</v>
      </c>
      <c r="K44" s="128" t="str">
        <f>'Project Info'!$I$5</f>
        <v>kBtu</v>
      </c>
      <c r="L44" s="128" t="str">
        <f>'Project Info'!$I$5</f>
        <v>kBtu</v>
      </c>
      <c r="M44" s="128" t="str">
        <f>'Project Info'!$I$5</f>
        <v>kBtu</v>
      </c>
      <c r="N44" s="128" t="str">
        <f>'Project Info'!$I$5</f>
        <v>kBtu</v>
      </c>
      <c r="O44" s="128" t="str">
        <f>'Project Info'!$I$5</f>
        <v>kBtu</v>
      </c>
      <c r="P44" s="128" t="str">
        <f>'Project Info'!$I$5</f>
        <v>kBtu</v>
      </c>
      <c r="Q44" s="128" t="str">
        <f>'Project Info'!$I$5</f>
        <v>kBtu</v>
      </c>
      <c r="R44" s="128" t="str">
        <f>'Project Info'!$I$5</f>
        <v>kBtu</v>
      </c>
      <c r="S44" s="128" t="str">
        <f>'Project Info'!$I$5</f>
        <v>kBtu</v>
      </c>
      <c r="T44" s="128" t="str">
        <f>'Project Info'!$I$5</f>
        <v>kBtu</v>
      </c>
      <c r="U44" s="128" t="str">
        <f>'Project Info'!$I$5</f>
        <v>kBtu</v>
      </c>
      <c r="V44" s="128" t="str">
        <f>'Project Info'!$I$5</f>
        <v>kBtu</v>
      </c>
      <c r="W44" s="128" t="str">
        <f>'Project Info'!$I$5</f>
        <v>kBtu</v>
      </c>
      <c r="X44" s="128" t="str">
        <f>'Project Info'!$I$5</f>
        <v>kBtu</v>
      </c>
      <c r="Y44" s="128" t="str">
        <f>'Project Info'!$I$5</f>
        <v>kBtu</v>
      </c>
      <c r="Z44" s="128" t="str">
        <f>'Project Info'!$I$5</f>
        <v>kBtu</v>
      </c>
      <c r="AA44" s="128" t="str">
        <f>'Project Info'!$I$5</f>
        <v>kBtu</v>
      </c>
    </row>
    <row r="45" spans="1:27">
      <c r="B45" s="4" t="s">
        <v>172</v>
      </c>
      <c r="C45" s="91">
        <f>'BL Data'!O8</f>
        <v>0</v>
      </c>
      <c r="D45" s="91">
        <f>'BL Data'!P8</f>
        <v>0</v>
      </c>
      <c r="E45" s="91">
        <f>'BL Data'!Q8</f>
        <v>0</v>
      </c>
      <c r="F45" s="91">
        <f>'BL Data'!R8</f>
        <v>0</v>
      </c>
      <c r="G45" s="91">
        <f>'BL Data'!S8</f>
        <v>0</v>
      </c>
      <c r="H45" s="91">
        <f>'BL Data'!T8</f>
        <v>0</v>
      </c>
      <c r="I45" s="91">
        <f>'BL Data'!U8</f>
        <v>0</v>
      </c>
      <c r="J45" s="91">
        <f>'BL Data'!V8</f>
        <v>0</v>
      </c>
      <c r="K45" s="91">
        <f>'BL Data'!W8</f>
        <v>0</v>
      </c>
      <c r="L45" s="91">
        <f>'BL Data'!X8</f>
        <v>0</v>
      </c>
      <c r="M45" s="91">
        <f>'BL Data'!Y8</f>
        <v>0</v>
      </c>
      <c r="N45" s="91">
        <f>'BL Data'!Z8</f>
        <v>0</v>
      </c>
      <c r="O45" s="91">
        <f>'BL Data'!AA8</f>
        <v>0</v>
      </c>
      <c r="P45" s="91">
        <f>'BL Data'!AB8</f>
        <v>0</v>
      </c>
      <c r="Q45" s="91">
        <f>'BL Data'!AC8</f>
        <v>0</v>
      </c>
      <c r="R45" s="91">
        <f>'BL Data'!AD8</f>
        <v>0</v>
      </c>
      <c r="S45" s="91">
        <f>'BL Data'!AE8</f>
        <v>0</v>
      </c>
      <c r="T45" s="91">
        <f>'BL Data'!AF8</f>
        <v>0</v>
      </c>
      <c r="U45" s="91">
        <f>'BL Data'!AG8</f>
        <v>0</v>
      </c>
      <c r="V45" s="91">
        <f>'BL Data'!AH8</f>
        <v>0</v>
      </c>
      <c r="W45" s="91">
        <f>'BL Data'!AI8</f>
        <v>0</v>
      </c>
      <c r="X45" s="91">
        <f>'BL Data'!AJ8</f>
        <v>0</v>
      </c>
      <c r="Y45" s="91">
        <f>'BL Data'!AK8</f>
        <v>0</v>
      </c>
      <c r="Z45" s="91">
        <f>'BL Data'!AL8</f>
        <v>0</v>
      </c>
      <c r="AA45" s="91">
        <f>'BL Data'!AM8</f>
        <v>0</v>
      </c>
    </row>
    <row r="46" spans="1:27">
      <c r="B46" s="4" t="s">
        <v>176</v>
      </c>
      <c r="C46" s="127"/>
      <c r="D46" s="127"/>
      <c r="E46" s="127"/>
      <c r="F46" s="127"/>
      <c r="G46" s="127"/>
      <c r="H46" s="127"/>
      <c r="I46" s="127"/>
      <c r="J46" s="127"/>
      <c r="K46" s="127"/>
      <c r="L46" s="127"/>
      <c r="M46" s="127"/>
      <c r="N46" s="127"/>
      <c r="O46" s="127"/>
      <c r="P46" s="127"/>
      <c r="Q46" s="127"/>
      <c r="R46" s="127"/>
      <c r="S46" s="127"/>
      <c r="T46" s="127"/>
      <c r="U46" s="127"/>
      <c r="V46" s="127"/>
      <c r="W46" s="127"/>
      <c r="X46" s="127"/>
      <c r="Y46" s="127"/>
      <c r="Z46" s="127"/>
      <c r="AA46" s="127"/>
    </row>
    <row r="47" spans="1:27">
      <c r="B47" s="4" t="s">
        <v>177</v>
      </c>
      <c r="C47" s="91">
        <f>IF(ISBLANK(C46),C45,C46)</f>
        <v>0</v>
      </c>
      <c r="D47" s="91">
        <f t="shared" ref="D47:R47" si="4">IF(ISBLANK(D46),D45,D46)</f>
        <v>0</v>
      </c>
      <c r="E47" s="91">
        <f t="shared" si="4"/>
        <v>0</v>
      </c>
      <c r="F47" s="91">
        <f t="shared" si="4"/>
        <v>0</v>
      </c>
      <c r="G47" s="91">
        <f t="shared" si="4"/>
        <v>0</v>
      </c>
      <c r="H47" s="91">
        <f t="shared" si="4"/>
        <v>0</v>
      </c>
      <c r="I47" s="91">
        <f t="shared" si="4"/>
        <v>0</v>
      </c>
      <c r="J47" s="91">
        <f t="shared" si="4"/>
        <v>0</v>
      </c>
      <c r="K47" s="91">
        <f t="shared" si="4"/>
        <v>0</v>
      </c>
      <c r="L47" s="91">
        <f>IF(ISBLANK(L46),L45,L46)</f>
        <v>0</v>
      </c>
      <c r="M47" s="91">
        <f>IF(ISBLANK(M46),M45,M46)</f>
        <v>0</v>
      </c>
      <c r="N47" s="91">
        <f t="shared" si="4"/>
        <v>0</v>
      </c>
      <c r="O47" s="91">
        <f t="shared" si="4"/>
        <v>0</v>
      </c>
      <c r="P47" s="91">
        <f t="shared" si="4"/>
        <v>0</v>
      </c>
      <c r="Q47" s="91">
        <f t="shared" si="4"/>
        <v>0</v>
      </c>
      <c r="R47" s="91">
        <f t="shared" si="4"/>
        <v>0</v>
      </c>
      <c r="S47" s="91">
        <f t="shared" ref="S47:AA47" si="5">IF(ISBLANK(S46),S45,S46)</f>
        <v>0</v>
      </c>
      <c r="T47" s="91">
        <f t="shared" si="5"/>
        <v>0</v>
      </c>
      <c r="U47" s="91">
        <f t="shared" si="5"/>
        <v>0</v>
      </c>
      <c r="V47" s="91">
        <f t="shared" si="5"/>
        <v>0</v>
      </c>
      <c r="W47" s="91">
        <f t="shared" si="5"/>
        <v>0</v>
      </c>
      <c r="X47" s="91">
        <f t="shared" si="5"/>
        <v>0</v>
      </c>
      <c r="Y47" s="91">
        <f t="shared" si="5"/>
        <v>0</v>
      </c>
      <c r="Z47" s="91">
        <f t="shared" si="5"/>
        <v>0</v>
      </c>
      <c r="AA47" s="91">
        <f t="shared" si="5"/>
        <v>0</v>
      </c>
    </row>
    <row r="49" spans="1:27">
      <c r="B49" s="30" t="str">
        <f>IF($C$10=Menus!$I$2,"N/A",_xlfn.CONCAT($A$1," 270° Rotation"))</f>
        <v>Code Baseline Results Worksheet 270° Rotation</v>
      </c>
      <c r="C49" s="30"/>
      <c r="D49" s="30"/>
      <c r="E49" s="30"/>
      <c r="F49" s="30"/>
      <c r="G49" s="30"/>
      <c r="H49" s="30"/>
      <c r="I49" s="30"/>
      <c r="J49" s="30"/>
      <c r="K49" s="30"/>
      <c r="L49" s="30"/>
      <c r="M49" s="30"/>
      <c r="N49" s="30"/>
      <c r="O49" s="30"/>
      <c r="P49" s="30"/>
      <c r="Q49" s="30"/>
      <c r="R49" s="30"/>
      <c r="S49" s="30"/>
      <c r="T49" s="30"/>
      <c r="U49" s="30"/>
      <c r="V49" s="30"/>
      <c r="W49" s="30"/>
      <c r="X49" s="30"/>
      <c r="Y49" s="30"/>
      <c r="Z49" s="30"/>
      <c r="AA49" s="30"/>
    </row>
    <row r="51" spans="1:27" ht="15.6" thickBot="1">
      <c r="A51" s="3"/>
      <c r="B51" s="85" t="str">
        <f>IF(AND(C52=Menus!$I$3,OR(Z66=0,Z80=0,Z94=0)),"Missing baseline rotations. Set to '"&amp;Menus!$I$2&amp;"'"," ")</f>
        <v xml:space="preserve"> </v>
      </c>
      <c r="F51" s="3"/>
      <c r="G51" s="63" t="s">
        <v>166</v>
      </c>
      <c r="H51" s="63"/>
      <c r="I51" s="63" t="s">
        <v>167</v>
      </c>
      <c r="J51" s="63"/>
      <c r="K51" s="63"/>
      <c r="L51" s="63"/>
      <c r="M51" s="63"/>
      <c r="N51" s="63"/>
      <c r="O51" s="63" t="s">
        <v>118</v>
      </c>
      <c r="P51" s="63"/>
      <c r="R51" s="63" t="s">
        <v>168</v>
      </c>
      <c r="S51" s="63"/>
      <c r="T51" s="63"/>
      <c r="Y51" s="63" t="s">
        <v>169</v>
      </c>
      <c r="Z51" s="63"/>
      <c r="AA51" s="63"/>
    </row>
    <row r="52" spans="1:27">
      <c r="D52" s="3"/>
      <c r="F52" s="49" t="s">
        <v>172</v>
      </c>
      <c r="G52" s="98">
        <f>'BL Data'!A9</f>
        <v>0</v>
      </c>
      <c r="H52" s="98"/>
      <c r="I52" s="98">
        <f>'BL Data'!B9</f>
        <v>0</v>
      </c>
      <c r="J52" s="98"/>
      <c r="K52" s="98"/>
      <c r="L52" s="98"/>
      <c r="M52" s="98"/>
      <c r="N52" s="98"/>
      <c r="O52" s="99">
        <f>'BL Data'!C9</f>
        <v>0</v>
      </c>
      <c r="P52" s="100"/>
      <c r="R52" s="91">
        <f>'BL Data'!BM9/1000</f>
        <v>0</v>
      </c>
      <c r="S52" s="4" t="s">
        <v>173</v>
      </c>
      <c r="Y52" s="4" t="s">
        <v>174</v>
      </c>
      <c r="Z52" s="91">
        <f>SUM(C61:AA61)</f>
        <v>0</v>
      </c>
      <c r="AA52" s="105" t="str">
        <f>'Project Info'!$I$5</f>
        <v>kBtu</v>
      </c>
    </row>
    <row r="53" spans="1:27">
      <c r="F53" s="49" t="s">
        <v>176</v>
      </c>
      <c r="G53" s="86"/>
      <c r="H53" s="86"/>
      <c r="I53" s="86"/>
      <c r="J53" s="86"/>
      <c r="K53" s="86"/>
      <c r="L53" s="86"/>
      <c r="M53" s="86"/>
      <c r="N53" s="86"/>
      <c r="O53" s="86"/>
      <c r="P53" s="86"/>
      <c r="R53" s="89"/>
      <c r="S53" s="4" t="s">
        <v>173</v>
      </c>
      <c r="Z53" s="103">
        <f>IFERROR(Z52/$C$11,0)</f>
        <v>0</v>
      </c>
      <c r="AA53" s="105" t="str">
        <f>IF('Project Info'!$I$4=Menus!$A$2,"kWh/m²","kBtu/ft²")</f>
        <v>kBtu/ft²</v>
      </c>
    </row>
    <row r="54" spans="1:27">
      <c r="F54" s="49" t="s">
        <v>177</v>
      </c>
      <c r="G54" s="98">
        <f>IF(ISBLANK(G53),G52,G53)</f>
        <v>0</v>
      </c>
      <c r="H54" s="98"/>
      <c r="I54" s="98">
        <f>IF(ISBLANK(I53),I52,I53)</f>
        <v>0</v>
      </c>
      <c r="J54" s="98"/>
      <c r="K54" s="98"/>
      <c r="L54" s="98"/>
      <c r="M54" s="98"/>
      <c r="N54" s="98"/>
      <c r="O54" s="98">
        <f>IF(ISBLANK(O53),O52,O53)</f>
        <v>0</v>
      </c>
      <c r="P54" s="98"/>
      <c r="R54" s="91">
        <f>IF(ISBLANK(R53),R52,R53)</f>
        <v>0</v>
      </c>
      <c r="S54" s="4" t="s">
        <v>173</v>
      </c>
    </row>
    <row r="55" spans="1:27">
      <c r="B55" s="3"/>
      <c r="C55" s="3"/>
      <c r="D55" s="3"/>
      <c r="E55" s="3"/>
      <c r="F55" s="3"/>
      <c r="G55" s="3"/>
      <c r="H55" s="3"/>
      <c r="I55" s="3"/>
      <c r="J55" s="3"/>
      <c r="K55" s="3"/>
      <c r="L55" s="3"/>
      <c r="M55" s="3"/>
      <c r="N55" s="3"/>
      <c r="O55" s="3"/>
      <c r="P55" s="3"/>
      <c r="T55" s="6"/>
    </row>
    <row r="56" spans="1:27" ht="41.4">
      <c r="B56" s="4" t="s">
        <v>178</v>
      </c>
      <c r="C56" s="227" t="s">
        <v>179</v>
      </c>
      <c r="D56" s="228"/>
      <c r="E56" s="228"/>
      <c r="F56" s="228"/>
      <c r="G56" s="227" t="s">
        <v>180</v>
      </c>
      <c r="H56" s="228"/>
      <c r="I56" s="32" t="s">
        <v>181</v>
      </c>
      <c r="J56" s="32" t="s">
        <v>182</v>
      </c>
      <c r="K56" s="225" t="s">
        <v>183</v>
      </c>
      <c r="L56" s="226"/>
      <c r="M56" s="229"/>
      <c r="N56" s="32" t="s">
        <v>184</v>
      </c>
      <c r="O56" s="32" t="s">
        <v>185</v>
      </c>
      <c r="P56" s="32" t="s">
        <v>186</v>
      </c>
      <c r="Q56" s="32" t="s">
        <v>187</v>
      </c>
      <c r="R56" s="54" t="s">
        <v>188</v>
      </c>
      <c r="S56" s="54" t="s">
        <v>189</v>
      </c>
      <c r="T56" s="225" t="s">
        <v>190</v>
      </c>
      <c r="U56" s="226"/>
      <c r="V56" s="226"/>
      <c r="W56" s="226"/>
      <c r="X56" s="54" t="s">
        <v>191</v>
      </c>
      <c r="Y56" s="33" t="s">
        <v>192</v>
      </c>
      <c r="Z56" s="34">
        <f>'Project Info'!$I$10</f>
        <v>0</v>
      </c>
      <c r="AA56" s="34">
        <f>'Project Info'!$J$10</f>
        <v>0</v>
      </c>
    </row>
    <row r="57" spans="1:27">
      <c r="B57" s="4" t="s">
        <v>193</v>
      </c>
      <c r="C57" s="18" t="s">
        <v>59</v>
      </c>
      <c r="D57" s="18" t="s">
        <v>60</v>
      </c>
      <c r="E57" s="18" t="s">
        <v>194</v>
      </c>
      <c r="F57" s="18" t="s">
        <v>103</v>
      </c>
      <c r="G57" s="18" t="s">
        <v>59</v>
      </c>
      <c r="H57" s="18" t="s">
        <v>102</v>
      </c>
      <c r="I57" s="18" t="s">
        <v>59</v>
      </c>
      <c r="J57" s="18" t="s">
        <v>59</v>
      </c>
      <c r="K57" s="18" t="s">
        <v>59</v>
      </c>
      <c r="L57" s="18" t="s">
        <v>60</v>
      </c>
      <c r="M57" s="18" t="s">
        <v>194</v>
      </c>
      <c r="N57" s="18" t="s">
        <v>59</v>
      </c>
      <c r="O57" s="18" t="s">
        <v>59</v>
      </c>
      <c r="P57" s="18" t="s">
        <v>59</v>
      </c>
      <c r="Q57" s="18" t="s">
        <v>59</v>
      </c>
      <c r="R57" s="18" t="s">
        <v>59</v>
      </c>
      <c r="S57" s="18" t="s">
        <v>59</v>
      </c>
      <c r="T57" s="18" t="s">
        <v>59</v>
      </c>
      <c r="U57" s="18" t="s">
        <v>60</v>
      </c>
      <c r="V57" s="18" t="s">
        <v>194</v>
      </c>
      <c r="W57" s="18" t="s">
        <v>103</v>
      </c>
      <c r="X57" s="18" t="s">
        <v>59</v>
      </c>
      <c r="Y57" s="18" t="s">
        <v>59</v>
      </c>
      <c r="Z57" s="55" t="s">
        <v>59</v>
      </c>
      <c r="AA57" s="55" t="s">
        <v>59</v>
      </c>
    </row>
    <row r="58" spans="1:27">
      <c r="B58" s="4" t="s">
        <v>195</v>
      </c>
      <c r="C58" s="128" t="str">
        <f>'Project Info'!$I$5</f>
        <v>kBtu</v>
      </c>
      <c r="D58" s="128" t="str">
        <f>'Project Info'!$I$5</f>
        <v>kBtu</v>
      </c>
      <c r="E58" s="128" t="str">
        <f>'Project Info'!$I$5</f>
        <v>kBtu</v>
      </c>
      <c r="F58" s="128" t="str">
        <f>'Project Info'!$I$5</f>
        <v>kBtu</v>
      </c>
      <c r="G58" s="128" t="str">
        <f>'Project Info'!$I$5</f>
        <v>kBtu</v>
      </c>
      <c r="H58" s="128" t="str">
        <f>'Project Info'!$I$5</f>
        <v>kBtu</v>
      </c>
      <c r="I58" s="128" t="str">
        <f>'Project Info'!$I$5</f>
        <v>kBtu</v>
      </c>
      <c r="J58" s="128" t="str">
        <f>'Project Info'!$I$5</f>
        <v>kBtu</v>
      </c>
      <c r="K58" s="128" t="str">
        <f>'Project Info'!$I$5</f>
        <v>kBtu</v>
      </c>
      <c r="L58" s="128" t="str">
        <f>'Project Info'!$I$5</f>
        <v>kBtu</v>
      </c>
      <c r="M58" s="128" t="str">
        <f>'Project Info'!$I$5</f>
        <v>kBtu</v>
      </c>
      <c r="N58" s="128" t="str">
        <f>'Project Info'!$I$5</f>
        <v>kBtu</v>
      </c>
      <c r="O58" s="128" t="str">
        <f>'Project Info'!$I$5</f>
        <v>kBtu</v>
      </c>
      <c r="P58" s="128" t="str">
        <f>'Project Info'!$I$5</f>
        <v>kBtu</v>
      </c>
      <c r="Q58" s="128" t="str">
        <f>'Project Info'!$I$5</f>
        <v>kBtu</v>
      </c>
      <c r="R58" s="128" t="str">
        <f>'Project Info'!$I$5</f>
        <v>kBtu</v>
      </c>
      <c r="S58" s="128" t="str">
        <f>'Project Info'!$I$5</f>
        <v>kBtu</v>
      </c>
      <c r="T58" s="128" t="str">
        <f>'Project Info'!$I$5</f>
        <v>kBtu</v>
      </c>
      <c r="U58" s="128" t="str">
        <f>'Project Info'!$I$5</f>
        <v>kBtu</v>
      </c>
      <c r="V58" s="128" t="str">
        <f>'Project Info'!$I$5</f>
        <v>kBtu</v>
      </c>
      <c r="W58" s="128" t="str">
        <f>'Project Info'!$I$5</f>
        <v>kBtu</v>
      </c>
      <c r="X58" s="128" t="str">
        <f>'Project Info'!$I$5</f>
        <v>kBtu</v>
      </c>
      <c r="Y58" s="128" t="str">
        <f>'Project Info'!$I$5</f>
        <v>kBtu</v>
      </c>
      <c r="Z58" s="128" t="str">
        <f>'Project Info'!$I$5</f>
        <v>kBtu</v>
      </c>
      <c r="AA58" s="128" t="str">
        <f>'Project Info'!$I$5</f>
        <v>kBtu</v>
      </c>
    </row>
    <row r="59" spans="1:27">
      <c r="B59" s="4" t="s">
        <v>172</v>
      </c>
      <c r="C59" s="91">
        <f>'BL Data'!O9</f>
        <v>0</v>
      </c>
      <c r="D59" s="91">
        <f>'BL Data'!P9</f>
        <v>0</v>
      </c>
      <c r="E59" s="91">
        <f>'BL Data'!Q9</f>
        <v>0</v>
      </c>
      <c r="F59" s="91">
        <f>'BL Data'!R9</f>
        <v>0</v>
      </c>
      <c r="G59" s="91">
        <f>'BL Data'!S9</f>
        <v>0</v>
      </c>
      <c r="H59" s="91">
        <f>'BL Data'!T9</f>
        <v>0</v>
      </c>
      <c r="I59" s="91">
        <f>'BL Data'!U9</f>
        <v>0</v>
      </c>
      <c r="J59" s="91">
        <f>'BL Data'!V9</f>
        <v>0</v>
      </c>
      <c r="K59" s="91">
        <f>'BL Data'!W9</f>
        <v>0</v>
      </c>
      <c r="L59" s="91">
        <f>'BL Data'!X9</f>
        <v>0</v>
      </c>
      <c r="M59" s="91">
        <f>'BL Data'!Y9</f>
        <v>0</v>
      </c>
      <c r="N59" s="91">
        <f>'BL Data'!Z9</f>
        <v>0</v>
      </c>
      <c r="O59" s="91">
        <f>'BL Data'!AA9</f>
        <v>0</v>
      </c>
      <c r="P59" s="91">
        <f>'BL Data'!AB9</f>
        <v>0</v>
      </c>
      <c r="Q59" s="91">
        <f>'BL Data'!AC9</f>
        <v>0</v>
      </c>
      <c r="R59" s="91">
        <f>'BL Data'!AD9</f>
        <v>0</v>
      </c>
      <c r="S59" s="91">
        <f>'BL Data'!AE9</f>
        <v>0</v>
      </c>
      <c r="T59" s="91">
        <f>'BL Data'!AF9</f>
        <v>0</v>
      </c>
      <c r="U59" s="91">
        <f>'BL Data'!AG9</f>
        <v>0</v>
      </c>
      <c r="V59" s="91">
        <f>'BL Data'!AH9</f>
        <v>0</v>
      </c>
      <c r="W59" s="91">
        <f>'BL Data'!AI9</f>
        <v>0</v>
      </c>
      <c r="X59" s="91">
        <f>'BL Data'!AJ9</f>
        <v>0</v>
      </c>
      <c r="Y59" s="91">
        <f>'BL Data'!AK9</f>
        <v>0</v>
      </c>
      <c r="Z59" s="91">
        <f>'BL Data'!AL9</f>
        <v>0</v>
      </c>
      <c r="AA59" s="91">
        <f>'BL Data'!AM9</f>
        <v>0</v>
      </c>
    </row>
    <row r="60" spans="1:27">
      <c r="B60" s="4" t="s">
        <v>176</v>
      </c>
      <c r="C60" s="127"/>
      <c r="D60" s="127"/>
      <c r="E60" s="127"/>
      <c r="F60" s="127"/>
      <c r="G60" s="127"/>
      <c r="H60" s="127"/>
      <c r="I60" s="127"/>
      <c r="J60" s="127"/>
      <c r="K60" s="127"/>
      <c r="L60" s="127"/>
      <c r="M60" s="127"/>
      <c r="N60" s="127"/>
      <c r="O60" s="127"/>
      <c r="P60" s="127"/>
      <c r="Q60" s="127"/>
      <c r="R60" s="127"/>
      <c r="S60" s="127"/>
      <c r="T60" s="127"/>
      <c r="U60" s="127"/>
      <c r="V60" s="127"/>
      <c r="W60" s="127"/>
      <c r="X60" s="127"/>
      <c r="Y60" s="127"/>
      <c r="Z60" s="127"/>
      <c r="AA60" s="127"/>
    </row>
    <row r="61" spans="1:27">
      <c r="B61" s="4" t="s">
        <v>177</v>
      </c>
      <c r="C61" s="91">
        <f>IF(ISBLANK(C60),C59,C60)</f>
        <v>0</v>
      </c>
      <c r="D61" s="91">
        <f t="shared" ref="D61:R61" si="6">IF(ISBLANK(D60),D59,D60)</f>
        <v>0</v>
      </c>
      <c r="E61" s="91">
        <f t="shared" si="6"/>
        <v>0</v>
      </c>
      <c r="F61" s="91">
        <f t="shared" si="6"/>
        <v>0</v>
      </c>
      <c r="G61" s="91">
        <f t="shared" si="6"/>
        <v>0</v>
      </c>
      <c r="H61" s="91">
        <f t="shared" si="6"/>
        <v>0</v>
      </c>
      <c r="I61" s="91">
        <f t="shared" si="6"/>
        <v>0</v>
      </c>
      <c r="J61" s="91">
        <f t="shared" si="6"/>
        <v>0</v>
      </c>
      <c r="K61" s="91">
        <f t="shared" si="6"/>
        <v>0</v>
      </c>
      <c r="L61" s="91">
        <f>IF(ISBLANK(L60),L59,L60)</f>
        <v>0</v>
      </c>
      <c r="M61" s="91">
        <f>IF(ISBLANK(M60),M59,M60)</f>
        <v>0</v>
      </c>
      <c r="N61" s="91">
        <f t="shared" si="6"/>
        <v>0</v>
      </c>
      <c r="O61" s="91">
        <f t="shared" si="6"/>
        <v>0</v>
      </c>
      <c r="P61" s="91">
        <f t="shared" si="6"/>
        <v>0</v>
      </c>
      <c r="Q61" s="91">
        <f t="shared" si="6"/>
        <v>0</v>
      </c>
      <c r="R61" s="91">
        <f t="shared" si="6"/>
        <v>0</v>
      </c>
      <c r="S61" s="91">
        <f t="shared" ref="S61:AA61" si="7">IF(ISBLANK(S60),S59,S60)</f>
        <v>0</v>
      </c>
      <c r="T61" s="91">
        <f t="shared" si="7"/>
        <v>0</v>
      </c>
      <c r="U61" s="91">
        <f t="shared" si="7"/>
        <v>0</v>
      </c>
      <c r="V61" s="91">
        <f t="shared" si="7"/>
        <v>0</v>
      </c>
      <c r="W61" s="91">
        <f t="shared" si="7"/>
        <v>0</v>
      </c>
      <c r="X61" s="91">
        <f t="shared" si="7"/>
        <v>0</v>
      </c>
      <c r="Y61" s="91">
        <f t="shared" si="7"/>
        <v>0</v>
      </c>
      <c r="Z61" s="91">
        <f t="shared" si="7"/>
        <v>0</v>
      </c>
      <c r="AA61" s="91">
        <f t="shared" si="7"/>
        <v>0</v>
      </c>
    </row>
  </sheetData>
  <sheetProtection selectLockedCells="1"/>
  <mergeCells count="18">
    <mergeCell ref="C56:F56"/>
    <mergeCell ref="G56:H56"/>
    <mergeCell ref="T56:W56"/>
    <mergeCell ref="K42:M42"/>
    <mergeCell ref="K56:M56"/>
    <mergeCell ref="C10:D10"/>
    <mergeCell ref="K14:M14"/>
    <mergeCell ref="K28:M28"/>
    <mergeCell ref="B4:AA5"/>
    <mergeCell ref="C42:F42"/>
    <mergeCell ref="G42:H42"/>
    <mergeCell ref="T42:W42"/>
    <mergeCell ref="C28:F28"/>
    <mergeCell ref="G28:H28"/>
    <mergeCell ref="T28:W28"/>
    <mergeCell ref="C14:F14"/>
    <mergeCell ref="G14:H14"/>
    <mergeCell ref="T14:W14"/>
  </mergeCells>
  <dataValidations count="1">
    <dataValidation type="list" allowBlank="1" showInputMessage="1" showErrorMessage="1" sqref="C10" xr:uid="{4E60C35F-3A7A-4FC7-B749-F03A910E47D5}">
      <formula1>Baseline</formula1>
    </dataValidation>
  </dataValidation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98A5D6-A575-481E-A81B-5EF0383B710A}">
  <sheetPr>
    <tabColor theme="0" tint="-0.14999847407452621"/>
  </sheetPr>
  <dimension ref="A1:AA145"/>
  <sheetViews>
    <sheetView showGridLines="0" workbookViewId="0">
      <selection activeCell="G11" sqref="G11"/>
    </sheetView>
  </sheetViews>
  <sheetFormatPr defaultColWidth="9.109375" defaultRowHeight="15"/>
  <cols>
    <col min="1" max="1" width="3.5546875" style="1" customWidth="1"/>
    <col min="2" max="2" width="12.5546875" style="1" customWidth="1"/>
    <col min="3" max="27" width="9.5546875" style="1" customWidth="1"/>
    <col min="28" max="28" width="10.5546875" style="1" customWidth="1"/>
    <col min="29" max="16384" width="9.109375" style="1"/>
  </cols>
  <sheetData>
    <row r="1" spans="1:27">
      <c r="A1" s="76" t="s">
        <v>197</v>
      </c>
      <c r="B1" s="77"/>
      <c r="C1" s="77"/>
      <c r="D1" s="77"/>
      <c r="E1" s="77"/>
      <c r="F1" s="77"/>
      <c r="G1" s="77"/>
      <c r="H1" s="77"/>
      <c r="I1" s="77"/>
      <c r="J1" s="77"/>
      <c r="K1" s="77"/>
      <c r="L1" s="77"/>
      <c r="M1" s="77"/>
      <c r="N1" s="77"/>
      <c r="O1" s="77"/>
      <c r="P1" s="77"/>
      <c r="Q1" s="77"/>
      <c r="R1" s="77"/>
      <c r="S1" s="77"/>
      <c r="T1" s="77"/>
      <c r="U1" s="77"/>
      <c r="V1" s="77"/>
      <c r="W1" s="77"/>
      <c r="X1" s="77"/>
      <c r="Y1" s="77"/>
      <c r="Z1" s="77"/>
      <c r="AA1" s="77"/>
    </row>
    <row r="3" spans="1:27" ht="15.6" thickBot="1">
      <c r="B3" s="63" t="s">
        <v>1</v>
      </c>
      <c r="C3" s="63"/>
      <c r="D3" s="63"/>
      <c r="E3" s="63"/>
      <c r="F3" s="63"/>
      <c r="G3" s="63"/>
      <c r="H3" s="63"/>
      <c r="I3" s="63"/>
      <c r="J3" s="63"/>
      <c r="K3" s="63"/>
      <c r="L3" s="63"/>
      <c r="M3" s="63"/>
      <c r="N3" s="63"/>
      <c r="O3" s="63"/>
      <c r="P3" s="63"/>
      <c r="Q3" s="63"/>
      <c r="R3" s="63"/>
      <c r="S3" s="63"/>
      <c r="T3" s="63"/>
      <c r="U3" s="63"/>
      <c r="V3" s="63"/>
      <c r="W3" s="63"/>
      <c r="X3" s="63"/>
      <c r="Y3" s="63"/>
      <c r="Z3" s="63"/>
      <c r="AA3" s="63"/>
    </row>
    <row r="4" spans="1:27" ht="15.75" customHeight="1">
      <c r="B4" s="214" t="s">
        <v>198</v>
      </c>
      <c r="C4" s="214"/>
      <c r="D4" s="214"/>
      <c r="E4" s="214"/>
      <c r="F4" s="214"/>
      <c r="G4" s="214"/>
      <c r="H4" s="214"/>
      <c r="I4" s="214"/>
      <c r="J4" s="214"/>
      <c r="K4" s="214"/>
      <c r="L4" s="214"/>
      <c r="M4" s="214"/>
      <c r="N4" s="214"/>
      <c r="O4" s="214"/>
      <c r="P4" s="214"/>
      <c r="Q4" s="214"/>
      <c r="R4" s="214"/>
      <c r="S4" s="214"/>
      <c r="T4" s="214"/>
      <c r="U4" s="214"/>
      <c r="V4" s="214"/>
      <c r="W4" s="214"/>
      <c r="X4" s="214"/>
      <c r="Y4" s="214"/>
      <c r="Z4" s="214"/>
      <c r="AA4" s="214"/>
    </row>
    <row r="5" spans="1:27">
      <c r="B5" s="214"/>
      <c r="C5" s="214"/>
      <c r="D5" s="214"/>
      <c r="E5" s="214"/>
      <c r="F5" s="214"/>
      <c r="G5" s="214"/>
      <c r="H5" s="214"/>
      <c r="I5" s="214"/>
      <c r="J5" s="214"/>
      <c r="K5" s="214"/>
      <c r="L5" s="214"/>
      <c r="M5" s="214"/>
      <c r="N5" s="214"/>
      <c r="O5" s="214"/>
      <c r="P5" s="214"/>
      <c r="Q5" s="214"/>
      <c r="R5" s="214"/>
      <c r="S5" s="214"/>
      <c r="T5" s="214"/>
      <c r="U5" s="214"/>
      <c r="V5" s="214"/>
      <c r="W5" s="214"/>
      <c r="X5" s="214"/>
      <c r="Y5" s="214"/>
      <c r="Z5" s="214"/>
      <c r="AA5" s="214"/>
    </row>
    <row r="6" spans="1:27">
      <c r="C6" s="48"/>
      <c r="D6" s="48"/>
      <c r="F6" s="3"/>
      <c r="G6" s="3"/>
      <c r="H6" s="3"/>
      <c r="I6" s="3"/>
      <c r="J6" s="3"/>
      <c r="K6" s="3"/>
      <c r="L6" s="3"/>
      <c r="M6" s="3"/>
      <c r="N6" s="3"/>
      <c r="O6" s="3"/>
      <c r="P6" s="3"/>
      <c r="T6" s="6"/>
    </row>
    <row r="7" spans="1:27">
      <c r="B7" s="30" t="s">
        <v>106</v>
      </c>
      <c r="C7" s="30"/>
      <c r="D7" s="30"/>
      <c r="E7" s="30"/>
      <c r="F7" s="30"/>
      <c r="G7" s="30"/>
      <c r="H7" s="30"/>
      <c r="I7" s="30"/>
      <c r="J7" s="30"/>
      <c r="K7" s="30"/>
      <c r="L7" s="30"/>
      <c r="M7" s="30"/>
      <c r="N7" s="30"/>
      <c r="O7" s="30"/>
      <c r="P7" s="30"/>
      <c r="Q7" s="30"/>
      <c r="R7" s="30"/>
      <c r="S7" s="30"/>
      <c r="T7" s="30"/>
      <c r="U7" s="30"/>
      <c r="V7" s="30"/>
      <c r="W7" s="30"/>
      <c r="X7" s="30"/>
      <c r="Y7" s="30"/>
      <c r="Z7" s="30"/>
      <c r="AA7" s="30"/>
    </row>
    <row r="9" spans="1:27" ht="15.6" thickBot="1">
      <c r="A9" s="3"/>
      <c r="B9" s="85"/>
      <c r="F9" s="3"/>
      <c r="G9" s="63" t="s">
        <v>166</v>
      </c>
      <c r="H9" s="63"/>
      <c r="I9" s="63" t="s">
        <v>167</v>
      </c>
      <c r="J9" s="63"/>
      <c r="K9" s="63"/>
      <c r="L9" s="63"/>
      <c r="M9" s="63"/>
      <c r="N9" s="63"/>
      <c r="O9" s="63" t="s">
        <v>118</v>
      </c>
      <c r="P9" s="63"/>
      <c r="R9" s="63" t="s">
        <v>168</v>
      </c>
      <c r="S9" s="63"/>
      <c r="U9" s="63" t="s">
        <v>199</v>
      </c>
      <c r="V9" s="63"/>
      <c r="W9" s="63"/>
      <c r="Y9" s="63" t="s">
        <v>169</v>
      </c>
      <c r="Z9" s="63"/>
      <c r="AA9" s="63"/>
    </row>
    <row r="10" spans="1:27">
      <c r="B10" s="4" t="s">
        <v>200</v>
      </c>
      <c r="C10" s="222" t="s">
        <v>468</v>
      </c>
      <c r="D10" s="223"/>
      <c r="F10" s="49" t="s">
        <v>172</v>
      </c>
      <c r="G10" s="95" t="str">
        <f>C10</f>
        <v>Primary 0°</v>
      </c>
      <c r="H10" s="95"/>
      <c r="I10" s="95" t="str">
        <f>IFERROR(INDEX('Proposed Data'!$B$2:$B$100,MATCH(Proposed!$C10,'Proposed Data'!$A$2:$A$100,0)),0)</f>
        <v>Casa De Amparo_v4z 1.pdf</v>
      </c>
      <c r="J10" s="95"/>
      <c r="K10" s="95"/>
      <c r="L10" s="95"/>
      <c r="M10" s="95"/>
      <c r="N10" s="95"/>
      <c r="O10" s="96" t="str">
        <f>IFERROR(INDEX('Proposed Data'!$C$2:$C$100,MATCH(Proposed!$C10,'Proposed Data'!$A$2:$A$100,0)),0)</f>
        <v>Jun 11, 2026 - 10:50 PM</v>
      </c>
      <c r="P10" s="97"/>
      <c r="R10" s="91">
        <f>IFERROR(INDEX('Proposed Data'!$BM$2:$BM$100,MATCH(Proposed!$C10,'Proposed Data'!$A$2:$A$100,0)),0)/1000</f>
        <v>53</v>
      </c>
      <c r="S10" s="4" t="s">
        <v>173</v>
      </c>
      <c r="U10" s="53" t="s">
        <v>201</v>
      </c>
      <c r="V10" s="53" t="s">
        <v>202</v>
      </c>
      <c r="W10" s="53" t="s">
        <v>203</v>
      </c>
      <c r="Y10" s="4" t="s">
        <v>174</v>
      </c>
      <c r="Z10" s="91">
        <f>Calculations!BQ12</f>
        <v>689470.51699999999</v>
      </c>
      <c r="AA10" s="105" t="str">
        <f>'Project Info'!$I$5</f>
        <v>kBtu</v>
      </c>
    </row>
    <row r="11" spans="1:27">
      <c r="B11" s="4" t="s">
        <v>175</v>
      </c>
      <c r="C11" s="91">
        <f>IFERROR(IF(ISBLANK('Project Info'!$D$7),(INDEX('Proposed Data'!BP$2:BP$100,MATCH(Proposed!$C10,'Proposed Data'!$A$2:$A$100,0))),'Project Info'!$D$7),0)</f>
        <v>13652</v>
      </c>
      <c r="D11" s="105" t="str">
        <f>IF($I$11="SI","m²","ft²")</f>
        <v>ft²</v>
      </c>
      <c r="F11" s="49" t="s">
        <v>176</v>
      </c>
      <c r="G11" s="86" t="s">
        <v>163</v>
      </c>
      <c r="H11" s="86"/>
      <c r="I11" s="86"/>
      <c r="J11" s="86"/>
      <c r="K11" s="86"/>
      <c r="L11" s="86"/>
      <c r="M11" s="86"/>
      <c r="N11" s="86"/>
      <c r="O11" s="86"/>
      <c r="P11" s="86"/>
      <c r="R11" s="89"/>
      <c r="S11" s="4" t="s">
        <v>173</v>
      </c>
      <c r="U11" s="86"/>
      <c r="V11" s="86"/>
      <c r="W11" s="86"/>
      <c r="Z11" s="103">
        <f>IFERROR(Z10/C11,0)</f>
        <v>50.503260840902435</v>
      </c>
      <c r="AA11" s="105" t="str">
        <f>IF('Project Info'!$I$4=Menus!$A$2,"kWh/m²","kBtu/ft²")</f>
        <v>kBtu/ft²</v>
      </c>
    </row>
    <row r="12" spans="1:27">
      <c r="F12" s="49" t="s">
        <v>177</v>
      </c>
      <c r="G12" s="95" t="str">
        <f>IF(ISBLANK(G11),G10,G11)</f>
        <v>Proposed Design</v>
      </c>
      <c r="H12" s="95"/>
      <c r="I12" s="95" t="str">
        <f>IF(ISBLANK(I11),I10,I11)</f>
        <v>Casa De Amparo_v4z 1.pdf</v>
      </c>
      <c r="J12" s="95"/>
      <c r="K12" s="95"/>
      <c r="L12" s="95"/>
      <c r="M12" s="95"/>
      <c r="N12" s="95"/>
      <c r="O12" s="96" t="str">
        <f>IF(ISBLANK(O11),O10,O11)</f>
        <v>Jun 11, 2026 - 10:50 PM</v>
      </c>
      <c r="P12" s="97"/>
      <c r="R12" s="91">
        <f>IF(ISBLANK(R11),R10,R11)</f>
        <v>53</v>
      </c>
      <c r="S12" s="4" t="s">
        <v>173</v>
      </c>
      <c r="U12" s="42" t="s">
        <v>88</v>
      </c>
      <c r="V12" s="42" t="s">
        <v>88</v>
      </c>
      <c r="W12" s="42" t="s">
        <v>88</v>
      </c>
    </row>
    <row r="13" spans="1:27">
      <c r="B13" s="3"/>
      <c r="C13" s="3"/>
      <c r="D13" s="3"/>
      <c r="E13" s="3"/>
      <c r="F13" s="3"/>
      <c r="G13" s="3"/>
      <c r="H13" s="3"/>
      <c r="I13" s="3"/>
      <c r="J13" s="3"/>
      <c r="K13" s="3"/>
      <c r="L13" s="3"/>
      <c r="M13" s="3"/>
      <c r="N13" s="3"/>
      <c r="O13" s="3"/>
      <c r="P13" s="3"/>
      <c r="S13" s="6"/>
      <c r="T13" s="6"/>
    </row>
    <row r="14" spans="1:27" ht="41.4">
      <c r="A14" s="2"/>
      <c r="B14" s="4" t="s">
        <v>178</v>
      </c>
      <c r="C14" s="227" t="s">
        <v>179</v>
      </c>
      <c r="D14" s="228"/>
      <c r="E14" s="228"/>
      <c r="F14" s="228"/>
      <c r="G14" s="227" t="s">
        <v>180</v>
      </c>
      <c r="H14" s="228"/>
      <c r="I14" s="32" t="s">
        <v>181</v>
      </c>
      <c r="J14" s="32" t="s">
        <v>182</v>
      </c>
      <c r="K14" s="225" t="s">
        <v>183</v>
      </c>
      <c r="L14" s="226"/>
      <c r="M14" s="229"/>
      <c r="N14" s="32" t="s">
        <v>184</v>
      </c>
      <c r="O14" s="32" t="s">
        <v>185</v>
      </c>
      <c r="P14" s="32" t="s">
        <v>186</v>
      </c>
      <c r="Q14" s="32" t="s">
        <v>187</v>
      </c>
      <c r="R14" s="54" t="s">
        <v>188</v>
      </c>
      <c r="S14" s="54" t="s">
        <v>189</v>
      </c>
      <c r="T14" s="225" t="s">
        <v>190</v>
      </c>
      <c r="U14" s="226"/>
      <c r="V14" s="226"/>
      <c r="W14" s="226"/>
      <c r="X14" s="54" t="s">
        <v>191</v>
      </c>
      <c r="Y14" s="33" t="s">
        <v>192</v>
      </c>
      <c r="Z14" s="34">
        <f>'Project Info'!$I$10</f>
        <v>0</v>
      </c>
      <c r="AA14" s="34">
        <f>'Project Info'!$J$10</f>
        <v>0</v>
      </c>
    </row>
    <row r="15" spans="1:27">
      <c r="A15" s="7"/>
      <c r="B15" s="4" t="s">
        <v>193</v>
      </c>
      <c r="C15" s="18" t="s">
        <v>59</v>
      </c>
      <c r="D15" s="18" t="s">
        <v>60</v>
      </c>
      <c r="E15" s="18" t="s">
        <v>194</v>
      </c>
      <c r="F15" s="18" t="s">
        <v>103</v>
      </c>
      <c r="G15" s="18" t="s">
        <v>59</v>
      </c>
      <c r="H15" s="18" t="s">
        <v>102</v>
      </c>
      <c r="I15" s="18" t="s">
        <v>59</v>
      </c>
      <c r="J15" s="18" t="s">
        <v>59</v>
      </c>
      <c r="K15" s="18" t="s">
        <v>59</v>
      </c>
      <c r="L15" s="18" t="s">
        <v>60</v>
      </c>
      <c r="M15" s="18" t="s">
        <v>194</v>
      </c>
      <c r="N15" s="18" t="s">
        <v>59</v>
      </c>
      <c r="O15" s="18" t="s">
        <v>59</v>
      </c>
      <c r="P15" s="18" t="s">
        <v>59</v>
      </c>
      <c r="Q15" s="18" t="s">
        <v>59</v>
      </c>
      <c r="R15" s="18" t="s">
        <v>59</v>
      </c>
      <c r="S15" s="18" t="s">
        <v>59</v>
      </c>
      <c r="T15" s="18" t="s">
        <v>59</v>
      </c>
      <c r="U15" s="18" t="s">
        <v>60</v>
      </c>
      <c r="V15" s="18" t="s">
        <v>194</v>
      </c>
      <c r="W15" s="18" t="s">
        <v>103</v>
      </c>
      <c r="X15" s="18" t="s">
        <v>59</v>
      </c>
      <c r="Y15" s="18" t="s">
        <v>59</v>
      </c>
      <c r="Z15" s="55" t="s">
        <v>59</v>
      </c>
      <c r="AA15" s="55" t="s">
        <v>59</v>
      </c>
    </row>
    <row r="16" spans="1:27">
      <c r="A16" s="7"/>
      <c r="B16" s="4" t="s">
        <v>195</v>
      </c>
      <c r="C16" s="128" t="str">
        <f>'Project Info'!$I$5</f>
        <v>kBtu</v>
      </c>
      <c r="D16" s="128" t="str">
        <f>'Project Info'!$I$5</f>
        <v>kBtu</v>
      </c>
      <c r="E16" s="128" t="str">
        <f>'Project Info'!$I$5</f>
        <v>kBtu</v>
      </c>
      <c r="F16" s="128" t="str">
        <f>'Project Info'!$I$5</f>
        <v>kBtu</v>
      </c>
      <c r="G16" s="128" t="str">
        <f>'Project Info'!$I$5</f>
        <v>kBtu</v>
      </c>
      <c r="H16" s="128" t="str">
        <f>'Project Info'!$I$5</f>
        <v>kBtu</v>
      </c>
      <c r="I16" s="128" t="str">
        <f>'Project Info'!$I$5</f>
        <v>kBtu</v>
      </c>
      <c r="J16" s="128" t="str">
        <f>'Project Info'!$I$5</f>
        <v>kBtu</v>
      </c>
      <c r="K16" s="128" t="str">
        <f>'Project Info'!$I$5</f>
        <v>kBtu</v>
      </c>
      <c r="L16" s="128" t="str">
        <f>'Project Info'!$I$5</f>
        <v>kBtu</v>
      </c>
      <c r="M16" s="128" t="str">
        <f>'Project Info'!$I$5</f>
        <v>kBtu</v>
      </c>
      <c r="N16" s="128" t="str">
        <f>'Project Info'!$I$5</f>
        <v>kBtu</v>
      </c>
      <c r="O16" s="128" t="str">
        <f>'Project Info'!$I$5</f>
        <v>kBtu</v>
      </c>
      <c r="P16" s="128" t="str">
        <f>'Project Info'!$I$5</f>
        <v>kBtu</v>
      </c>
      <c r="Q16" s="128" t="str">
        <f>'Project Info'!$I$5</f>
        <v>kBtu</v>
      </c>
      <c r="R16" s="128" t="str">
        <f>'Project Info'!$I$5</f>
        <v>kBtu</v>
      </c>
      <c r="S16" s="128" t="str">
        <f>'Project Info'!$I$5</f>
        <v>kBtu</v>
      </c>
      <c r="T16" s="128" t="str">
        <f>'Project Info'!$I$5</f>
        <v>kBtu</v>
      </c>
      <c r="U16" s="128" t="str">
        <f>'Project Info'!$I$5</f>
        <v>kBtu</v>
      </c>
      <c r="V16" s="128" t="str">
        <f>'Project Info'!$I$5</f>
        <v>kBtu</v>
      </c>
      <c r="W16" s="128" t="str">
        <f>'Project Info'!$I$5</f>
        <v>kBtu</v>
      </c>
      <c r="X16" s="128" t="str">
        <f>'Project Info'!$I$5</f>
        <v>kBtu</v>
      </c>
      <c r="Y16" s="128" t="str">
        <f>'Project Info'!$I$5</f>
        <v>kBtu</v>
      </c>
      <c r="Z16" s="128" t="str">
        <f>'Project Info'!$I$5</f>
        <v>kBtu</v>
      </c>
      <c r="AA16" s="128" t="str">
        <f>'Project Info'!$I$5</f>
        <v>kBtu</v>
      </c>
    </row>
    <row r="17" spans="1:27">
      <c r="A17" s="7"/>
      <c r="B17" s="4" t="s">
        <v>172</v>
      </c>
      <c r="C17" s="91">
        <f>IFERROR(INDEX('Proposed Data'!O$2:O$100,MATCH(Proposed!$C10,'Proposed Data'!$A$2:$A$100,0)),0)</f>
        <v>38337.231999999996</v>
      </c>
      <c r="D17" s="91">
        <f>IFERROR(INDEX('Proposed Data'!P$2:P$100,MATCH(Proposed!$C10,'Proposed Data'!$A$2:$A$100,0)),0)</f>
        <v>0</v>
      </c>
      <c r="E17" s="91">
        <f>IFERROR(INDEX('Proposed Data'!Q$2:Q$100,MATCH(Proposed!$C10,'Proposed Data'!$A$2:$A$100,0)),0)</f>
        <v>0</v>
      </c>
      <c r="F17" s="91">
        <f>IFERROR(INDEX('Proposed Data'!R$2:R$100,MATCH(Proposed!$C10,'Proposed Data'!$A$2:$A$100,0)),0)</f>
        <v>0</v>
      </c>
      <c r="G17" s="91">
        <f>IFERROR(INDEX('Proposed Data'!S$2:S$100,MATCH(Proposed!$C10,'Proposed Data'!$A$2:$A$100,0)),0)</f>
        <v>142882.61800000002</v>
      </c>
      <c r="H17" s="91">
        <f>IFERROR(INDEX('Proposed Data'!T$2:T$100,MATCH(Proposed!$C10,'Proposed Data'!$A$2:$A$100,0)),0)</f>
        <v>0</v>
      </c>
      <c r="I17" s="91">
        <f>IFERROR(INDEX('Proposed Data'!U$2:U$100,MATCH(Proposed!$C10,'Proposed Data'!$A$2:$A$100,0)),0)</f>
        <v>153372.81200000001</v>
      </c>
      <c r="J17" s="91">
        <f>IFERROR(INDEX('Proposed Data'!V$2:V$100,MATCH(Proposed!$C10,'Proposed Data'!$A$2:$A$100,0)),0)</f>
        <v>0</v>
      </c>
      <c r="K17" s="91">
        <f>IFERROR(INDEX('Proposed Data'!W$2:W$100,MATCH(Proposed!$C10,'Proposed Data'!$A$2:$A$100,0)),0)</f>
        <v>180081.948</v>
      </c>
      <c r="L17" s="91">
        <f>IFERROR(INDEX('Proposed Data'!X$2:X$100,MATCH(Proposed!$C10,'Proposed Data'!$A$2:$A$100,0)),0)</f>
        <v>0</v>
      </c>
      <c r="M17" s="91">
        <f>IFERROR(INDEX('Proposed Data'!Y$2:Y$100,MATCH(Proposed!$C10,'Proposed Data'!$A$2:$A$100,0)),0)</f>
        <v>0</v>
      </c>
      <c r="N17" s="91">
        <f>IFERROR(INDEX('Proposed Data'!Z$2:Z$100,MATCH(Proposed!$C10,'Proposed Data'!$A$2:$A$100,0)),0)</f>
        <v>0</v>
      </c>
      <c r="O17" s="91">
        <f>IFERROR(INDEX('Proposed Data'!AA$2:AA$100,MATCH(Proposed!$C10,'Proposed Data'!$A$2:$A$100,0)),0)</f>
        <v>174795.90700000001</v>
      </c>
      <c r="P17" s="91">
        <f>IFERROR(INDEX('Proposed Data'!AB$2:AB$100,MATCH(Proposed!$C10,'Proposed Data'!$A$2:$A$100,0)),0)</f>
        <v>0</v>
      </c>
      <c r="Q17" s="91">
        <f>IFERROR(INDEX('Proposed Data'!AC$2:AC$100,MATCH(Proposed!$C10,'Proposed Data'!$A$2:$A$100,0)),0)</f>
        <v>0</v>
      </c>
      <c r="R17" s="91">
        <f>IFERROR(INDEX('Proposed Data'!AD$2:AD$100,MATCH(Proposed!$C10,'Proposed Data'!$A$2:$A$100,0)),0)</f>
        <v>0</v>
      </c>
      <c r="S17" s="91">
        <f>IFERROR(INDEX('Proposed Data'!AE$2:AE$100,MATCH(Proposed!$C10,'Proposed Data'!$A$2:$A$100,0)),0)</f>
        <v>0</v>
      </c>
      <c r="T17" s="91">
        <f>IFERROR(INDEX('Proposed Data'!AF$2:AF$100,MATCH(Proposed!$C10,'Proposed Data'!$A$2:$A$100,0)),0)</f>
        <v>0</v>
      </c>
      <c r="U17" s="91">
        <f>IFERROR(INDEX('Proposed Data'!AG$2:AG$100,MATCH(Proposed!$C10,'Proposed Data'!$A$2:$A$100,0)),0)</f>
        <v>0</v>
      </c>
      <c r="V17" s="91">
        <f>IFERROR(INDEX('Proposed Data'!AH$2:AH$100,MATCH(Proposed!$C10,'Proposed Data'!$A$2:$A$100,0)),0)</f>
        <v>0</v>
      </c>
      <c r="W17" s="91">
        <f>IFERROR(INDEX('Proposed Data'!AI$2:AI$100,MATCH(Proposed!$C10,'Proposed Data'!$A$2:$A$100,0)),0)</f>
        <v>0</v>
      </c>
      <c r="X17" s="91">
        <f>IFERROR(INDEX('Proposed Data'!AJ$2:AJ$100,MATCH(Proposed!$C10,'Proposed Data'!$A$2:$A$100,0)),0)</f>
        <v>0</v>
      </c>
      <c r="Y17" s="91">
        <f>IFERROR(INDEX('Proposed Data'!AK$2:AK$100,MATCH(Proposed!$C10,'Proposed Data'!$A$2:$A$100,0)),0)</f>
        <v>0</v>
      </c>
      <c r="Z17" s="91">
        <f>IFERROR(INDEX('Proposed Data'!AL$2:AL$100,MATCH(Proposed!$C10,'Proposed Data'!$A$2:$A$100,0)),0)</f>
        <v>0</v>
      </c>
      <c r="AA17" s="91">
        <f>IFERROR(INDEX('Proposed Data'!AM$2:AM$100,MATCH(Proposed!$C10,'Proposed Data'!$A$2:$A$100,0)),0)</f>
        <v>0</v>
      </c>
    </row>
    <row r="18" spans="1:27">
      <c r="B18" s="4" t="s">
        <v>176</v>
      </c>
      <c r="C18" s="127"/>
      <c r="D18" s="127"/>
      <c r="E18" s="127"/>
      <c r="F18" s="127"/>
      <c r="G18" s="127"/>
      <c r="H18" s="127"/>
      <c r="I18" s="127"/>
      <c r="J18" s="127"/>
      <c r="K18" s="127"/>
      <c r="L18" s="127"/>
      <c r="M18" s="127"/>
      <c r="N18" s="127"/>
      <c r="O18" s="127"/>
      <c r="P18" s="127"/>
      <c r="Q18" s="127"/>
      <c r="R18" s="127"/>
      <c r="S18" s="127"/>
      <c r="T18" s="127"/>
      <c r="U18" s="127"/>
      <c r="V18" s="127"/>
      <c r="W18" s="127"/>
      <c r="X18" s="127"/>
      <c r="Y18" s="127"/>
      <c r="Z18" s="127"/>
      <c r="AA18" s="127"/>
    </row>
    <row r="19" spans="1:27">
      <c r="B19" s="4" t="s">
        <v>177</v>
      </c>
      <c r="C19" s="91">
        <f>IF(ISBLANK(C18),C17,C18)</f>
        <v>38337.231999999996</v>
      </c>
      <c r="D19" s="91">
        <f t="shared" ref="D19:R19" si="0">IF(ISBLANK(D18),D17,D18)</f>
        <v>0</v>
      </c>
      <c r="E19" s="91">
        <f t="shared" si="0"/>
        <v>0</v>
      </c>
      <c r="F19" s="91">
        <f t="shared" si="0"/>
        <v>0</v>
      </c>
      <c r="G19" s="91">
        <f t="shared" si="0"/>
        <v>142882.61800000002</v>
      </c>
      <c r="H19" s="91">
        <f t="shared" si="0"/>
        <v>0</v>
      </c>
      <c r="I19" s="91">
        <f t="shared" si="0"/>
        <v>153372.81200000001</v>
      </c>
      <c r="J19" s="91">
        <f t="shared" si="0"/>
        <v>0</v>
      </c>
      <c r="K19" s="91">
        <f t="shared" si="0"/>
        <v>180081.948</v>
      </c>
      <c r="L19" s="91">
        <f>IF(ISBLANK(L18),L17,L18)</f>
        <v>0</v>
      </c>
      <c r="M19" s="91">
        <f>IF(ISBLANK(M18),M17,M18)</f>
        <v>0</v>
      </c>
      <c r="N19" s="91">
        <f t="shared" si="0"/>
        <v>0</v>
      </c>
      <c r="O19" s="91">
        <f t="shared" si="0"/>
        <v>174795.90700000001</v>
      </c>
      <c r="P19" s="91">
        <f t="shared" si="0"/>
        <v>0</v>
      </c>
      <c r="Q19" s="91">
        <f t="shared" si="0"/>
        <v>0</v>
      </c>
      <c r="R19" s="91">
        <f t="shared" si="0"/>
        <v>0</v>
      </c>
      <c r="S19" s="91">
        <f t="shared" ref="S19:AA19" si="1">IF(ISBLANK(S18),S17,S18)</f>
        <v>0</v>
      </c>
      <c r="T19" s="91">
        <f t="shared" si="1"/>
        <v>0</v>
      </c>
      <c r="U19" s="91">
        <f t="shared" si="1"/>
        <v>0</v>
      </c>
      <c r="V19" s="91">
        <f t="shared" si="1"/>
        <v>0</v>
      </c>
      <c r="W19" s="91">
        <f t="shared" si="1"/>
        <v>0</v>
      </c>
      <c r="X19" s="91">
        <f t="shared" si="1"/>
        <v>0</v>
      </c>
      <c r="Y19" s="91">
        <f t="shared" si="1"/>
        <v>0</v>
      </c>
      <c r="Z19" s="91">
        <f t="shared" si="1"/>
        <v>0</v>
      </c>
      <c r="AA19" s="91">
        <f t="shared" si="1"/>
        <v>0</v>
      </c>
    </row>
    <row r="21" spans="1:27">
      <c r="B21" s="30" t="s">
        <v>107</v>
      </c>
      <c r="C21" s="30"/>
      <c r="D21" s="30"/>
      <c r="E21" s="30"/>
      <c r="F21" s="30"/>
      <c r="G21" s="30"/>
      <c r="H21" s="30"/>
      <c r="I21" s="30"/>
      <c r="J21" s="30"/>
      <c r="K21" s="30"/>
      <c r="L21" s="30"/>
      <c r="M21" s="30"/>
      <c r="N21" s="30"/>
      <c r="O21" s="30"/>
      <c r="P21" s="30"/>
      <c r="Q21" s="30"/>
      <c r="R21" s="30"/>
      <c r="S21" s="30"/>
      <c r="T21" s="30"/>
      <c r="U21" s="30"/>
      <c r="V21" s="30"/>
      <c r="W21" s="30"/>
      <c r="X21" s="30"/>
      <c r="Y21" s="30"/>
      <c r="Z21" s="30"/>
      <c r="AA21" s="30"/>
    </row>
    <row r="23" spans="1:27" ht="15.6" thickBot="1">
      <c r="A23" s="3"/>
      <c r="B23" s="85"/>
      <c r="F23" s="3"/>
      <c r="G23" s="63" t="s">
        <v>166</v>
      </c>
      <c r="H23" s="63"/>
      <c r="I23" s="63" t="s">
        <v>167</v>
      </c>
      <c r="J23" s="63"/>
      <c r="K23" s="63"/>
      <c r="L23" s="63"/>
      <c r="M23" s="63"/>
      <c r="N23" s="63"/>
      <c r="O23" s="63" t="s">
        <v>118</v>
      </c>
      <c r="P23" s="63"/>
      <c r="R23" s="63" t="s">
        <v>168</v>
      </c>
      <c r="S23" s="63"/>
      <c r="U23" s="63" t="s">
        <v>199</v>
      </c>
      <c r="V23" s="63"/>
      <c r="W23" s="63"/>
      <c r="Y23" s="63" t="s">
        <v>169</v>
      </c>
      <c r="Z23" s="63"/>
      <c r="AA23" s="63"/>
    </row>
    <row r="24" spans="1:27">
      <c r="B24" s="4" t="s">
        <v>200</v>
      </c>
      <c r="C24" s="222"/>
      <c r="D24" s="223"/>
      <c r="F24" s="49" t="s">
        <v>172</v>
      </c>
      <c r="G24" s="95">
        <f>C24</f>
        <v>0</v>
      </c>
      <c r="H24" s="95"/>
      <c r="I24" s="95">
        <f>IFERROR(INDEX('Proposed Data'!$B$2:$B$100,MATCH(Proposed!$C24,'Proposed Data'!$A$2:$A$100,0)),0)</f>
        <v>0</v>
      </c>
      <c r="J24" s="95"/>
      <c r="K24" s="95"/>
      <c r="L24" s="95"/>
      <c r="M24" s="95"/>
      <c r="N24" s="95"/>
      <c r="O24" s="96">
        <f>IFERROR(INDEX('Proposed Data'!$C$2:$C$100,MATCH(Proposed!$C24,'Proposed Data'!$A$2:$A$100,0)),0)</f>
        <v>0</v>
      </c>
      <c r="P24" s="97"/>
      <c r="R24" s="91">
        <f>IFERROR(INDEX('Proposed Data'!$BM$2:$BM$100,MATCH(Proposed!$C24,'Proposed Data'!$A$2:$A$100,0)),0)/1000</f>
        <v>0</v>
      </c>
      <c r="S24" s="4" t="s">
        <v>173</v>
      </c>
      <c r="U24" s="53" t="s">
        <v>201</v>
      </c>
      <c r="V24" s="53" t="s">
        <v>202</v>
      </c>
      <c r="W24" s="53" t="s">
        <v>203</v>
      </c>
      <c r="Y24" s="4" t="s">
        <v>174</v>
      </c>
      <c r="Z24" s="91">
        <f>Calculations!BQ13</f>
        <v>0</v>
      </c>
      <c r="AA24" s="105" t="str">
        <f>'Project Info'!$I$5</f>
        <v>kBtu</v>
      </c>
    </row>
    <row r="25" spans="1:27">
      <c r="B25" s="4" t="s">
        <v>175</v>
      </c>
      <c r="C25" s="91">
        <f>IFERROR(IF(ISBLANK('Project Info'!$D$7),(INDEX('Proposed Data'!BP$2:BP$100,MATCH(Proposed!$C24,'Proposed Data'!$A$2:$A$100,0))),'Project Info'!$D$7),0)</f>
        <v>13652</v>
      </c>
      <c r="D25" s="4" t="str">
        <f>IF($I$11="SI","m²","ft²")</f>
        <v>ft²</v>
      </c>
      <c r="F25" s="49" t="s">
        <v>176</v>
      </c>
      <c r="G25" s="86"/>
      <c r="H25" s="86"/>
      <c r="I25" s="86"/>
      <c r="J25" s="86"/>
      <c r="K25" s="86"/>
      <c r="L25" s="86"/>
      <c r="M25" s="86"/>
      <c r="N25" s="86"/>
      <c r="O25" s="86"/>
      <c r="P25" s="86"/>
      <c r="R25" s="89"/>
      <c r="S25" s="4" t="s">
        <v>173</v>
      </c>
      <c r="U25" s="86"/>
      <c r="V25" s="86"/>
      <c r="W25" s="86"/>
      <c r="Z25" s="103">
        <f>IFERROR(Z24/C25,0)</f>
        <v>0</v>
      </c>
      <c r="AA25" s="105" t="str">
        <f>IF('Project Info'!$I$4=Menus!$A$2,"kWh/m²","kBtu/ft²")</f>
        <v>kBtu/ft²</v>
      </c>
    </row>
    <row r="26" spans="1:27">
      <c r="F26" s="49" t="s">
        <v>177</v>
      </c>
      <c r="G26" s="95">
        <f>IF(ISBLANK(G25),G24,G25)</f>
        <v>0</v>
      </c>
      <c r="H26" s="95"/>
      <c r="I26" s="95">
        <f>IF(ISBLANK(I25),I24,I25)</f>
        <v>0</v>
      </c>
      <c r="J26" s="95"/>
      <c r="K26" s="95"/>
      <c r="L26" s="95"/>
      <c r="M26" s="95"/>
      <c r="N26" s="95"/>
      <c r="O26" s="96">
        <f>IF(ISBLANK(O25),O24,O25)</f>
        <v>0</v>
      </c>
      <c r="P26" s="97"/>
      <c r="R26" s="91">
        <f>IF(ISBLANK(R25),R24,R25)</f>
        <v>0</v>
      </c>
      <c r="S26" s="4" t="s">
        <v>173</v>
      </c>
      <c r="U26" s="42" t="s">
        <v>88</v>
      </c>
      <c r="V26" s="42" t="s">
        <v>88</v>
      </c>
      <c r="W26" s="42" t="s">
        <v>88</v>
      </c>
    </row>
    <row r="27" spans="1:27">
      <c r="B27" s="3"/>
      <c r="C27" s="3"/>
      <c r="D27" s="3"/>
      <c r="E27" s="3"/>
      <c r="F27" s="3"/>
      <c r="G27" s="3"/>
      <c r="H27" s="3"/>
      <c r="I27" s="3"/>
      <c r="J27" s="3"/>
      <c r="K27" s="3"/>
      <c r="L27" s="3"/>
      <c r="M27" s="3"/>
      <c r="N27" s="3"/>
      <c r="O27" s="3"/>
      <c r="P27" s="3"/>
      <c r="S27" s="6"/>
      <c r="T27" s="6"/>
    </row>
    <row r="28" spans="1:27" ht="41.4">
      <c r="B28" s="4" t="s">
        <v>178</v>
      </c>
      <c r="C28" s="227" t="s">
        <v>179</v>
      </c>
      <c r="D28" s="228"/>
      <c r="E28" s="228"/>
      <c r="F28" s="228"/>
      <c r="G28" s="227" t="s">
        <v>180</v>
      </c>
      <c r="H28" s="228"/>
      <c r="I28" s="32" t="s">
        <v>181</v>
      </c>
      <c r="J28" s="32" t="s">
        <v>182</v>
      </c>
      <c r="K28" s="225" t="s">
        <v>183</v>
      </c>
      <c r="L28" s="226"/>
      <c r="M28" s="229"/>
      <c r="N28" s="32" t="s">
        <v>184</v>
      </c>
      <c r="O28" s="32" t="s">
        <v>185</v>
      </c>
      <c r="P28" s="32" t="s">
        <v>186</v>
      </c>
      <c r="Q28" s="32" t="s">
        <v>187</v>
      </c>
      <c r="R28" s="54" t="s">
        <v>188</v>
      </c>
      <c r="S28" s="54" t="s">
        <v>189</v>
      </c>
      <c r="T28" s="225" t="s">
        <v>190</v>
      </c>
      <c r="U28" s="226"/>
      <c r="V28" s="226"/>
      <c r="W28" s="226"/>
      <c r="X28" s="54" t="s">
        <v>191</v>
      </c>
      <c r="Y28" s="33" t="s">
        <v>192</v>
      </c>
      <c r="Z28" s="34">
        <f>'Project Info'!$I$10</f>
        <v>0</v>
      </c>
      <c r="AA28" s="34">
        <f>'Project Info'!$J$10</f>
        <v>0</v>
      </c>
    </row>
    <row r="29" spans="1:27">
      <c r="B29" s="4" t="s">
        <v>193</v>
      </c>
      <c r="C29" s="18" t="s">
        <v>59</v>
      </c>
      <c r="D29" s="18" t="s">
        <v>60</v>
      </c>
      <c r="E29" s="18" t="s">
        <v>194</v>
      </c>
      <c r="F29" s="18" t="s">
        <v>103</v>
      </c>
      <c r="G29" s="18" t="s">
        <v>59</v>
      </c>
      <c r="H29" s="18" t="s">
        <v>102</v>
      </c>
      <c r="I29" s="18" t="s">
        <v>59</v>
      </c>
      <c r="J29" s="18" t="s">
        <v>59</v>
      </c>
      <c r="K29" s="18" t="s">
        <v>59</v>
      </c>
      <c r="L29" s="18" t="s">
        <v>60</v>
      </c>
      <c r="M29" s="18" t="s">
        <v>194</v>
      </c>
      <c r="N29" s="18" t="s">
        <v>59</v>
      </c>
      <c r="O29" s="18" t="s">
        <v>59</v>
      </c>
      <c r="P29" s="18" t="s">
        <v>59</v>
      </c>
      <c r="Q29" s="18" t="s">
        <v>59</v>
      </c>
      <c r="R29" s="18" t="s">
        <v>59</v>
      </c>
      <c r="S29" s="18" t="s">
        <v>59</v>
      </c>
      <c r="T29" s="18" t="s">
        <v>59</v>
      </c>
      <c r="U29" s="18" t="s">
        <v>60</v>
      </c>
      <c r="V29" s="18" t="s">
        <v>194</v>
      </c>
      <c r="W29" s="18" t="s">
        <v>103</v>
      </c>
      <c r="X29" s="18" t="s">
        <v>59</v>
      </c>
      <c r="Y29" s="18" t="s">
        <v>59</v>
      </c>
      <c r="Z29" s="55" t="s">
        <v>59</v>
      </c>
      <c r="AA29" s="55" t="s">
        <v>59</v>
      </c>
    </row>
    <row r="30" spans="1:27">
      <c r="B30" s="4" t="s">
        <v>195</v>
      </c>
      <c r="C30" s="128" t="str">
        <f>'Project Info'!$I$5</f>
        <v>kBtu</v>
      </c>
      <c r="D30" s="128" t="str">
        <f>'Project Info'!$I$5</f>
        <v>kBtu</v>
      </c>
      <c r="E30" s="128" t="str">
        <f>'Project Info'!$I$5</f>
        <v>kBtu</v>
      </c>
      <c r="F30" s="128" t="str">
        <f>'Project Info'!$I$5</f>
        <v>kBtu</v>
      </c>
      <c r="G30" s="128" t="str">
        <f>'Project Info'!$I$5</f>
        <v>kBtu</v>
      </c>
      <c r="H30" s="128" t="str">
        <f>'Project Info'!$I$5</f>
        <v>kBtu</v>
      </c>
      <c r="I30" s="128" t="str">
        <f>'Project Info'!$I$5</f>
        <v>kBtu</v>
      </c>
      <c r="J30" s="128" t="str">
        <f>'Project Info'!$I$5</f>
        <v>kBtu</v>
      </c>
      <c r="K30" s="128" t="str">
        <f>'Project Info'!$I$5</f>
        <v>kBtu</v>
      </c>
      <c r="L30" s="128" t="str">
        <f>'Project Info'!$I$5</f>
        <v>kBtu</v>
      </c>
      <c r="M30" s="128" t="str">
        <f>'Project Info'!$I$5</f>
        <v>kBtu</v>
      </c>
      <c r="N30" s="128" t="str">
        <f>'Project Info'!$I$5</f>
        <v>kBtu</v>
      </c>
      <c r="O30" s="128" t="str">
        <f>'Project Info'!$I$5</f>
        <v>kBtu</v>
      </c>
      <c r="P30" s="128" t="str">
        <f>'Project Info'!$I$5</f>
        <v>kBtu</v>
      </c>
      <c r="Q30" s="128" t="str">
        <f>'Project Info'!$I$5</f>
        <v>kBtu</v>
      </c>
      <c r="R30" s="128" t="str">
        <f>'Project Info'!$I$5</f>
        <v>kBtu</v>
      </c>
      <c r="S30" s="128" t="str">
        <f>'Project Info'!$I$5</f>
        <v>kBtu</v>
      </c>
      <c r="T30" s="128" t="str">
        <f>'Project Info'!$I$5</f>
        <v>kBtu</v>
      </c>
      <c r="U30" s="128" t="str">
        <f>'Project Info'!$I$5</f>
        <v>kBtu</v>
      </c>
      <c r="V30" s="128" t="str">
        <f>'Project Info'!$I$5</f>
        <v>kBtu</v>
      </c>
      <c r="W30" s="128" t="str">
        <f>'Project Info'!$I$5</f>
        <v>kBtu</v>
      </c>
      <c r="X30" s="128" t="str">
        <f>'Project Info'!$I$5</f>
        <v>kBtu</v>
      </c>
      <c r="Y30" s="128" t="str">
        <f>'Project Info'!$I$5</f>
        <v>kBtu</v>
      </c>
      <c r="Z30" s="128" t="str">
        <f>'Project Info'!$I$5</f>
        <v>kBtu</v>
      </c>
      <c r="AA30" s="128" t="str">
        <f>'Project Info'!$I$5</f>
        <v>kBtu</v>
      </c>
    </row>
    <row r="31" spans="1:27">
      <c r="B31" s="4" t="s">
        <v>172</v>
      </c>
      <c r="C31" s="91">
        <f>IFERROR(INDEX('Proposed Data'!O$2:O$100,MATCH(Proposed!$C24,'Proposed Data'!$A$2:$A$100,0)),0)</f>
        <v>0</v>
      </c>
      <c r="D31" s="91">
        <f>IFERROR(INDEX('Proposed Data'!P$2:P$100,MATCH(Proposed!$C24,'Proposed Data'!$A$2:$A$100,0)),0)</f>
        <v>0</v>
      </c>
      <c r="E31" s="91">
        <f>IFERROR(INDEX('Proposed Data'!Q$2:Q$100,MATCH(Proposed!$C24,'Proposed Data'!$A$2:$A$100,0)),0)</f>
        <v>0</v>
      </c>
      <c r="F31" s="91">
        <f>IFERROR(INDEX('Proposed Data'!R$2:R$100,MATCH(Proposed!$C24,'Proposed Data'!$A$2:$A$100,0)),0)</f>
        <v>0</v>
      </c>
      <c r="G31" s="91">
        <f>IFERROR(INDEX('Proposed Data'!S$2:S$100,MATCH(Proposed!$C24,'Proposed Data'!$A$2:$A$100,0)),0)</f>
        <v>0</v>
      </c>
      <c r="H31" s="91">
        <f>IFERROR(INDEX('Proposed Data'!T$2:T$100,MATCH(Proposed!$C24,'Proposed Data'!$A$2:$A$100,0)),0)</f>
        <v>0</v>
      </c>
      <c r="I31" s="91">
        <f>IFERROR(INDEX('Proposed Data'!U$2:U$100,MATCH(Proposed!$C24,'Proposed Data'!$A$2:$A$100,0)),0)</f>
        <v>0</v>
      </c>
      <c r="J31" s="91">
        <f>IFERROR(INDEX('Proposed Data'!V$2:V$100,MATCH(Proposed!$C24,'Proposed Data'!$A$2:$A$100,0)),0)</f>
        <v>0</v>
      </c>
      <c r="K31" s="91">
        <f>IFERROR(INDEX('Proposed Data'!W$2:W$100,MATCH(Proposed!$C24,'Proposed Data'!$A$2:$A$100,0)),0)</f>
        <v>0</v>
      </c>
      <c r="L31" s="91">
        <f>IFERROR(INDEX('Proposed Data'!X$2:X$100,MATCH(Proposed!$C24,'Proposed Data'!$A$2:$A$100,0)),0)</f>
        <v>0</v>
      </c>
      <c r="M31" s="91">
        <f>IFERROR(INDEX('Proposed Data'!Y$2:Y$100,MATCH(Proposed!$C24,'Proposed Data'!$A$2:$A$100,0)),0)</f>
        <v>0</v>
      </c>
      <c r="N31" s="91">
        <f>IFERROR(INDEX('Proposed Data'!Z$2:Z$100,MATCH(Proposed!$C24,'Proposed Data'!$A$2:$A$100,0)),0)</f>
        <v>0</v>
      </c>
      <c r="O31" s="91">
        <f>IFERROR(INDEX('Proposed Data'!AA$2:AA$100,MATCH(Proposed!$C24,'Proposed Data'!$A$2:$A$100,0)),0)</f>
        <v>0</v>
      </c>
      <c r="P31" s="91">
        <f>IFERROR(INDEX('Proposed Data'!AB$2:AB$100,MATCH(Proposed!$C24,'Proposed Data'!$A$2:$A$100,0)),0)</f>
        <v>0</v>
      </c>
      <c r="Q31" s="91">
        <f>IFERROR(INDEX('Proposed Data'!AC$2:AC$100,MATCH(Proposed!$C24,'Proposed Data'!$A$2:$A$100,0)),0)</f>
        <v>0</v>
      </c>
      <c r="R31" s="91">
        <f>IFERROR(INDEX('Proposed Data'!AD$2:AD$100,MATCH(Proposed!$C24,'Proposed Data'!$A$2:$A$100,0)),0)</f>
        <v>0</v>
      </c>
      <c r="S31" s="91">
        <f>IFERROR(INDEX('Proposed Data'!AE$2:AE$100,MATCH(Proposed!$C24,'Proposed Data'!$A$2:$A$100,0)),0)</f>
        <v>0</v>
      </c>
      <c r="T31" s="91">
        <f>IFERROR(INDEX('Proposed Data'!AF$2:AF$100,MATCH(Proposed!$C24,'Proposed Data'!$A$2:$A$100,0)),0)</f>
        <v>0</v>
      </c>
      <c r="U31" s="91">
        <f>IFERROR(INDEX('Proposed Data'!AG$2:AG$100,MATCH(Proposed!$C24,'Proposed Data'!$A$2:$A$100,0)),0)</f>
        <v>0</v>
      </c>
      <c r="V31" s="91">
        <f>IFERROR(INDEX('Proposed Data'!AH$2:AH$100,MATCH(Proposed!$C24,'Proposed Data'!$A$2:$A$100,0)),0)</f>
        <v>0</v>
      </c>
      <c r="W31" s="91">
        <f>IFERROR(INDEX('Proposed Data'!AI$2:AI$100,MATCH(Proposed!$C24,'Proposed Data'!$A$2:$A$100,0)),0)</f>
        <v>0</v>
      </c>
      <c r="X31" s="91">
        <f>IFERROR(INDEX('Proposed Data'!AJ$2:AJ$100,MATCH(Proposed!$C24,'Proposed Data'!$A$2:$A$100,0)),0)</f>
        <v>0</v>
      </c>
      <c r="Y31" s="91">
        <f>IFERROR(INDEX('Proposed Data'!AK$2:AK$100,MATCH(Proposed!$C24,'Proposed Data'!$A$2:$A$100,0)),0)</f>
        <v>0</v>
      </c>
      <c r="Z31" s="91">
        <f>IFERROR(INDEX('Proposed Data'!AL$2:AL$100,MATCH(Proposed!$C24,'Proposed Data'!$A$2:$A$100,0)),0)</f>
        <v>0</v>
      </c>
      <c r="AA31" s="91">
        <f>IFERROR(INDEX('Proposed Data'!AM$2:AM$100,MATCH(Proposed!$C24,'Proposed Data'!$A$2:$A$100,0)),0)</f>
        <v>0</v>
      </c>
    </row>
    <row r="32" spans="1:27">
      <c r="B32" s="4" t="s">
        <v>176</v>
      </c>
      <c r="C32" s="127"/>
      <c r="D32" s="127"/>
      <c r="E32" s="127"/>
      <c r="F32" s="127"/>
      <c r="G32" s="127"/>
      <c r="H32" s="127"/>
      <c r="I32" s="127"/>
      <c r="J32" s="127"/>
      <c r="K32" s="127"/>
      <c r="L32" s="127"/>
      <c r="M32" s="127"/>
      <c r="N32" s="127"/>
      <c r="O32" s="127"/>
      <c r="P32" s="127"/>
      <c r="Q32" s="127"/>
      <c r="R32" s="127"/>
      <c r="S32" s="127"/>
      <c r="T32" s="127"/>
      <c r="U32" s="127"/>
      <c r="V32" s="127"/>
      <c r="W32" s="127"/>
      <c r="X32" s="127"/>
      <c r="Y32" s="127"/>
      <c r="Z32" s="127"/>
      <c r="AA32" s="127"/>
    </row>
    <row r="33" spans="1:27">
      <c r="B33" s="4" t="s">
        <v>177</v>
      </c>
      <c r="C33" s="91">
        <f>IF(ISBLANK(C32),C31,C32)</f>
        <v>0</v>
      </c>
      <c r="D33" s="91">
        <f t="shared" ref="D33:AA33" si="2">IF(ISBLANK(D32),D31,D32)</f>
        <v>0</v>
      </c>
      <c r="E33" s="91">
        <f t="shared" si="2"/>
        <v>0</v>
      </c>
      <c r="F33" s="91">
        <f t="shared" si="2"/>
        <v>0</v>
      </c>
      <c r="G33" s="91">
        <f t="shared" si="2"/>
        <v>0</v>
      </c>
      <c r="H33" s="91">
        <f t="shared" si="2"/>
        <v>0</v>
      </c>
      <c r="I33" s="91">
        <f t="shared" si="2"/>
        <v>0</v>
      </c>
      <c r="J33" s="91">
        <f t="shared" si="2"/>
        <v>0</v>
      </c>
      <c r="K33" s="91">
        <f t="shared" si="2"/>
        <v>0</v>
      </c>
      <c r="L33" s="91">
        <f t="shared" si="2"/>
        <v>0</v>
      </c>
      <c r="M33" s="91">
        <f t="shared" si="2"/>
        <v>0</v>
      </c>
      <c r="N33" s="91">
        <f t="shared" si="2"/>
        <v>0</v>
      </c>
      <c r="O33" s="91">
        <f t="shared" si="2"/>
        <v>0</v>
      </c>
      <c r="P33" s="91">
        <f t="shared" si="2"/>
        <v>0</v>
      </c>
      <c r="Q33" s="91">
        <f t="shared" si="2"/>
        <v>0</v>
      </c>
      <c r="R33" s="91">
        <f t="shared" si="2"/>
        <v>0</v>
      </c>
      <c r="S33" s="91">
        <f t="shared" si="2"/>
        <v>0</v>
      </c>
      <c r="T33" s="91">
        <f t="shared" si="2"/>
        <v>0</v>
      </c>
      <c r="U33" s="91">
        <f t="shared" si="2"/>
        <v>0</v>
      </c>
      <c r="V33" s="91">
        <f t="shared" si="2"/>
        <v>0</v>
      </c>
      <c r="W33" s="91">
        <f t="shared" si="2"/>
        <v>0</v>
      </c>
      <c r="X33" s="91">
        <f t="shared" si="2"/>
        <v>0</v>
      </c>
      <c r="Y33" s="91">
        <f t="shared" si="2"/>
        <v>0</v>
      </c>
      <c r="Z33" s="91">
        <f t="shared" si="2"/>
        <v>0</v>
      </c>
      <c r="AA33" s="91">
        <f t="shared" si="2"/>
        <v>0</v>
      </c>
    </row>
    <row r="35" spans="1:27">
      <c r="B35" s="30" t="s">
        <v>108</v>
      </c>
      <c r="C35" s="30"/>
      <c r="D35" s="30"/>
      <c r="E35" s="30"/>
      <c r="F35" s="30"/>
      <c r="G35" s="30"/>
      <c r="H35" s="30"/>
      <c r="I35" s="30"/>
      <c r="J35" s="30"/>
      <c r="K35" s="30"/>
      <c r="L35" s="30"/>
      <c r="M35" s="30"/>
      <c r="N35" s="30"/>
      <c r="O35" s="30"/>
      <c r="P35" s="30"/>
      <c r="Q35" s="30"/>
      <c r="R35" s="30"/>
      <c r="S35" s="30"/>
      <c r="T35" s="30"/>
      <c r="U35" s="30"/>
      <c r="V35" s="30"/>
      <c r="W35" s="30"/>
      <c r="X35" s="30"/>
      <c r="Y35" s="30"/>
      <c r="Z35" s="30"/>
      <c r="AA35" s="30"/>
    </row>
    <row r="37" spans="1:27" ht="15.6" thickBot="1">
      <c r="A37" s="3"/>
      <c r="B37" s="85"/>
      <c r="F37" s="3"/>
      <c r="G37" s="63" t="s">
        <v>166</v>
      </c>
      <c r="H37" s="63"/>
      <c r="I37" s="63" t="s">
        <v>167</v>
      </c>
      <c r="J37" s="63"/>
      <c r="K37" s="63"/>
      <c r="L37" s="63"/>
      <c r="M37" s="63"/>
      <c r="N37" s="63"/>
      <c r="O37" s="63" t="s">
        <v>118</v>
      </c>
      <c r="P37" s="63"/>
      <c r="R37" s="63" t="s">
        <v>168</v>
      </c>
      <c r="S37" s="63"/>
      <c r="U37" s="63" t="s">
        <v>199</v>
      </c>
      <c r="V37" s="63"/>
      <c r="W37" s="63"/>
      <c r="Y37" s="63" t="s">
        <v>169</v>
      </c>
      <c r="Z37" s="63"/>
      <c r="AA37" s="63"/>
    </row>
    <row r="38" spans="1:27">
      <c r="B38" s="4" t="s">
        <v>200</v>
      </c>
      <c r="C38" s="222"/>
      <c r="D38" s="223"/>
      <c r="F38" s="49" t="s">
        <v>172</v>
      </c>
      <c r="G38" s="95">
        <f>C38</f>
        <v>0</v>
      </c>
      <c r="H38" s="95"/>
      <c r="I38" s="95">
        <f>IFERROR(INDEX('Proposed Data'!$B$2:$B$100,MATCH(Proposed!$C38,'Proposed Data'!$A$2:$A$100,0)),0)</f>
        <v>0</v>
      </c>
      <c r="J38" s="95"/>
      <c r="K38" s="95"/>
      <c r="L38" s="95"/>
      <c r="M38" s="95"/>
      <c r="N38" s="95"/>
      <c r="O38" s="96">
        <f>IFERROR(INDEX('Proposed Data'!$C$2:$C$100,MATCH(Proposed!$C38,'Proposed Data'!$A$2:$A$100,0)),0)</f>
        <v>0</v>
      </c>
      <c r="P38" s="97"/>
      <c r="R38" s="91">
        <f>IFERROR(INDEX('Proposed Data'!$BM$2:$BM$100,MATCH(Proposed!$C38,'Proposed Data'!$A$2:$A$100,0)),0)/1000</f>
        <v>0</v>
      </c>
      <c r="S38" s="4" t="s">
        <v>173</v>
      </c>
      <c r="U38" s="53" t="s">
        <v>201</v>
      </c>
      <c r="V38" s="53" t="s">
        <v>202</v>
      </c>
      <c r="W38" s="53" t="s">
        <v>203</v>
      </c>
      <c r="Y38" s="4" t="s">
        <v>174</v>
      </c>
      <c r="Z38" s="91">
        <f>Calculations!BQ14</f>
        <v>0</v>
      </c>
      <c r="AA38" s="105" t="str">
        <f>'Project Info'!$I$5</f>
        <v>kBtu</v>
      </c>
    </row>
    <row r="39" spans="1:27">
      <c r="B39" s="4" t="s">
        <v>175</v>
      </c>
      <c r="C39" s="91">
        <f>IFERROR(IF(ISBLANK('Project Info'!$D$7),(INDEX('Proposed Data'!BP$2:BP$100,MATCH(Proposed!$C38,'Proposed Data'!$A$2:$A$100,0))),'Project Info'!$D$7),0)</f>
        <v>13652</v>
      </c>
      <c r="D39" s="4" t="str">
        <f>IF($I$11="SI","m²","ft²")</f>
        <v>ft²</v>
      </c>
      <c r="F39" s="49" t="s">
        <v>176</v>
      </c>
      <c r="G39" s="86"/>
      <c r="H39" s="86"/>
      <c r="I39" s="86"/>
      <c r="J39" s="86"/>
      <c r="K39" s="86"/>
      <c r="L39" s="86"/>
      <c r="M39" s="86"/>
      <c r="N39" s="86"/>
      <c r="O39" s="86"/>
      <c r="P39" s="86"/>
      <c r="R39" s="89"/>
      <c r="S39" s="4" t="s">
        <v>173</v>
      </c>
      <c r="U39" s="86"/>
      <c r="V39" s="86"/>
      <c r="W39" s="86"/>
      <c r="Z39" s="103">
        <f>IFERROR(Z38/C39,0)</f>
        <v>0</v>
      </c>
      <c r="AA39" s="105" t="str">
        <f>IF('Project Info'!$I$4=Menus!$A$2,"kWh/m²","kBtu/ft²")</f>
        <v>kBtu/ft²</v>
      </c>
    </row>
    <row r="40" spans="1:27">
      <c r="F40" s="49" t="s">
        <v>177</v>
      </c>
      <c r="G40" s="95">
        <f>IF(ISBLANK(G39),G38,G39)</f>
        <v>0</v>
      </c>
      <c r="H40" s="95"/>
      <c r="I40" s="95">
        <f>IF(ISBLANK(I39),I38,I39)</f>
        <v>0</v>
      </c>
      <c r="J40" s="95"/>
      <c r="K40" s="95"/>
      <c r="L40" s="95"/>
      <c r="M40" s="95"/>
      <c r="N40" s="95"/>
      <c r="O40" s="96">
        <f>IF(ISBLANK(O39),O38,O39)</f>
        <v>0</v>
      </c>
      <c r="P40" s="97"/>
      <c r="R40" s="91">
        <f>IF(ISBLANK(R39),R38,R39)</f>
        <v>0</v>
      </c>
      <c r="S40" s="4" t="s">
        <v>173</v>
      </c>
      <c r="U40" s="42" t="s">
        <v>88</v>
      </c>
      <c r="V40" s="42" t="s">
        <v>88</v>
      </c>
      <c r="W40" s="42" t="s">
        <v>88</v>
      </c>
    </row>
    <row r="41" spans="1:27">
      <c r="B41" s="3"/>
      <c r="C41" s="3"/>
      <c r="D41" s="3"/>
      <c r="E41" s="3"/>
      <c r="F41" s="3"/>
      <c r="G41" s="3"/>
      <c r="H41" s="3"/>
      <c r="I41" s="3"/>
      <c r="J41" s="3"/>
      <c r="K41" s="3"/>
      <c r="L41" s="3"/>
      <c r="M41" s="3"/>
      <c r="N41" s="3"/>
      <c r="O41" s="3"/>
      <c r="P41" s="3"/>
      <c r="T41" s="6"/>
    </row>
    <row r="42" spans="1:27" ht="41.4">
      <c r="B42" s="4" t="s">
        <v>178</v>
      </c>
      <c r="C42" s="227" t="s">
        <v>179</v>
      </c>
      <c r="D42" s="228"/>
      <c r="E42" s="228"/>
      <c r="F42" s="228"/>
      <c r="G42" s="227" t="s">
        <v>180</v>
      </c>
      <c r="H42" s="228"/>
      <c r="I42" s="32" t="s">
        <v>181</v>
      </c>
      <c r="J42" s="32" t="s">
        <v>182</v>
      </c>
      <c r="K42" s="225" t="s">
        <v>183</v>
      </c>
      <c r="L42" s="226"/>
      <c r="M42" s="229"/>
      <c r="N42" s="32" t="s">
        <v>184</v>
      </c>
      <c r="O42" s="32" t="s">
        <v>185</v>
      </c>
      <c r="P42" s="32" t="s">
        <v>186</v>
      </c>
      <c r="Q42" s="32" t="s">
        <v>187</v>
      </c>
      <c r="R42" s="54" t="s">
        <v>188</v>
      </c>
      <c r="S42" s="54" t="s">
        <v>189</v>
      </c>
      <c r="T42" s="225" t="s">
        <v>190</v>
      </c>
      <c r="U42" s="226"/>
      <c r="V42" s="226"/>
      <c r="W42" s="226"/>
      <c r="X42" s="54" t="s">
        <v>191</v>
      </c>
      <c r="Y42" s="33" t="s">
        <v>192</v>
      </c>
      <c r="Z42" s="34">
        <f>'Project Info'!$I$10</f>
        <v>0</v>
      </c>
      <c r="AA42" s="34">
        <f>'Project Info'!$J$10</f>
        <v>0</v>
      </c>
    </row>
    <row r="43" spans="1:27">
      <c r="B43" s="4" t="s">
        <v>193</v>
      </c>
      <c r="C43" s="18" t="s">
        <v>59</v>
      </c>
      <c r="D43" s="18" t="s">
        <v>60</v>
      </c>
      <c r="E43" s="18" t="s">
        <v>194</v>
      </c>
      <c r="F43" s="18" t="s">
        <v>103</v>
      </c>
      <c r="G43" s="18" t="s">
        <v>59</v>
      </c>
      <c r="H43" s="18" t="s">
        <v>102</v>
      </c>
      <c r="I43" s="18" t="s">
        <v>59</v>
      </c>
      <c r="J43" s="18" t="s">
        <v>59</v>
      </c>
      <c r="K43" s="18" t="s">
        <v>59</v>
      </c>
      <c r="L43" s="18" t="s">
        <v>60</v>
      </c>
      <c r="M43" s="18" t="s">
        <v>194</v>
      </c>
      <c r="N43" s="18" t="s">
        <v>59</v>
      </c>
      <c r="O43" s="18" t="s">
        <v>59</v>
      </c>
      <c r="P43" s="18" t="s">
        <v>59</v>
      </c>
      <c r="Q43" s="18" t="s">
        <v>59</v>
      </c>
      <c r="R43" s="18" t="s">
        <v>59</v>
      </c>
      <c r="S43" s="18" t="s">
        <v>59</v>
      </c>
      <c r="T43" s="18" t="s">
        <v>59</v>
      </c>
      <c r="U43" s="18" t="s">
        <v>60</v>
      </c>
      <c r="V43" s="18" t="s">
        <v>194</v>
      </c>
      <c r="W43" s="18" t="s">
        <v>103</v>
      </c>
      <c r="X43" s="18" t="s">
        <v>59</v>
      </c>
      <c r="Y43" s="18" t="s">
        <v>59</v>
      </c>
      <c r="Z43" s="55" t="s">
        <v>59</v>
      </c>
      <c r="AA43" s="55" t="s">
        <v>59</v>
      </c>
    </row>
    <row r="44" spans="1:27">
      <c r="B44" s="4" t="s">
        <v>195</v>
      </c>
      <c r="C44" s="128" t="str">
        <f>'Project Info'!$I$5</f>
        <v>kBtu</v>
      </c>
      <c r="D44" s="128" t="str">
        <f>'Project Info'!$I$5</f>
        <v>kBtu</v>
      </c>
      <c r="E44" s="128" t="str">
        <f>'Project Info'!$I$5</f>
        <v>kBtu</v>
      </c>
      <c r="F44" s="128" t="str">
        <f>'Project Info'!$I$5</f>
        <v>kBtu</v>
      </c>
      <c r="G44" s="128" t="str">
        <f>'Project Info'!$I$5</f>
        <v>kBtu</v>
      </c>
      <c r="H44" s="128" t="str">
        <f>'Project Info'!$I$5</f>
        <v>kBtu</v>
      </c>
      <c r="I44" s="128" t="str">
        <f>'Project Info'!$I$5</f>
        <v>kBtu</v>
      </c>
      <c r="J44" s="128" t="str">
        <f>'Project Info'!$I$5</f>
        <v>kBtu</v>
      </c>
      <c r="K44" s="128" t="str">
        <f>'Project Info'!$I$5</f>
        <v>kBtu</v>
      </c>
      <c r="L44" s="128" t="str">
        <f>'Project Info'!$I$5</f>
        <v>kBtu</v>
      </c>
      <c r="M44" s="128" t="str">
        <f>'Project Info'!$I$5</f>
        <v>kBtu</v>
      </c>
      <c r="N44" s="128" t="str">
        <f>'Project Info'!$I$5</f>
        <v>kBtu</v>
      </c>
      <c r="O44" s="128" t="str">
        <f>'Project Info'!$I$5</f>
        <v>kBtu</v>
      </c>
      <c r="P44" s="128" t="str">
        <f>'Project Info'!$I$5</f>
        <v>kBtu</v>
      </c>
      <c r="Q44" s="128" t="str">
        <f>'Project Info'!$I$5</f>
        <v>kBtu</v>
      </c>
      <c r="R44" s="128" t="str">
        <f>'Project Info'!$I$5</f>
        <v>kBtu</v>
      </c>
      <c r="S44" s="128" t="str">
        <f>'Project Info'!$I$5</f>
        <v>kBtu</v>
      </c>
      <c r="T44" s="128" t="str">
        <f>'Project Info'!$I$5</f>
        <v>kBtu</v>
      </c>
      <c r="U44" s="128" t="str">
        <f>'Project Info'!$I$5</f>
        <v>kBtu</v>
      </c>
      <c r="V44" s="128" t="str">
        <f>'Project Info'!$I$5</f>
        <v>kBtu</v>
      </c>
      <c r="W44" s="128" t="str">
        <f>'Project Info'!$I$5</f>
        <v>kBtu</v>
      </c>
      <c r="X44" s="128" t="str">
        <f>'Project Info'!$I$5</f>
        <v>kBtu</v>
      </c>
      <c r="Y44" s="128" t="str">
        <f>'Project Info'!$I$5</f>
        <v>kBtu</v>
      </c>
      <c r="Z44" s="128" t="str">
        <f>'Project Info'!$I$5</f>
        <v>kBtu</v>
      </c>
      <c r="AA44" s="128" t="str">
        <f>'Project Info'!$I$5</f>
        <v>kBtu</v>
      </c>
    </row>
    <row r="45" spans="1:27">
      <c r="B45" s="4" t="s">
        <v>172</v>
      </c>
      <c r="C45" s="91">
        <f>IFERROR(INDEX('Proposed Data'!O$2:O$100,MATCH(Proposed!$C38,'Proposed Data'!$A$2:$A$100,0)),0)</f>
        <v>0</v>
      </c>
      <c r="D45" s="91">
        <f>IFERROR(INDEX('Proposed Data'!P$2:P$100,MATCH(Proposed!$C38,'Proposed Data'!$A$2:$A$100,0)),0)</f>
        <v>0</v>
      </c>
      <c r="E45" s="91">
        <f>IFERROR(INDEX('Proposed Data'!Q$2:Q$100,MATCH(Proposed!$C38,'Proposed Data'!$A$2:$A$100,0)),0)</f>
        <v>0</v>
      </c>
      <c r="F45" s="91">
        <f>IFERROR(INDEX('Proposed Data'!R$2:R$100,MATCH(Proposed!$C38,'Proposed Data'!$A$2:$A$100,0)),0)</f>
        <v>0</v>
      </c>
      <c r="G45" s="91">
        <f>IFERROR(INDEX('Proposed Data'!S$2:S$100,MATCH(Proposed!$C38,'Proposed Data'!$A$2:$A$100,0)),0)</f>
        <v>0</v>
      </c>
      <c r="H45" s="91">
        <f>IFERROR(INDEX('Proposed Data'!T$2:T$100,MATCH(Proposed!$C38,'Proposed Data'!$A$2:$A$100,0)),0)</f>
        <v>0</v>
      </c>
      <c r="I45" s="91">
        <f>IFERROR(INDEX('Proposed Data'!U$2:U$100,MATCH(Proposed!$C38,'Proposed Data'!$A$2:$A$100,0)),0)</f>
        <v>0</v>
      </c>
      <c r="J45" s="91">
        <f>IFERROR(INDEX('Proposed Data'!V$2:V$100,MATCH(Proposed!$C38,'Proposed Data'!$A$2:$A$100,0)),0)</f>
        <v>0</v>
      </c>
      <c r="K45" s="91">
        <f>IFERROR(INDEX('Proposed Data'!W$2:W$100,MATCH(Proposed!$C38,'Proposed Data'!$A$2:$A$100,0)),0)</f>
        <v>0</v>
      </c>
      <c r="L45" s="91">
        <f>IFERROR(INDEX('Proposed Data'!X$2:X$100,MATCH(Proposed!$C38,'Proposed Data'!$A$2:$A$100,0)),0)</f>
        <v>0</v>
      </c>
      <c r="M45" s="91">
        <f>IFERROR(INDEX('Proposed Data'!Y$2:Y$100,MATCH(Proposed!$C38,'Proposed Data'!$A$2:$A$100,0)),0)</f>
        <v>0</v>
      </c>
      <c r="N45" s="91">
        <f>IFERROR(INDEX('Proposed Data'!Z$2:Z$100,MATCH(Proposed!$C38,'Proposed Data'!$A$2:$A$100,0)),0)</f>
        <v>0</v>
      </c>
      <c r="O45" s="91">
        <f>IFERROR(INDEX('Proposed Data'!AA$2:AA$100,MATCH(Proposed!$C38,'Proposed Data'!$A$2:$A$100,0)),0)</f>
        <v>0</v>
      </c>
      <c r="P45" s="91">
        <f>IFERROR(INDEX('Proposed Data'!AB$2:AB$100,MATCH(Proposed!$C38,'Proposed Data'!$A$2:$A$100,0)),0)</f>
        <v>0</v>
      </c>
      <c r="Q45" s="91">
        <f>IFERROR(INDEX('Proposed Data'!AC$2:AC$100,MATCH(Proposed!$C38,'Proposed Data'!$A$2:$A$100,0)),0)</f>
        <v>0</v>
      </c>
      <c r="R45" s="91">
        <f>IFERROR(INDEX('Proposed Data'!AD$2:AD$100,MATCH(Proposed!$C38,'Proposed Data'!$A$2:$A$100,0)),0)</f>
        <v>0</v>
      </c>
      <c r="S45" s="91">
        <f>IFERROR(INDEX('Proposed Data'!AE$2:AE$100,MATCH(Proposed!$C38,'Proposed Data'!$A$2:$A$100,0)),0)</f>
        <v>0</v>
      </c>
      <c r="T45" s="91">
        <f>IFERROR(INDEX('Proposed Data'!AF$2:AF$100,MATCH(Proposed!$C38,'Proposed Data'!$A$2:$A$100,0)),0)</f>
        <v>0</v>
      </c>
      <c r="U45" s="91">
        <f>IFERROR(INDEX('Proposed Data'!AG$2:AG$100,MATCH(Proposed!$C38,'Proposed Data'!$A$2:$A$100,0)),0)</f>
        <v>0</v>
      </c>
      <c r="V45" s="91">
        <f>IFERROR(INDEX('Proposed Data'!AH$2:AH$100,MATCH(Proposed!$C38,'Proposed Data'!$A$2:$A$100,0)),0)</f>
        <v>0</v>
      </c>
      <c r="W45" s="91">
        <f>IFERROR(INDEX('Proposed Data'!AI$2:AI$100,MATCH(Proposed!$C38,'Proposed Data'!$A$2:$A$100,0)),0)</f>
        <v>0</v>
      </c>
      <c r="X45" s="91">
        <f>IFERROR(INDEX('Proposed Data'!AJ$2:AJ$100,MATCH(Proposed!$C38,'Proposed Data'!$A$2:$A$100,0)),0)</f>
        <v>0</v>
      </c>
      <c r="Y45" s="91">
        <f>IFERROR(INDEX('Proposed Data'!AK$2:AK$100,MATCH(Proposed!$C38,'Proposed Data'!$A$2:$A$100,0)),0)</f>
        <v>0</v>
      </c>
      <c r="Z45" s="91">
        <f>IFERROR(INDEX('Proposed Data'!AL$2:AL$100,MATCH(Proposed!$C38,'Proposed Data'!$A$2:$A$100,0)),0)</f>
        <v>0</v>
      </c>
      <c r="AA45" s="91">
        <f>IFERROR(INDEX('Proposed Data'!AM$2:AM$100,MATCH(Proposed!$C38,'Proposed Data'!$A$2:$A$100,0)),0)</f>
        <v>0</v>
      </c>
    </row>
    <row r="46" spans="1:27">
      <c r="B46" s="4" t="s">
        <v>176</v>
      </c>
      <c r="C46" s="127"/>
      <c r="D46" s="127"/>
      <c r="E46" s="127"/>
      <c r="F46" s="127"/>
      <c r="G46" s="127"/>
      <c r="H46" s="127"/>
      <c r="I46" s="127"/>
      <c r="J46" s="127"/>
      <c r="K46" s="127"/>
      <c r="L46" s="127"/>
      <c r="M46" s="127"/>
      <c r="N46" s="127"/>
      <c r="O46" s="127"/>
      <c r="P46" s="127"/>
      <c r="Q46" s="127"/>
      <c r="R46" s="127"/>
      <c r="S46" s="127"/>
      <c r="T46" s="127"/>
      <c r="U46" s="127"/>
      <c r="V46" s="127"/>
      <c r="W46" s="127"/>
      <c r="X46" s="127"/>
      <c r="Y46" s="127"/>
      <c r="Z46" s="127"/>
      <c r="AA46" s="127"/>
    </row>
    <row r="47" spans="1:27">
      <c r="B47" s="4" t="s">
        <v>177</v>
      </c>
      <c r="C47" s="91">
        <f>IF(ISBLANK(C46),C45,C46)</f>
        <v>0</v>
      </c>
      <c r="D47" s="91">
        <f t="shared" ref="D47:AA47" si="3">IF(ISBLANK(D46),D45,D46)</f>
        <v>0</v>
      </c>
      <c r="E47" s="91">
        <f t="shared" si="3"/>
        <v>0</v>
      </c>
      <c r="F47" s="91">
        <f t="shared" si="3"/>
        <v>0</v>
      </c>
      <c r="G47" s="91">
        <f t="shared" si="3"/>
        <v>0</v>
      </c>
      <c r="H47" s="91">
        <f t="shared" si="3"/>
        <v>0</v>
      </c>
      <c r="I47" s="91">
        <f t="shared" si="3"/>
        <v>0</v>
      </c>
      <c r="J47" s="91">
        <f t="shared" si="3"/>
        <v>0</v>
      </c>
      <c r="K47" s="91">
        <f t="shared" si="3"/>
        <v>0</v>
      </c>
      <c r="L47" s="91">
        <f t="shared" si="3"/>
        <v>0</v>
      </c>
      <c r="M47" s="91">
        <f t="shared" si="3"/>
        <v>0</v>
      </c>
      <c r="N47" s="91">
        <f t="shared" si="3"/>
        <v>0</v>
      </c>
      <c r="O47" s="91">
        <f t="shared" si="3"/>
        <v>0</v>
      </c>
      <c r="P47" s="91">
        <f t="shared" si="3"/>
        <v>0</v>
      </c>
      <c r="Q47" s="91">
        <f t="shared" si="3"/>
        <v>0</v>
      </c>
      <c r="R47" s="91">
        <f t="shared" si="3"/>
        <v>0</v>
      </c>
      <c r="S47" s="91">
        <f t="shared" si="3"/>
        <v>0</v>
      </c>
      <c r="T47" s="91">
        <f t="shared" si="3"/>
        <v>0</v>
      </c>
      <c r="U47" s="91">
        <f t="shared" si="3"/>
        <v>0</v>
      </c>
      <c r="V47" s="91">
        <f t="shared" si="3"/>
        <v>0</v>
      </c>
      <c r="W47" s="91">
        <f t="shared" si="3"/>
        <v>0</v>
      </c>
      <c r="X47" s="91">
        <f t="shared" si="3"/>
        <v>0</v>
      </c>
      <c r="Y47" s="91">
        <f t="shared" si="3"/>
        <v>0</v>
      </c>
      <c r="Z47" s="91">
        <f t="shared" si="3"/>
        <v>0</v>
      </c>
      <c r="AA47" s="91">
        <f t="shared" si="3"/>
        <v>0</v>
      </c>
    </row>
    <row r="49" spans="1:27">
      <c r="B49" s="30" t="s">
        <v>109</v>
      </c>
      <c r="C49" s="30"/>
      <c r="D49" s="30"/>
      <c r="E49" s="30"/>
      <c r="F49" s="30"/>
      <c r="G49" s="30"/>
      <c r="H49" s="30"/>
      <c r="I49" s="30"/>
      <c r="J49" s="30"/>
      <c r="K49" s="30"/>
      <c r="L49" s="30"/>
      <c r="M49" s="30"/>
      <c r="N49" s="30"/>
      <c r="O49" s="30"/>
      <c r="P49" s="30"/>
      <c r="Q49" s="30"/>
      <c r="R49" s="30"/>
      <c r="S49" s="30"/>
      <c r="T49" s="30"/>
      <c r="U49" s="30"/>
      <c r="V49" s="30"/>
      <c r="W49" s="30"/>
      <c r="X49" s="30"/>
      <c r="Y49" s="30"/>
      <c r="Z49" s="30"/>
      <c r="AA49" s="30"/>
    </row>
    <row r="51" spans="1:27" ht="15.6" thickBot="1">
      <c r="A51" s="3"/>
      <c r="B51" s="85"/>
      <c r="F51" s="3"/>
      <c r="G51" s="63" t="s">
        <v>166</v>
      </c>
      <c r="H51" s="63"/>
      <c r="I51" s="63" t="s">
        <v>167</v>
      </c>
      <c r="J51" s="63"/>
      <c r="K51" s="63"/>
      <c r="L51" s="63"/>
      <c r="M51" s="63"/>
      <c r="N51" s="63"/>
      <c r="O51" s="63" t="s">
        <v>118</v>
      </c>
      <c r="P51" s="63"/>
      <c r="R51" s="63" t="s">
        <v>168</v>
      </c>
      <c r="S51" s="63"/>
      <c r="U51" s="63" t="s">
        <v>199</v>
      </c>
      <c r="V51" s="63"/>
      <c r="W51" s="63"/>
      <c r="Y51" s="63" t="s">
        <v>169</v>
      </c>
      <c r="Z51" s="63"/>
      <c r="AA51" s="63"/>
    </row>
    <row r="52" spans="1:27">
      <c r="B52" s="4" t="s">
        <v>200</v>
      </c>
      <c r="C52" s="222"/>
      <c r="D52" s="223"/>
      <c r="F52" s="49" t="s">
        <v>172</v>
      </c>
      <c r="G52" s="95">
        <f>C52</f>
        <v>0</v>
      </c>
      <c r="H52" s="95"/>
      <c r="I52" s="95">
        <f>IFERROR(INDEX('Proposed Data'!$B$2:$B$100,MATCH(Proposed!$C52,'Proposed Data'!$A$2:$A$100,0)),0)</f>
        <v>0</v>
      </c>
      <c r="J52" s="95"/>
      <c r="K52" s="95"/>
      <c r="L52" s="95"/>
      <c r="M52" s="95"/>
      <c r="N52" s="95"/>
      <c r="O52" s="96">
        <f>IFERROR(INDEX('Proposed Data'!$C$2:$C$100,MATCH(Proposed!$C52,'Proposed Data'!$A$2:$A$100,0)),0)</f>
        <v>0</v>
      </c>
      <c r="P52" s="97"/>
      <c r="R52" s="91">
        <f>IFERROR(INDEX('Proposed Data'!$BM$2:$BM$100,MATCH(Proposed!$C52,'Proposed Data'!$A$2:$A$100,0)),0)/1000</f>
        <v>0</v>
      </c>
      <c r="S52" s="4" t="s">
        <v>173</v>
      </c>
      <c r="U52" s="53" t="s">
        <v>201</v>
      </c>
      <c r="V52" s="53" t="s">
        <v>202</v>
      </c>
      <c r="W52" s="53" t="s">
        <v>203</v>
      </c>
      <c r="Y52" s="4" t="s">
        <v>174</v>
      </c>
      <c r="Z52" s="91">
        <f>Calculations!BQ15</f>
        <v>0</v>
      </c>
      <c r="AA52" s="105" t="str">
        <f>'Project Info'!$I$5</f>
        <v>kBtu</v>
      </c>
    </row>
    <row r="53" spans="1:27">
      <c r="B53" s="4" t="s">
        <v>175</v>
      </c>
      <c r="C53" s="91">
        <f>IFERROR(IF(ISBLANK('Project Info'!$D$7),(INDEX('Proposed Data'!BP$2:BP$100,MATCH(Proposed!$C52,'Proposed Data'!$A$2:$A$100,0))),'Project Info'!$D$7),0)</f>
        <v>13652</v>
      </c>
      <c r="D53" s="4" t="str">
        <f>IF($I$11="SI","m²","ft²")</f>
        <v>ft²</v>
      </c>
      <c r="F53" s="49" t="s">
        <v>176</v>
      </c>
      <c r="G53" s="86"/>
      <c r="H53" s="86"/>
      <c r="I53" s="86"/>
      <c r="J53" s="86"/>
      <c r="K53" s="86"/>
      <c r="L53" s="86"/>
      <c r="M53" s="86"/>
      <c r="N53" s="86"/>
      <c r="O53" s="86"/>
      <c r="P53" s="86"/>
      <c r="R53" s="89"/>
      <c r="S53" s="4" t="s">
        <v>173</v>
      </c>
      <c r="U53" s="86"/>
      <c r="V53" s="86"/>
      <c r="W53" s="86"/>
      <c r="Z53" s="103">
        <f>IFERROR(Z52/C53,0)</f>
        <v>0</v>
      </c>
      <c r="AA53" s="105" t="str">
        <f>IF('Project Info'!$I$4=Menus!$A$2,"kWh/m²","kBtu/ft²")</f>
        <v>kBtu/ft²</v>
      </c>
    </row>
    <row r="54" spans="1:27">
      <c r="F54" s="49" t="s">
        <v>177</v>
      </c>
      <c r="G54" s="95">
        <f>IF(ISBLANK(G53),G52,G53)</f>
        <v>0</v>
      </c>
      <c r="H54" s="95"/>
      <c r="I54" s="95">
        <f>IF(ISBLANK(I53),I52,I53)</f>
        <v>0</v>
      </c>
      <c r="J54" s="95"/>
      <c r="K54" s="95"/>
      <c r="L54" s="95"/>
      <c r="M54" s="95"/>
      <c r="N54" s="95"/>
      <c r="O54" s="96">
        <f>IF(ISBLANK(O53),O52,O53)</f>
        <v>0</v>
      </c>
      <c r="P54" s="97"/>
      <c r="R54" s="91">
        <f>IF(ISBLANK(R53),R52,R53)</f>
        <v>0</v>
      </c>
      <c r="S54" s="4" t="s">
        <v>173</v>
      </c>
      <c r="U54" s="42" t="s">
        <v>88</v>
      </c>
      <c r="V54" s="42" t="s">
        <v>88</v>
      </c>
      <c r="W54" s="42" t="s">
        <v>88</v>
      </c>
    </row>
    <row r="55" spans="1:27">
      <c r="B55" s="3"/>
      <c r="C55" s="3"/>
      <c r="D55" s="3"/>
      <c r="E55" s="3"/>
      <c r="F55" s="3"/>
      <c r="G55" s="3"/>
      <c r="H55" s="3"/>
      <c r="I55" s="3"/>
      <c r="J55" s="3"/>
      <c r="K55" s="3"/>
      <c r="L55" s="3"/>
      <c r="M55" s="3"/>
      <c r="N55" s="3"/>
      <c r="O55" s="3"/>
      <c r="P55" s="3"/>
      <c r="S55" s="6"/>
      <c r="T55" s="6"/>
    </row>
    <row r="56" spans="1:27" ht="41.4">
      <c r="B56" s="4" t="s">
        <v>178</v>
      </c>
      <c r="C56" s="227" t="s">
        <v>179</v>
      </c>
      <c r="D56" s="228"/>
      <c r="E56" s="228"/>
      <c r="F56" s="228"/>
      <c r="G56" s="227" t="s">
        <v>180</v>
      </c>
      <c r="H56" s="228"/>
      <c r="I56" s="32" t="s">
        <v>181</v>
      </c>
      <c r="J56" s="32" t="s">
        <v>182</v>
      </c>
      <c r="K56" s="225" t="s">
        <v>183</v>
      </c>
      <c r="L56" s="226"/>
      <c r="M56" s="229"/>
      <c r="N56" s="32" t="s">
        <v>184</v>
      </c>
      <c r="O56" s="32" t="s">
        <v>185</v>
      </c>
      <c r="P56" s="32" t="s">
        <v>186</v>
      </c>
      <c r="Q56" s="32" t="s">
        <v>187</v>
      </c>
      <c r="R56" s="54" t="s">
        <v>188</v>
      </c>
      <c r="S56" s="54" t="s">
        <v>189</v>
      </c>
      <c r="T56" s="225" t="s">
        <v>190</v>
      </c>
      <c r="U56" s="226"/>
      <c r="V56" s="226"/>
      <c r="W56" s="226"/>
      <c r="X56" s="54" t="s">
        <v>191</v>
      </c>
      <c r="Y56" s="33" t="s">
        <v>192</v>
      </c>
      <c r="Z56" s="34">
        <f>'Project Info'!$I$10</f>
        <v>0</v>
      </c>
      <c r="AA56" s="34">
        <f>'Project Info'!$J$10</f>
        <v>0</v>
      </c>
    </row>
    <row r="57" spans="1:27">
      <c r="B57" s="4" t="s">
        <v>193</v>
      </c>
      <c r="C57" s="18" t="s">
        <v>59</v>
      </c>
      <c r="D57" s="18" t="s">
        <v>60</v>
      </c>
      <c r="E57" s="18" t="s">
        <v>194</v>
      </c>
      <c r="F57" s="18" t="s">
        <v>103</v>
      </c>
      <c r="G57" s="18" t="s">
        <v>59</v>
      </c>
      <c r="H57" s="18" t="s">
        <v>102</v>
      </c>
      <c r="I57" s="18" t="s">
        <v>59</v>
      </c>
      <c r="J57" s="18" t="s">
        <v>59</v>
      </c>
      <c r="K57" s="18" t="s">
        <v>59</v>
      </c>
      <c r="L57" s="18" t="s">
        <v>60</v>
      </c>
      <c r="M57" s="18" t="s">
        <v>194</v>
      </c>
      <c r="N57" s="18" t="s">
        <v>59</v>
      </c>
      <c r="O57" s="18" t="s">
        <v>59</v>
      </c>
      <c r="P57" s="18" t="s">
        <v>59</v>
      </c>
      <c r="Q57" s="18" t="s">
        <v>59</v>
      </c>
      <c r="R57" s="18" t="s">
        <v>59</v>
      </c>
      <c r="S57" s="18" t="s">
        <v>59</v>
      </c>
      <c r="T57" s="18" t="s">
        <v>59</v>
      </c>
      <c r="U57" s="18" t="s">
        <v>60</v>
      </c>
      <c r="V57" s="18" t="s">
        <v>194</v>
      </c>
      <c r="W57" s="18" t="s">
        <v>103</v>
      </c>
      <c r="X57" s="18" t="s">
        <v>59</v>
      </c>
      <c r="Y57" s="18" t="s">
        <v>59</v>
      </c>
      <c r="Z57" s="55" t="s">
        <v>59</v>
      </c>
      <c r="AA57" s="55" t="s">
        <v>59</v>
      </c>
    </row>
    <row r="58" spans="1:27">
      <c r="B58" s="4" t="s">
        <v>195</v>
      </c>
      <c r="C58" s="128" t="str">
        <f>'Project Info'!$I$5</f>
        <v>kBtu</v>
      </c>
      <c r="D58" s="128" t="str">
        <f>'Project Info'!$I$5</f>
        <v>kBtu</v>
      </c>
      <c r="E58" s="128" t="str">
        <f>'Project Info'!$I$5</f>
        <v>kBtu</v>
      </c>
      <c r="F58" s="128" t="str">
        <f>'Project Info'!$I$5</f>
        <v>kBtu</v>
      </c>
      <c r="G58" s="128" t="str">
        <f>'Project Info'!$I$5</f>
        <v>kBtu</v>
      </c>
      <c r="H58" s="128" t="str">
        <f>'Project Info'!$I$5</f>
        <v>kBtu</v>
      </c>
      <c r="I58" s="128" t="str">
        <f>'Project Info'!$I$5</f>
        <v>kBtu</v>
      </c>
      <c r="J58" s="128" t="str">
        <f>'Project Info'!$I$5</f>
        <v>kBtu</v>
      </c>
      <c r="K58" s="128" t="str">
        <f>'Project Info'!$I$5</f>
        <v>kBtu</v>
      </c>
      <c r="L58" s="128" t="str">
        <f>'Project Info'!$I$5</f>
        <v>kBtu</v>
      </c>
      <c r="M58" s="128" t="str">
        <f>'Project Info'!$I$5</f>
        <v>kBtu</v>
      </c>
      <c r="N58" s="128" t="str">
        <f>'Project Info'!$I$5</f>
        <v>kBtu</v>
      </c>
      <c r="O58" s="128" t="str">
        <f>'Project Info'!$I$5</f>
        <v>kBtu</v>
      </c>
      <c r="P58" s="128" t="str">
        <f>'Project Info'!$I$5</f>
        <v>kBtu</v>
      </c>
      <c r="Q58" s="128" t="str">
        <f>'Project Info'!$I$5</f>
        <v>kBtu</v>
      </c>
      <c r="R58" s="128" t="str">
        <f>'Project Info'!$I$5</f>
        <v>kBtu</v>
      </c>
      <c r="S58" s="128" t="str">
        <f>'Project Info'!$I$5</f>
        <v>kBtu</v>
      </c>
      <c r="T58" s="128" t="str">
        <f>'Project Info'!$I$5</f>
        <v>kBtu</v>
      </c>
      <c r="U58" s="128" t="str">
        <f>'Project Info'!$I$5</f>
        <v>kBtu</v>
      </c>
      <c r="V58" s="128" t="str">
        <f>'Project Info'!$I$5</f>
        <v>kBtu</v>
      </c>
      <c r="W58" s="128" t="str">
        <f>'Project Info'!$I$5</f>
        <v>kBtu</v>
      </c>
      <c r="X58" s="128" t="str">
        <f>'Project Info'!$I$5</f>
        <v>kBtu</v>
      </c>
      <c r="Y58" s="128" t="str">
        <f>'Project Info'!$I$5</f>
        <v>kBtu</v>
      </c>
      <c r="Z58" s="128" t="str">
        <f>'Project Info'!$I$5</f>
        <v>kBtu</v>
      </c>
      <c r="AA58" s="128" t="str">
        <f>'Project Info'!$I$5</f>
        <v>kBtu</v>
      </c>
    </row>
    <row r="59" spans="1:27">
      <c r="B59" s="4" t="s">
        <v>172</v>
      </c>
      <c r="C59" s="91">
        <f>IFERROR(INDEX('Proposed Data'!O$2:O$100,MATCH(Proposed!$C52,'Proposed Data'!$A$2:$A$100,0)),0)</f>
        <v>0</v>
      </c>
      <c r="D59" s="91">
        <f>IFERROR(INDEX('Proposed Data'!P$2:P$100,MATCH(Proposed!$C52,'Proposed Data'!$A$2:$A$100,0)),0)</f>
        <v>0</v>
      </c>
      <c r="E59" s="91">
        <f>IFERROR(INDEX('Proposed Data'!Q$2:Q$100,MATCH(Proposed!$C52,'Proposed Data'!$A$2:$A$100,0)),0)</f>
        <v>0</v>
      </c>
      <c r="F59" s="91">
        <f>IFERROR(INDEX('Proposed Data'!R$2:R$100,MATCH(Proposed!$C52,'Proposed Data'!$A$2:$A$100,0)),0)</f>
        <v>0</v>
      </c>
      <c r="G59" s="91">
        <f>IFERROR(INDEX('Proposed Data'!S$2:S$100,MATCH(Proposed!$C52,'Proposed Data'!$A$2:$A$100,0)),0)</f>
        <v>0</v>
      </c>
      <c r="H59" s="91">
        <f>IFERROR(INDEX('Proposed Data'!T$2:T$100,MATCH(Proposed!$C52,'Proposed Data'!$A$2:$A$100,0)),0)</f>
        <v>0</v>
      </c>
      <c r="I59" s="91">
        <f>IFERROR(INDEX('Proposed Data'!U$2:U$100,MATCH(Proposed!$C52,'Proposed Data'!$A$2:$A$100,0)),0)</f>
        <v>0</v>
      </c>
      <c r="J59" s="91">
        <f>IFERROR(INDEX('Proposed Data'!V$2:V$100,MATCH(Proposed!$C52,'Proposed Data'!$A$2:$A$100,0)),0)</f>
        <v>0</v>
      </c>
      <c r="K59" s="91">
        <f>IFERROR(INDEX('Proposed Data'!W$2:W$100,MATCH(Proposed!$C52,'Proposed Data'!$A$2:$A$100,0)),0)</f>
        <v>0</v>
      </c>
      <c r="L59" s="91">
        <f>IFERROR(INDEX('Proposed Data'!X$2:X$100,MATCH(Proposed!$C52,'Proposed Data'!$A$2:$A$100,0)),0)</f>
        <v>0</v>
      </c>
      <c r="M59" s="91">
        <f>IFERROR(INDEX('Proposed Data'!Y$2:Y$100,MATCH(Proposed!$C52,'Proposed Data'!$A$2:$A$100,0)),0)</f>
        <v>0</v>
      </c>
      <c r="N59" s="91">
        <f>IFERROR(INDEX('Proposed Data'!Z$2:Z$100,MATCH(Proposed!$C52,'Proposed Data'!$A$2:$A$100,0)),0)</f>
        <v>0</v>
      </c>
      <c r="O59" s="91">
        <f>IFERROR(INDEX('Proposed Data'!AA$2:AA$100,MATCH(Proposed!$C52,'Proposed Data'!$A$2:$A$100,0)),0)</f>
        <v>0</v>
      </c>
      <c r="P59" s="91">
        <f>IFERROR(INDEX('Proposed Data'!AB$2:AB$100,MATCH(Proposed!$C52,'Proposed Data'!$A$2:$A$100,0)),0)</f>
        <v>0</v>
      </c>
      <c r="Q59" s="91">
        <f>IFERROR(INDEX('Proposed Data'!AC$2:AC$100,MATCH(Proposed!$C52,'Proposed Data'!$A$2:$A$100,0)),0)</f>
        <v>0</v>
      </c>
      <c r="R59" s="91">
        <f>IFERROR(INDEX('Proposed Data'!AD$2:AD$100,MATCH(Proposed!$C52,'Proposed Data'!$A$2:$A$100,0)),0)</f>
        <v>0</v>
      </c>
      <c r="S59" s="91">
        <f>IFERROR(INDEX('Proposed Data'!AE$2:AE$100,MATCH(Proposed!$C52,'Proposed Data'!$A$2:$A$100,0)),0)</f>
        <v>0</v>
      </c>
      <c r="T59" s="91">
        <f>IFERROR(INDEX('Proposed Data'!AF$2:AF$100,MATCH(Proposed!$C52,'Proposed Data'!$A$2:$A$100,0)),0)</f>
        <v>0</v>
      </c>
      <c r="U59" s="91">
        <f>IFERROR(INDEX('Proposed Data'!AG$2:AG$100,MATCH(Proposed!$C52,'Proposed Data'!$A$2:$A$100,0)),0)</f>
        <v>0</v>
      </c>
      <c r="V59" s="91">
        <f>IFERROR(INDEX('Proposed Data'!AH$2:AH$100,MATCH(Proposed!$C52,'Proposed Data'!$A$2:$A$100,0)),0)</f>
        <v>0</v>
      </c>
      <c r="W59" s="91">
        <f>IFERROR(INDEX('Proposed Data'!AI$2:AI$100,MATCH(Proposed!$C52,'Proposed Data'!$A$2:$A$100,0)),0)</f>
        <v>0</v>
      </c>
      <c r="X59" s="91">
        <f>IFERROR(INDEX('Proposed Data'!AJ$2:AJ$100,MATCH(Proposed!$C52,'Proposed Data'!$A$2:$A$100,0)),0)</f>
        <v>0</v>
      </c>
      <c r="Y59" s="91">
        <f>IFERROR(INDEX('Proposed Data'!AK$2:AK$100,MATCH(Proposed!$C52,'Proposed Data'!$A$2:$A$100,0)),0)</f>
        <v>0</v>
      </c>
      <c r="Z59" s="91">
        <f>IFERROR(INDEX('Proposed Data'!AL$2:AL$100,MATCH(Proposed!$C52,'Proposed Data'!$A$2:$A$100,0)),0)</f>
        <v>0</v>
      </c>
      <c r="AA59" s="91">
        <f>IFERROR(INDEX('Proposed Data'!AM$2:AM$100,MATCH(Proposed!$C52,'Proposed Data'!$A$2:$A$100,0)),0)</f>
        <v>0</v>
      </c>
    </row>
    <row r="60" spans="1:27">
      <c r="B60" s="4" t="s">
        <v>176</v>
      </c>
      <c r="C60" s="86"/>
      <c r="D60" s="86"/>
      <c r="E60" s="86"/>
      <c r="F60" s="86"/>
      <c r="G60" s="86"/>
      <c r="H60" s="86"/>
      <c r="I60" s="86"/>
      <c r="J60" s="86"/>
      <c r="K60" s="86"/>
      <c r="L60" s="86"/>
      <c r="M60" s="86"/>
      <c r="N60" s="86"/>
      <c r="O60" s="86"/>
      <c r="P60" s="86"/>
      <c r="Q60" s="86"/>
      <c r="R60" s="86"/>
      <c r="S60" s="86"/>
      <c r="T60" s="86"/>
      <c r="U60" s="86"/>
      <c r="V60" s="86"/>
      <c r="W60" s="86"/>
      <c r="X60" s="86"/>
      <c r="Y60" s="86"/>
      <c r="Z60" s="86"/>
      <c r="AA60" s="86"/>
    </row>
    <row r="61" spans="1:27">
      <c r="B61" s="4" t="s">
        <v>177</v>
      </c>
      <c r="C61" s="91">
        <f>IF(ISBLANK(C60),C59,C60)</f>
        <v>0</v>
      </c>
      <c r="D61" s="91">
        <f t="shared" ref="D61:AA61" si="4">IF(ISBLANK(D60),D59,D60)</f>
        <v>0</v>
      </c>
      <c r="E61" s="91">
        <f t="shared" si="4"/>
        <v>0</v>
      </c>
      <c r="F61" s="91">
        <f t="shared" si="4"/>
        <v>0</v>
      </c>
      <c r="G61" s="91">
        <f t="shared" si="4"/>
        <v>0</v>
      </c>
      <c r="H61" s="91">
        <f t="shared" si="4"/>
        <v>0</v>
      </c>
      <c r="I61" s="91">
        <f t="shared" si="4"/>
        <v>0</v>
      </c>
      <c r="J61" s="91">
        <f t="shared" si="4"/>
        <v>0</v>
      </c>
      <c r="K61" s="91">
        <f t="shared" si="4"/>
        <v>0</v>
      </c>
      <c r="L61" s="91">
        <f t="shared" si="4"/>
        <v>0</v>
      </c>
      <c r="M61" s="91">
        <f t="shared" si="4"/>
        <v>0</v>
      </c>
      <c r="N61" s="91">
        <f t="shared" si="4"/>
        <v>0</v>
      </c>
      <c r="O61" s="91">
        <f t="shared" si="4"/>
        <v>0</v>
      </c>
      <c r="P61" s="91">
        <f t="shared" si="4"/>
        <v>0</v>
      </c>
      <c r="Q61" s="91">
        <f t="shared" si="4"/>
        <v>0</v>
      </c>
      <c r="R61" s="91">
        <f t="shared" si="4"/>
        <v>0</v>
      </c>
      <c r="S61" s="91">
        <f t="shared" si="4"/>
        <v>0</v>
      </c>
      <c r="T61" s="91">
        <f t="shared" si="4"/>
        <v>0</v>
      </c>
      <c r="U61" s="91">
        <f t="shared" si="4"/>
        <v>0</v>
      </c>
      <c r="V61" s="91">
        <f t="shared" si="4"/>
        <v>0</v>
      </c>
      <c r="W61" s="91">
        <f t="shared" si="4"/>
        <v>0</v>
      </c>
      <c r="X61" s="91">
        <f t="shared" si="4"/>
        <v>0</v>
      </c>
      <c r="Y61" s="91">
        <f t="shared" si="4"/>
        <v>0</v>
      </c>
      <c r="Z61" s="91">
        <f t="shared" si="4"/>
        <v>0</v>
      </c>
      <c r="AA61" s="91">
        <f t="shared" si="4"/>
        <v>0</v>
      </c>
    </row>
    <row r="63" spans="1:27">
      <c r="B63" s="30" t="s">
        <v>110</v>
      </c>
      <c r="C63" s="30"/>
      <c r="D63" s="30"/>
      <c r="E63" s="30"/>
      <c r="F63" s="30"/>
      <c r="G63" s="30"/>
      <c r="H63" s="30"/>
      <c r="I63" s="30"/>
      <c r="J63" s="30"/>
      <c r="K63" s="30"/>
      <c r="L63" s="30"/>
      <c r="M63" s="30"/>
      <c r="N63" s="30"/>
      <c r="O63" s="30"/>
      <c r="P63" s="30"/>
      <c r="Q63" s="30"/>
      <c r="R63" s="30"/>
      <c r="S63" s="30"/>
      <c r="T63" s="30"/>
      <c r="U63" s="30"/>
      <c r="V63" s="30"/>
      <c r="W63" s="30"/>
      <c r="X63" s="30"/>
      <c r="Y63" s="30"/>
      <c r="Z63" s="30"/>
      <c r="AA63" s="30"/>
    </row>
    <row r="65" spans="1:27" ht="15.6" thickBot="1">
      <c r="A65" s="3"/>
      <c r="B65" s="85"/>
      <c r="F65" s="3"/>
      <c r="G65" s="63" t="s">
        <v>166</v>
      </c>
      <c r="H65" s="63"/>
      <c r="I65" s="63" t="s">
        <v>167</v>
      </c>
      <c r="J65" s="63"/>
      <c r="K65" s="63"/>
      <c r="L65" s="63"/>
      <c r="M65" s="63"/>
      <c r="N65" s="63"/>
      <c r="O65" s="63" t="s">
        <v>118</v>
      </c>
      <c r="P65" s="63"/>
      <c r="R65" s="63" t="s">
        <v>168</v>
      </c>
      <c r="S65" s="63"/>
      <c r="U65" s="63" t="s">
        <v>199</v>
      </c>
      <c r="V65" s="63"/>
      <c r="W65" s="63"/>
      <c r="Y65" s="63" t="s">
        <v>169</v>
      </c>
      <c r="Z65" s="63"/>
      <c r="AA65" s="63"/>
    </row>
    <row r="66" spans="1:27">
      <c r="B66" s="4" t="s">
        <v>200</v>
      </c>
      <c r="C66" s="222"/>
      <c r="D66" s="223"/>
      <c r="F66" s="49" t="s">
        <v>172</v>
      </c>
      <c r="G66" s="95">
        <f>C66</f>
        <v>0</v>
      </c>
      <c r="H66" s="95"/>
      <c r="I66" s="95">
        <f>IFERROR(INDEX('Proposed Data'!$B$2:$B$100,MATCH(Proposed!$C66,'Proposed Data'!$A$2:$A$100,0)),0)</f>
        <v>0</v>
      </c>
      <c r="J66" s="95"/>
      <c r="K66" s="95"/>
      <c r="L66" s="95"/>
      <c r="M66" s="95"/>
      <c r="N66" s="95"/>
      <c r="O66" s="96">
        <f>IFERROR(INDEX('Proposed Data'!$C$2:$C$100,MATCH(Proposed!$C66,'Proposed Data'!$A$2:$A$100,0)),0)</f>
        <v>0</v>
      </c>
      <c r="P66" s="97"/>
      <c r="R66" s="91">
        <f>IFERROR(INDEX('Proposed Data'!$BM$2:$BM$100,MATCH(Proposed!$C66,'Proposed Data'!$A$2:$A$100,0)),0)/1000</f>
        <v>0</v>
      </c>
      <c r="S66" s="4" t="s">
        <v>173</v>
      </c>
      <c r="U66" s="53" t="s">
        <v>201</v>
      </c>
      <c r="V66" s="53" t="s">
        <v>202</v>
      </c>
      <c r="W66" s="53" t="s">
        <v>203</v>
      </c>
      <c r="Y66" s="4" t="s">
        <v>174</v>
      </c>
      <c r="Z66" s="91">
        <f>Calculations!BQ16</f>
        <v>0</v>
      </c>
      <c r="AA66" s="105" t="str">
        <f>'Project Info'!$I$5</f>
        <v>kBtu</v>
      </c>
    </row>
    <row r="67" spans="1:27">
      <c r="B67" s="4" t="s">
        <v>175</v>
      </c>
      <c r="C67" s="91">
        <f>IFERROR(IF(ISBLANK('Project Info'!$D$7),(INDEX('Proposed Data'!BP$2:BP$100,MATCH(Proposed!$C66,'Proposed Data'!$A$2:$A$100,0))),'Project Info'!$D$7),0)</f>
        <v>13652</v>
      </c>
      <c r="D67" s="4" t="str">
        <f>IF($I$11="SI","m²","ft²")</f>
        <v>ft²</v>
      </c>
      <c r="F67" s="49" t="s">
        <v>176</v>
      </c>
      <c r="G67" s="86"/>
      <c r="H67" s="86"/>
      <c r="I67" s="86"/>
      <c r="J67" s="86"/>
      <c r="K67" s="86"/>
      <c r="L67" s="86"/>
      <c r="M67" s="86"/>
      <c r="N67" s="86"/>
      <c r="O67" s="86"/>
      <c r="P67" s="86"/>
      <c r="R67" s="89"/>
      <c r="S67" s="4" t="s">
        <v>173</v>
      </c>
      <c r="U67" s="86"/>
      <c r="V67" s="86"/>
      <c r="W67" s="86"/>
      <c r="Z67" s="103">
        <f>IFERROR(Z66/C67,0)</f>
        <v>0</v>
      </c>
      <c r="AA67" s="105" t="str">
        <f>IF('Project Info'!$I$4=Menus!$A$2,"kWh/m²","kBtu/ft²")</f>
        <v>kBtu/ft²</v>
      </c>
    </row>
    <row r="68" spans="1:27">
      <c r="F68" s="49" t="s">
        <v>177</v>
      </c>
      <c r="G68" s="95">
        <f>IF(ISBLANK(G67),G66,G67)</f>
        <v>0</v>
      </c>
      <c r="H68" s="95"/>
      <c r="I68" s="95">
        <f>IF(ISBLANK(I67),I66,I67)</f>
        <v>0</v>
      </c>
      <c r="J68" s="95"/>
      <c r="K68" s="95"/>
      <c r="L68" s="95"/>
      <c r="M68" s="95"/>
      <c r="N68" s="95"/>
      <c r="O68" s="96">
        <f>IF(ISBLANK(O67),O66,O67)</f>
        <v>0</v>
      </c>
      <c r="P68" s="97"/>
      <c r="R68" s="91">
        <f>IF(ISBLANK(R67),R66,R67)</f>
        <v>0</v>
      </c>
      <c r="S68" s="4" t="s">
        <v>173</v>
      </c>
      <c r="U68" s="42" t="s">
        <v>88</v>
      </c>
      <c r="V68" s="42" t="s">
        <v>88</v>
      </c>
      <c r="W68" s="42" t="s">
        <v>88</v>
      </c>
    </row>
    <row r="69" spans="1:27">
      <c r="B69" s="3"/>
      <c r="C69" s="3"/>
      <c r="D69" s="3"/>
      <c r="E69" s="3"/>
      <c r="F69" s="3"/>
      <c r="G69" s="3"/>
      <c r="H69" s="3"/>
      <c r="I69" s="3"/>
      <c r="J69" s="3"/>
      <c r="K69" s="3"/>
      <c r="L69" s="3"/>
      <c r="M69" s="3"/>
      <c r="N69" s="3"/>
      <c r="O69" s="3"/>
      <c r="P69" s="3"/>
      <c r="T69" s="6"/>
    </row>
    <row r="70" spans="1:27" ht="41.4">
      <c r="B70" s="4" t="s">
        <v>178</v>
      </c>
      <c r="C70" s="227" t="s">
        <v>179</v>
      </c>
      <c r="D70" s="228"/>
      <c r="E70" s="228"/>
      <c r="F70" s="228"/>
      <c r="G70" s="227" t="s">
        <v>180</v>
      </c>
      <c r="H70" s="228"/>
      <c r="I70" s="32" t="s">
        <v>181</v>
      </c>
      <c r="J70" s="32" t="s">
        <v>182</v>
      </c>
      <c r="K70" s="225" t="s">
        <v>183</v>
      </c>
      <c r="L70" s="226"/>
      <c r="M70" s="229"/>
      <c r="N70" s="32" t="s">
        <v>184</v>
      </c>
      <c r="O70" s="32" t="s">
        <v>185</v>
      </c>
      <c r="P70" s="32" t="s">
        <v>186</v>
      </c>
      <c r="Q70" s="32" t="s">
        <v>187</v>
      </c>
      <c r="R70" s="54" t="s">
        <v>188</v>
      </c>
      <c r="S70" s="54" t="s">
        <v>189</v>
      </c>
      <c r="T70" s="225" t="s">
        <v>190</v>
      </c>
      <c r="U70" s="226"/>
      <c r="V70" s="226"/>
      <c r="W70" s="226"/>
      <c r="X70" s="54" t="s">
        <v>191</v>
      </c>
      <c r="Y70" s="33" t="s">
        <v>192</v>
      </c>
      <c r="Z70" s="34">
        <f>'Project Info'!$I$10</f>
        <v>0</v>
      </c>
      <c r="AA70" s="34">
        <f>'Project Info'!$J$10</f>
        <v>0</v>
      </c>
    </row>
    <row r="71" spans="1:27">
      <c r="B71" s="4" t="s">
        <v>193</v>
      </c>
      <c r="C71" s="18" t="s">
        <v>59</v>
      </c>
      <c r="D71" s="18" t="s">
        <v>60</v>
      </c>
      <c r="E71" s="18" t="s">
        <v>194</v>
      </c>
      <c r="F71" s="18" t="s">
        <v>103</v>
      </c>
      <c r="G71" s="18" t="s">
        <v>59</v>
      </c>
      <c r="H71" s="18" t="s">
        <v>102</v>
      </c>
      <c r="I71" s="18" t="s">
        <v>59</v>
      </c>
      <c r="J71" s="18" t="s">
        <v>59</v>
      </c>
      <c r="K71" s="18" t="s">
        <v>59</v>
      </c>
      <c r="L71" s="18" t="s">
        <v>60</v>
      </c>
      <c r="M71" s="18" t="s">
        <v>194</v>
      </c>
      <c r="N71" s="18" t="s">
        <v>59</v>
      </c>
      <c r="O71" s="18" t="s">
        <v>59</v>
      </c>
      <c r="P71" s="18" t="s">
        <v>59</v>
      </c>
      <c r="Q71" s="18" t="s">
        <v>59</v>
      </c>
      <c r="R71" s="18" t="s">
        <v>59</v>
      </c>
      <c r="S71" s="18" t="s">
        <v>59</v>
      </c>
      <c r="T71" s="18" t="s">
        <v>59</v>
      </c>
      <c r="U71" s="18" t="s">
        <v>60</v>
      </c>
      <c r="V71" s="18" t="s">
        <v>194</v>
      </c>
      <c r="W71" s="18" t="s">
        <v>103</v>
      </c>
      <c r="X71" s="18" t="s">
        <v>59</v>
      </c>
      <c r="Y71" s="18" t="s">
        <v>59</v>
      </c>
      <c r="Z71" s="55" t="s">
        <v>59</v>
      </c>
      <c r="AA71" s="55" t="s">
        <v>59</v>
      </c>
    </row>
    <row r="72" spans="1:27">
      <c r="B72" s="4" t="s">
        <v>195</v>
      </c>
      <c r="C72" s="128" t="str">
        <f>'Project Info'!$I$5</f>
        <v>kBtu</v>
      </c>
      <c r="D72" s="128" t="str">
        <f>'Project Info'!$I$5</f>
        <v>kBtu</v>
      </c>
      <c r="E72" s="128" t="str">
        <f>'Project Info'!$I$5</f>
        <v>kBtu</v>
      </c>
      <c r="F72" s="128" t="str">
        <f>'Project Info'!$I$5</f>
        <v>kBtu</v>
      </c>
      <c r="G72" s="128" t="str">
        <f>'Project Info'!$I$5</f>
        <v>kBtu</v>
      </c>
      <c r="H72" s="128" t="str">
        <f>'Project Info'!$I$5</f>
        <v>kBtu</v>
      </c>
      <c r="I72" s="128" t="str">
        <f>'Project Info'!$I$5</f>
        <v>kBtu</v>
      </c>
      <c r="J72" s="128" t="str">
        <f>'Project Info'!$I$5</f>
        <v>kBtu</v>
      </c>
      <c r="K72" s="128" t="str">
        <f>'Project Info'!$I$5</f>
        <v>kBtu</v>
      </c>
      <c r="L72" s="128" t="str">
        <f>'Project Info'!$I$5</f>
        <v>kBtu</v>
      </c>
      <c r="M72" s="128" t="str">
        <f>'Project Info'!$I$5</f>
        <v>kBtu</v>
      </c>
      <c r="N72" s="128" t="str">
        <f>'Project Info'!$I$5</f>
        <v>kBtu</v>
      </c>
      <c r="O72" s="128" t="str">
        <f>'Project Info'!$I$5</f>
        <v>kBtu</v>
      </c>
      <c r="P72" s="128" t="str">
        <f>'Project Info'!$I$5</f>
        <v>kBtu</v>
      </c>
      <c r="Q72" s="128" t="str">
        <f>'Project Info'!$I$5</f>
        <v>kBtu</v>
      </c>
      <c r="R72" s="128" t="str">
        <f>'Project Info'!$I$5</f>
        <v>kBtu</v>
      </c>
      <c r="S72" s="128" t="str">
        <f>'Project Info'!$I$5</f>
        <v>kBtu</v>
      </c>
      <c r="T72" s="128" t="str">
        <f>'Project Info'!$I$5</f>
        <v>kBtu</v>
      </c>
      <c r="U72" s="128" t="str">
        <f>'Project Info'!$I$5</f>
        <v>kBtu</v>
      </c>
      <c r="V72" s="128" t="str">
        <f>'Project Info'!$I$5</f>
        <v>kBtu</v>
      </c>
      <c r="W72" s="128" t="str">
        <f>'Project Info'!$I$5</f>
        <v>kBtu</v>
      </c>
      <c r="X72" s="128" t="str">
        <f>'Project Info'!$I$5</f>
        <v>kBtu</v>
      </c>
      <c r="Y72" s="128" t="str">
        <f>'Project Info'!$I$5</f>
        <v>kBtu</v>
      </c>
      <c r="Z72" s="128" t="str">
        <f>'Project Info'!$I$5</f>
        <v>kBtu</v>
      </c>
      <c r="AA72" s="128" t="str">
        <f>'Project Info'!$I$5</f>
        <v>kBtu</v>
      </c>
    </row>
    <row r="73" spans="1:27">
      <c r="B73" s="4" t="s">
        <v>172</v>
      </c>
      <c r="C73" s="91">
        <f>IFERROR(INDEX('Proposed Data'!O$2:O$100,MATCH(Proposed!$C66,'Proposed Data'!$A$2:$A$100,0)),0)</f>
        <v>0</v>
      </c>
      <c r="D73" s="91">
        <f>IFERROR(INDEX('Proposed Data'!P$2:P$100,MATCH(Proposed!$C66,'Proposed Data'!$A$2:$A$100,0)),0)</f>
        <v>0</v>
      </c>
      <c r="E73" s="91">
        <f>IFERROR(INDEX('Proposed Data'!Q$2:Q$100,MATCH(Proposed!$C66,'Proposed Data'!$A$2:$A$100,0)),0)</f>
        <v>0</v>
      </c>
      <c r="F73" s="91">
        <f>IFERROR(INDEX('Proposed Data'!R$2:R$100,MATCH(Proposed!$C66,'Proposed Data'!$A$2:$A$100,0)),0)</f>
        <v>0</v>
      </c>
      <c r="G73" s="91">
        <f>IFERROR(INDEX('Proposed Data'!S$2:S$100,MATCH(Proposed!$C66,'Proposed Data'!$A$2:$A$100,0)),0)</f>
        <v>0</v>
      </c>
      <c r="H73" s="91">
        <f>IFERROR(INDEX('Proposed Data'!T$2:T$100,MATCH(Proposed!$C66,'Proposed Data'!$A$2:$A$100,0)),0)</f>
        <v>0</v>
      </c>
      <c r="I73" s="91">
        <f>IFERROR(INDEX('Proposed Data'!U$2:U$100,MATCH(Proposed!$C66,'Proposed Data'!$A$2:$A$100,0)),0)</f>
        <v>0</v>
      </c>
      <c r="J73" s="91">
        <f>IFERROR(INDEX('Proposed Data'!V$2:V$100,MATCH(Proposed!$C66,'Proposed Data'!$A$2:$A$100,0)),0)</f>
        <v>0</v>
      </c>
      <c r="K73" s="91">
        <f>IFERROR(INDEX('Proposed Data'!W$2:W$100,MATCH(Proposed!$C66,'Proposed Data'!$A$2:$A$100,0)),0)</f>
        <v>0</v>
      </c>
      <c r="L73" s="91">
        <f>IFERROR(INDEX('Proposed Data'!X$2:X$100,MATCH(Proposed!$C66,'Proposed Data'!$A$2:$A$100,0)),0)</f>
        <v>0</v>
      </c>
      <c r="M73" s="91">
        <f>IFERROR(INDEX('Proposed Data'!Y$2:Y$100,MATCH(Proposed!$C66,'Proposed Data'!$A$2:$A$100,0)),0)</f>
        <v>0</v>
      </c>
      <c r="N73" s="91">
        <f>IFERROR(INDEX('Proposed Data'!Z$2:Z$100,MATCH(Proposed!$C66,'Proposed Data'!$A$2:$A$100,0)),0)</f>
        <v>0</v>
      </c>
      <c r="O73" s="91">
        <f>IFERROR(INDEX('Proposed Data'!AA$2:AA$100,MATCH(Proposed!$C66,'Proposed Data'!$A$2:$A$100,0)),0)</f>
        <v>0</v>
      </c>
      <c r="P73" s="91">
        <f>IFERROR(INDEX('Proposed Data'!AB$2:AB$100,MATCH(Proposed!$C66,'Proposed Data'!$A$2:$A$100,0)),0)</f>
        <v>0</v>
      </c>
      <c r="Q73" s="91">
        <f>IFERROR(INDEX('Proposed Data'!AC$2:AC$100,MATCH(Proposed!$C66,'Proposed Data'!$A$2:$A$100,0)),0)</f>
        <v>0</v>
      </c>
      <c r="R73" s="91">
        <f>IFERROR(INDEX('Proposed Data'!AD$2:AD$100,MATCH(Proposed!$C66,'Proposed Data'!$A$2:$A$100,0)),0)</f>
        <v>0</v>
      </c>
      <c r="S73" s="91">
        <f>IFERROR(INDEX('Proposed Data'!AE$2:AE$100,MATCH(Proposed!$C66,'Proposed Data'!$A$2:$A$100,0)),0)</f>
        <v>0</v>
      </c>
      <c r="T73" s="91">
        <f>IFERROR(INDEX('Proposed Data'!AF$2:AF$100,MATCH(Proposed!$C66,'Proposed Data'!$A$2:$A$100,0)),0)</f>
        <v>0</v>
      </c>
      <c r="U73" s="91">
        <f>IFERROR(INDEX('Proposed Data'!AG$2:AG$100,MATCH(Proposed!$C66,'Proposed Data'!$A$2:$A$100,0)),0)</f>
        <v>0</v>
      </c>
      <c r="V73" s="91">
        <f>IFERROR(INDEX('Proposed Data'!AH$2:AH$100,MATCH(Proposed!$C66,'Proposed Data'!$A$2:$A$100,0)),0)</f>
        <v>0</v>
      </c>
      <c r="W73" s="91">
        <f>IFERROR(INDEX('Proposed Data'!AI$2:AI$100,MATCH(Proposed!$C66,'Proposed Data'!$A$2:$A$100,0)),0)</f>
        <v>0</v>
      </c>
      <c r="X73" s="91">
        <f>IFERROR(INDEX('Proposed Data'!AJ$2:AJ$100,MATCH(Proposed!$C66,'Proposed Data'!$A$2:$A$100,0)),0)</f>
        <v>0</v>
      </c>
      <c r="Y73" s="91">
        <f>IFERROR(INDEX('Proposed Data'!AK$2:AK$100,MATCH(Proposed!$C66,'Proposed Data'!$A$2:$A$100,0)),0)</f>
        <v>0</v>
      </c>
      <c r="Z73" s="91">
        <f>IFERROR(INDEX('Proposed Data'!AL$2:AL$100,MATCH(Proposed!$C66,'Proposed Data'!$A$2:$A$100,0)),0)</f>
        <v>0</v>
      </c>
      <c r="AA73" s="91">
        <f>IFERROR(INDEX('Proposed Data'!AM$2:AM$100,MATCH(Proposed!$C66,'Proposed Data'!$A$2:$A$100,0)),0)</f>
        <v>0</v>
      </c>
    </row>
    <row r="74" spans="1:27">
      <c r="B74" s="4" t="s">
        <v>176</v>
      </c>
      <c r="C74" s="86"/>
      <c r="D74" s="86"/>
      <c r="E74" s="86"/>
      <c r="F74" s="86"/>
      <c r="G74" s="86"/>
      <c r="H74" s="86"/>
      <c r="I74" s="86"/>
      <c r="J74" s="86"/>
      <c r="K74" s="86"/>
      <c r="L74" s="86"/>
      <c r="M74" s="86"/>
      <c r="N74" s="86"/>
      <c r="O74" s="86"/>
      <c r="P74" s="86"/>
      <c r="Q74" s="86"/>
      <c r="R74" s="86"/>
      <c r="S74" s="86"/>
      <c r="T74" s="86"/>
      <c r="U74" s="86"/>
      <c r="V74" s="86"/>
      <c r="W74" s="86"/>
      <c r="X74" s="86"/>
      <c r="Y74" s="86"/>
      <c r="Z74" s="86"/>
      <c r="AA74" s="86"/>
    </row>
    <row r="75" spans="1:27">
      <c r="B75" s="4" t="s">
        <v>177</v>
      </c>
      <c r="C75" s="91">
        <f>IF(ISBLANK(C74),C73,C74)</f>
        <v>0</v>
      </c>
      <c r="D75" s="91">
        <f t="shared" ref="D75:AA75" si="5">IF(ISBLANK(D74),D73,D74)</f>
        <v>0</v>
      </c>
      <c r="E75" s="91">
        <f t="shared" si="5"/>
        <v>0</v>
      </c>
      <c r="F75" s="91">
        <f t="shared" si="5"/>
        <v>0</v>
      </c>
      <c r="G75" s="91">
        <f t="shared" si="5"/>
        <v>0</v>
      </c>
      <c r="H75" s="91">
        <f t="shared" si="5"/>
        <v>0</v>
      </c>
      <c r="I75" s="91">
        <f t="shared" si="5"/>
        <v>0</v>
      </c>
      <c r="J75" s="91">
        <f t="shared" si="5"/>
        <v>0</v>
      </c>
      <c r="K75" s="91">
        <f t="shared" si="5"/>
        <v>0</v>
      </c>
      <c r="L75" s="91">
        <f t="shared" si="5"/>
        <v>0</v>
      </c>
      <c r="M75" s="91">
        <f t="shared" si="5"/>
        <v>0</v>
      </c>
      <c r="N75" s="91">
        <f t="shared" si="5"/>
        <v>0</v>
      </c>
      <c r="O75" s="91">
        <f t="shared" si="5"/>
        <v>0</v>
      </c>
      <c r="P75" s="91">
        <f t="shared" si="5"/>
        <v>0</v>
      </c>
      <c r="Q75" s="91">
        <f t="shared" si="5"/>
        <v>0</v>
      </c>
      <c r="R75" s="91">
        <f t="shared" si="5"/>
        <v>0</v>
      </c>
      <c r="S75" s="91">
        <f t="shared" si="5"/>
        <v>0</v>
      </c>
      <c r="T75" s="91">
        <f t="shared" si="5"/>
        <v>0</v>
      </c>
      <c r="U75" s="91">
        <f t="shared" si="5"/>
        <v>0</v>
      </c>
      <c r="V75" s="91">
        <f t="shared" si="5"/>
        <v>0</v>
      </c>
      <c r="W75" s="91">
        <f t="shared" si="5"/>
        <v>0</v>
      </c>
      <c r="X75" s="91">
        <f t="shared" si="5"/>
        <v>0</v>
      </c>
      <c r="Y75" s="91">
        <f t="shared" si="5"/>
        <v>0</v>
      </c>
      <c r="Z75" s="91">
        <f t="shared" si="5"/>
        <v>0</v>
      </c>
      <c r="AA75" s="91">
        <f t="shared" si="5"/>
        <v>0</v>
      </c>
    </row>
    <row r="77" spans="1:27">
      <c r="B77" s="30" t="s">
        <v>111</v>
      </c>
      <c r="C77" s="30"/>
      <c r="D77" s="30"/>
      <c r="E77" s="30"/>
      <c r="F77" s="30"/>
      <c r="G77" s="30"/>
      <c r="H77" s="30"/>
      <c r="I77" s="30"/>
      <c r="J77" s="30"/>
      <c r="K77" s="30"/>
      <c r="L77" s="30"/>
      <c r="M77" s="30"/>
      <c r="N77" s="30"/>
      <c r="O77" s="30"/>
      <c r="P77" s="30"/>
      <c r="Q77" s="30"/>
      <c r="R77" s="30"/>
      <c r="S77" s="30"/>
      <c r="T77" s="30"/>
      <c r="U77" s="30"/>
      <c r="V77" s="30"/>
      <c r="W77" s="30"/>
      <c r="X77" s="30"/>
      <c r="Y77" s="30"/>
      <c r="Z77" s="30"/>
      <c r="AA77" s="30"/>
    </row>
    <row r="79" spans="1:27" ht="15.6" thickBot="1">
      <c r="A79" s="3"/>
      <c r="B79" s="85"/>
      <c r="F79" s="3"/>
      <c r="G79" s="63" t="s">
        <v>166</v>
      </c>
      <c r="H79" s="63"/>
      <c r="I79" s="63" t="s">
        <v>167</v>
      </c>
      <c r="J79" s="63"/>
      <c r="K79" s="63"/>
      <c r="L79" s="63"/>
      <c r="M79" s="63"/>
      <c r="N79" s="63"/>
      <c r="O79" s="63" t="s">
        <v>118</v>
      </c>
      <c r="P79" s="63"/>
      <c r="R79" s="63" t="s">
        <v>168</v>
      </c>
      <c r="S79" s="63"/>
      <c r="U79" s="63" t="s">
        <v>199</v>
      </c>
      <c r="V79" s="63"/>
      <c r="W79" s="63"/>
      <c r="Y79" s="63" t="s">
        <v>169</v>
      </c>
      <c r="Z79" s="63"/>
      <c r="AA79" s="63"/>
    </row>
    <row r="80" spans="1:27">
      <c r="B80" s="4" t="s">
        <v>200</v>
      </c>
      <c r="C80" s="222"/>
      <c r="D80" s="223"/>
      <c r="F80" s="49" t="s">
        <v>172</v>
      </c>
      <c r="G80" s="95">
        <f>C80</f>
        <v>0</v>
      </c>
      <c r="H80" s="95"/>
      <c r="I80" s="95">
        <f>IFERROR(INDEX('Proposed Data'!$B$2:$B$100,MATCH(Proposed!$C80,'Proposed Data'!$A$2:$A$100,0)),0)</f>
        <v>0</v>
      </c>
      <c r="J80" s="95"/>
      <c r="K80" s="95"/>
      <c r="L80" s="95"/>
      <c r="M80" s="95"/>
      <c r="N80" s="95"/>
      <c r="O80" s="96">
        <f>IFERROR(INDEX('Proposed Data'!$C$2:$C$100,MATCH(Proposed!$C80,'Proposed Data'!$A$2:$A$100,0)),0)</f>
        <v>0</v>
      </c>
      <c r="P80" s="97"/>
      <c r="R80" s="91">
        <f>IFERROR(INDEX('Proposed Data'!$BM$2:$BM$100,MATCH(Proposed!$C80,'Proposed Data'!$A$2:$A$100,0)),0)/1000</f>
        <v>0</v>
      </c>
      <c r="S80" s="4" t="s">
        <v>173</v>
      </c>
      <c r="U80" s="53" t="s">
        <v>201</v>
      </c>
      <c r="V80" s="53" t="s">
        <v>202</v>
      </c>
      <c r="W80" s="53" t="s">
        <v>203</v>
      </c>
      <c r="Y80" s="4" t="s">
        <v>174</v>
      </c>
      <c r="Z80" s="91">
        <f>Calculations!BQ17</f>
        <v>0</v>
      </c>
      <c r="AA80" s="105" t="str">
        <f>'Project Info'!$I$5</f>
        <v>kBtu</v>
      </c>
    </row>
    <row r="81" spans="1:27">
      <c r="B81" s="4" t="s">
        <v>175</v>
      </c>
      <c r="C81" s="91">
        <f>IFERROR(IF(ISBLANK('Project Info'!$D$7),(INDEX('Proposed Data'!BP$2:BP$100,MATCH(Proposed!$C80,'Proposed Data'!$A$2:$A$100,0))),'Project Info'!$D$7),0)</f>
        <v>13652</v>
      </c>
      <c r="D81" s="4" t="str">
        <f>IF($I$11="SI","m²","ft²")</f>
        <v>ft²</v>
      </c>
      <c r="F81" s="49" t="s">
        <v>176</v>
      </c>
      <c r="G81" s="86"/>
      <c r="H81" s="86"/>
      <c r="I81" s="86"/>
      <c r="J81" s="86"/>
      <c r="K81" s="86"/>
      <c r="L81" s="86"/>
      <c r="M81" s="86"/>
      <c r="N81" s="86"/>
      <c r="O81" s="86"/>
      <c r="P81" s="86"/>
      <c r="R81" s="89"/>
      <c r="S81" s="4" t="s">
        <v>173</v>
      </c>
      <c r="U81" s="86"/>
      <c r="V81" s="86"/>
      <c r="W81" s="86"/>
      <c r="Z81" s="103">
        <f>IFERROR(Z80/C81,0)</f>
        <v>0</v>
      </c>
      <c r="AA81" s="105" t="str">
        <f>IF('Project Info'!$I$4=Menus!$A$2,"kWh/m²","kBtu/ft²")</f>
        <v>kBtu/ft²</v>
      </c>
    </row>
    <row r="82" spans="1:27">
      <c r="F82" s="49" t="s">
        <v>177</v>
      </c>
      <c r="G82" s="95">
        <f>IF(ISBLANK(G81),G80,G81)</f>
        <v>0</v>
      </c>
      <c r="H82" s="95"/>
      <c r="I82" s="95">
        <f>IF(ISBLANK(I81),I80,I81)</f>
        <v>0</v>
      </c>
      <c r="J82" s="95"/>
      <c r="K82" s="95"/>
      <c r="L82" s="95"/>
      <c r="M82" s="95"/>
      <c r="N82" s="95"/>
      <c r="O82" s="96">
        <f>IF(ISBLANK(O81),O80,O81)</f>
        <v>0</v>
      </c>
      <c r="P82" s="97"/>
      <c r="R82" s="91">
        <f>IF(ISBLANK(R81),R80,R81)</f>
        <v>0</v>
      </c>
      <c r="S82" s="4" t="s">
        <v>173</v>
      </c>
      <c r="U82" s="42" t="s">
        <v>88</v>
      </c>
      <c r="V82" s="42" t="s">
        <v>88</v>
      </c>
      <c r="W82" s="42" t="s">
        <v>88</v>
      </c>
    </row>
    <row r="83" spans="1:27">
      <c r="B83" s="3"/>
      <c r="C83" s="3"/>
      <c r="D83" s="3"/>
      <c r="E83" s="3"/>
      <c r="F83" s="3"/>
      <c r="G83" s="3"/>
      <c r="H83" s="3"/>
      <c r="I83" s="3"/>
      <c r="J83" s="3"/>
      <c r="K83" s="3"/>
      <c r="L83" s="3"/>
      <c r="M83" s="3"/>
      <c r="N83" s="3"/>
      <c r="O83" s="3"/>
      <c r="P83" s="3"/>
      <c r="T83" s="6"/>
    </row>
    <row r="84" spans="1:27" ht="41.4">
      <c r="B84" s="4" t="s">
        <v>178</v>
      </c>
      <c r="C84" s="227" t="s">
        <v>179</v>
      </c>
      <c r="D84" s="228"/>
      <c r="E84" s="228"/>
      <c r="F84" s="228"/>
      <c r="G84" s="227" t="s">
        <v>180</v>
      </c>
      <c r="H84" s="228"/>
      <c r="I84" s="32" t="s">
        <v>181</v>
      </c>
      <c r="J84" s="32" t="s">
        <v>182</v>
      </c>
      <c r="K84" s="225" t="s">
        <v>183</v>
      </c>
      <c r="L84" s="226"/>
      <c r="M84" s="229"/>
      <c r="N84" s="32" t="s">
        <v>184</v>
      </c>
      <c r="O84" s="32" t="s">
        <v>185</v>
      </c>
      <c r="P84" s="32" t="s">
        <v>186</v>
      </c>
      <c r="Q84" s="32" t="s">
        <v>187</v>
      </c>
      <c r="R84" s="54" t="s">
        <v>188</v>
      </c>
      <c r="S84" s="54" t="s">
        <v>189</v>
      </c>
      <c r="T84" s="225" t="s">
        <v>190</v>
      </c>
      <c r="U84" s="226"/>
      <c r="V84" s="226"/>
      <c r="W84" s="226"/>
      <c r="X84" s="54" t="s">
        <v>191</v>
      </c>
      <c r="Y84" s="33" t="s">
        <v>192</v>
      </c>
      <c r="Z84" s="34">
        <f>'Project Info'!$I$10</f>
        <v>0</v>
      </c>
      <c r="AA84" s="34">
        <f>'Project Info'!$J$10</f>
        <v>0</v>
      </c>
    </row>
    <row r="85" spans="1:27">
      <c r="B85" s="4" t="s">
        <v>193</v>
      </c>
      <c r="C85" s="18" t="s">
        <v>59</v>
      </c>
      <c r="D85" s="18" t="s">
        <v>60</v>
      </c>
      <c r="E85" s="18" t="s">
        <v>194</v>
      </c>
      <c r="F85" s="18" t="s">
        <v>103</v>
      </c>
      <c r="G85" s="18" t="s">
        <v>59</v>
      </c>
      <c r="H85" s="18" t="s">
        <v>102</v>
      </c>
      <c r="I85" s="18" t="s">
        <v>59</v>
      </c>
      <c r="J85" s="18" t="s">
        <v>59</v>
      </c>
      <c r="K85" s="18" t="s">
        <v>59</v>
      </c>
      <c r="L85" s="18" t="s">
        <v>60</v>
      </c>
      <c r="M85" s="18" t="s">
        <v>194</v>
      </c>
      <c r="N85" s="18" t="s">
        <v>59</v>
      </c>
      <c r="O85" s="18" t="s">
        <v>59</v>
      </c>
      <c r="P85" s="18" t="s">
        <v>59</v>
      </c>
      <c r="Q85" s="18" t="s">
        <v>59</v>
      </c>
      <c r="R85" s="18" t="s">
        <v>59</v>
      </c>
      <c r="S85" s="18" t="s">
        <v>59</v>
      </c>
      <c r="T85" s="18" t="s">
        <v>59</v>
      </c>
      <c r="U85" s="18" t="s">
        <v>60</v>
      </c>
      <c r="V85" s="18" t="s">
        <v>194</v>
      </c>
      <c r="W85" s="18" t="s">
        <v>103</v>
      </c>
      <c r="X85" s="18" t="s">
        <v>59</v>
      </c>
      <c r="Y85" s="18" t="s">
        <v>59</v>
      </c>
      <c r="Z85" s="55" t="s">
        <v>59</v>
      </c>
      <c r="AA85" s="55" t="s">
        <v>59</v>
      </c>
    </row>
    <row r="86" spans="1:27">
      <c r="B86" s="4" t="s">
        <v>195</v>
      </c>
      <c r="C86" s="128" t="str">
        <f>'Project Info'!$I$5</f>
        <v>kBtu</v>
      </c>
      <c r="D86" s="128" t="str">
        <f>'Project Info'!$I$5</f>
        <v>kBtu</v>
      </c>
      <c r="E86" s="128" t="str">
        <f>'Project Info'!$I$5</f>
        <v>kBtu</v>
      </c>
      <c r="F86" s="128" t="str">
        <f>'Project Info'!$I$5</f>
        <v>kBtu</v>
      </c>
      <c r="G86" s="128" t="str">
        <f>'Project Info'!$I$5</f>
        <v>kBtu</v>
      </c>
      <c r="H86" s="128" t="str">
        <f>'Project Info'!$I$5</f>
        <v>kBtu</v>
      </c>
      <c r="I86" s="128" t="str">
        <f>'Project Info'!$I$5</f>
        <v>kBtu</v>
      </c>
      <c r="J86" s="128" t="str">
        <f>'Project Info'!$I$5</f>
        <v>kBtu</v>
      </c>
      <c r="K86" s="128" t="str">
        <f>'Project Info'!$I$5</f>
        <v>kBtu</v>
      </c>
      <c r="L86" s="128" t="str">
        <f>'Project Info'!$I$5</f>
        <v>kBtu</v>
      </c>
      <c r="M86" s="128" t="str">
        <f>'Project Info'!$I$5</f>
        <v>kBtu</v>
      </c>
      <c r="N86" s="128" t="str">
        <f>'Project Info'!$I$5</f>
        <v>kBtu</v>
      </c>
      <c r="O86" s="128" t="str">
        <f>'Project Info'!$I$5</f>
        <v>kBtu</v>
      </c>
      <c r="P86" s="128" t="str">
        <f>'Project Info'!$I$5</f>
        <v>kBtu</v>
      </c>
      <c r="Q86" s="128" t="str">
        <f>'Project Info'!$I$5</f>
        <v>kBtu</v>
      </c>
      <c r="R86" s="128" t="str">
        <f>'Project Info'!$I$5</f>
        <v>kBtu</v>
      </c>
      <c r="S86" s="128" t="str">
        <f>'Project Info'!$I$5</f>
        <v>kBtu</v>
      </c>
      <c r="T86" s="128" t="str">
        <f>'Project Info'!$I$5</f>
        <v>kBtu</v>
      </c>
      <c r="U86" s="128" t="str">
        <f>'Project Info'!$I$5</f>
        <v>kBtu</v>
      </c>
      <c r="V86" s="128" t="str">
        <f>'Project Info'!$I$5</f>
        <v>kBtu</v>
      </c>
      <c r="W86" s="128" t="str">
        <f>'Project Info'!$I$5</f>
        <v>kBtu</v>
      </c>
      <c r="X86" s="128" t="str">
        <f>'Project Info'!$I$5</f>
        <v>kBtu</v>
      </c>
      <c r="Y86" s="128" t="str">
        <f>'Project Info'!$I$5</f>
        <v>kBtu</v>
      </c>
      <c r="Z86" s="128" t="str">
        <f>'Project Info'!$I$5</f>
        <v>kBtu</v>
      </c>
      <c r="AA86" s="128" t="str">
        <f>'Project Info'!$I$5</f>
        <v>kBtu</v>
      </c>
    </row>
    <row r="87" spans="1:27">
      <c r="B87" s="4" t="s">
        <v>172</v>
      </c>
      <c r="C87" s="91">
        <f>IFERROR(INDEX('Proposed Data'!O$2:O$100,MATCH(Proposed!$C80,'Proposed Data'!$A$2:$A$100,0)),0)</f>
        <v>0</v>
      </c>
      <c r="D87" s="91">
        <f>IFERROR(INDEX('Proposed Data'!P$2:P$100,MATCH(Proposed!$C80,'Proposed Data'!$A$2:$A$100,0)),0)</f>
        <v>0</v>
      </c>
      <c r="E87" s="91">
        <f>IFERROR(INDEX('Proposed Data'!Q$2:Q$100,MATCH(Proposed!$C80,'Proposed Data'!$A$2:$A$100,0)),0)</f>
        <v>0</v>
      </c>
      <c r="F87" s="91">
        <f>IFERROR(INDEX('Proposed Data'!R$2:R$100,MATCH(Proposed!$C80,'Proposed Data'!$A$2:$A$100,0)),0)</f>
        <v>0</v>
      </c>
      <c r="G87" s="91">
        <f>IFERROR(INDEX('Proposed Data'!S$2:S$100,MATCH(Proposed!$C80,'Proposed Data'!$A$2:$A$100,0)),0)</f>
        <v>0</v>
      </c>
      <c r="H87" s="91">
        <f>IFERROR(INDEX('Proposed Data'!T$2:T$100,MATCH(Proposed!$C80,'Proposed Data'!$A$2:$A$100,0)),0)</f>
        <v>0</v>
      </c>
      <c r="I87" s="91">
        <f>IFERROR(INDEX('Proposed Data'!U$2:U$100,MATCH(Proposed!$C80,'Proposed Data'!$A$2:$A$100,0)),0)</f>
        <v>0</v>
      </c>
      <c r="J87" s="91">
        <f>IFERROR(INDEX('Proposed Data'!V$2:V$100,MATCH(Proposed!$C80,'Proposed Data'!$A$2:$A$100,0)),0)</f>
        <v>0</v>
      </c>
      <c r="K87" s="91">
        <f>IFERROR(INDEX('Proposed Data'!W$2:W$100,MATCH(Proposed!$C80,'Proposed Data'!$A$2:$A$100,0)),0)</f>
        <v>0</v>
      </c>
      <c r="L87" s="91">
        <f>IFERROR(INDEX('Proposed Data'!X$2:X$100,MATCH(Proposed!$C80,'Proposed Data'!$A$2:$A$100,0)),0)</f>
        <v>0</v>
      </c>
      <c r="M87" s="91">
        <f>IFERROR(INDEX('Proposed Data'!Y$2:Y$100,MATCH(Proposed!$C80,'Proposed Data'!$A$2:$A$100,0)),0)</f>
        <v>0</v>
      </c>
      <c r="N87" s="91">
        <f>IFERROR(INDEX('Proposed Data'!Z$2:Z$100,MATCH(Proposed!$C80,'Proposed Data'!$A$2:$A$100,0)),0)</f>
        <v>0</v>
      </c>
      <c r="O87" s="91">
        <f>IFERROR(INDEX('Proposed Data'!AA$2:AA$100,MATCH(Proposed!$C80,'Proposed Data'!$A$2:$A$100,0)),0)</f>
        <v>0</v>
      </c>
      <c r="P87" s="91">
        <f>IFERROR(INDEX('Proposed Data'!AB$2:AB$100,MATCH(Proposed!$C80,'Proposed Data'!$A$2:$A$100,0)),0)</f>
        <v>0</v>
      </c>
      <c r="Q87" s="91">
        <f>IFERROR(INDEX('Proposed Data'!AC$2:AC$100,MATCH(Proposed!$C80,'Proposed Data'!$A$2:$A$100,0)),0)</f>
        <v>0</v>
      </c>
      <c r="R87" s="91">
        <f>IFERROR(INDEX('Proposed Data'!AD$2:AD$100,MATCH(Proposed!$C80,'Proposed Data'!$A$2:$A$100,0)),0)</f>
        <v>0</v>
      </c>
      <c r="S87" s="91">
        <f>IFERROR(INDEX('Proposed Data'!AE$2:AE$100,MATCH(Proposed!$C80,'Proposed Data'!$A$2:$A$100,0)),0)</f>
        <v>0</v>
      </c>
      <c r="T87" s="91">
        <f>IFERROR(INDEX('Proposed Data'!AF$2:AF$100,MATCH(Proposed!$C80,'Proposed Data'!$A$2:$A$100,0)),0)</f>
        <v>0</v>
      </c>
      <c r="U87" s="91">
        <f>IFERROR(INDEX('Proposed Data'!AG$2:AG$100,MATCH(Proposed!$C80,'Proposed Data'!$A$2:$A$100,0)),0)</f>
        <v>0</v>
      </c>
      <c r="V87" s="91">
        <f>IFERROR(INDEX('Proposed Data'!AH$2:AH$100,MATCH(Proposed!$C80,'Proposed Data'!$A$2:$A$100,0)),0)</f>
        <v>0</v>
      </c>
      <c r="W87" s="91">
        <f>IFERROR(INDEX('Proposed Data'!AI$2:AI$100,MATCH(Proposed!$C80,'Proposed Data'!$A$2:$A$100,0)),0)</f>
        <v>0</v>
      </c>
      <c r="X87" s="91">
        <f>IFERROR(INDEX('Proposed Data'!AJ$2:AJ$100,MATCH(Proposed!$C80,'Proposed Data'!$A$2:$A$100,0)),0)</f>
        <v>0</v>
      </c>
      <c r="Y87" s="91">
        <f>IFERROR(INDEX('Proposed Data'!AK$2:AK$100,MATCH(Proposed!$C80,'Proposed Data'!$A$2:$A$100,0)),0)</f>
        <v>0</v>
      </c>
      <c r="Z87" s="91">
        <f>IFERROR(INDEX('Proposed Data'!AL$2:AL$100,MATCH(Proposed!$C80,'Proposed Data'!$A$2:$A$100,0)),0)</f>
        <v>0</v>
      </c>
      <c r="AA87" s="91">
        <f>IFERROR(INDEX('Proposed Data'!AM$2:AM$100,MATCH(Proposed!$C80,'Proposed Data'!$A$2:$A$100,0)),0)</f>
        <v>0</v>
      </c>
    </row>
    <row r="88" spans="1:27">
      <c r="B88" s="4" t="s">
        <v>176</v>
      </c>
      <c r="C88" s="86"/>
      <c r="D88" s="86"/>
      <c r="E88" s="86"/>
      <c r="F88" s="86"/>
      <c r="G88" s="86"/>
      <c r="H88" s="86"/>
      <c r="I88" s="86"/>
      <c r="J88" s="86"/>
      <c r="K88" s="86"/>
      <c r="L88" s="86"/>
      <c r="M88" s="86"/>
      <c r="N88" s="86"/>
      <c r="O88" s="86"/>
      <c r="P88" s="86"/>
      <c r="Q88" s="86"/>
      <c r="R88" s="86"/>
      <c r="S88" s="86"/>
      <c r="T88" s="86"/>
      <c r="U88" s="86"/>
      <c r="V88" s="86"/>
      <c r="W88" s="86"/>
      <c r="X88" s="86"/>
      <c r="Y88" s="86"/>
      <c r="Z88" s="86"/>
      <c r="AA88" s="86"/>
    </row>
    <row r="89" spans="1:27">
      <c r="B89" s="4" t="s">
        <v>177</v>
      </c>
      <c r="C89" s="91">
        <f>IF(ISBLANK(C88),C87,C88)</f>
        <v>0</v>
      </c>
      <c r="D89" s="91">
        <f t="shared" ref="D89:AA89" si="6">IF(ISBLANK(D88),D87,D88)</f>
        <v>0</v>
      </c>
      <c r="E89" s="91">
        <f t="shared" si="6"/>
        <v>0</v>
      </c>
      <c r="F89" s="91">
        <f t="shared" si="6"/>
        <v>0</v>
      </c>
      <c r="G89" s="91">
        <f t="shared" si="6"/>
        <v>0</v>
      </c>
      <c r="H89" s="91">
        <f t="shared" si="6"/>
        <v>0</v>
      </c>
      <c r="I89" s="91">
        <f t="shared" si="6"/>
        <v>0</v>
      </c>
      <c r="J89" s="91">
        <f t="shared" si="6"/>
        <v>0</v>
      </c>
      <c r="K89" s="91">
        <f t="shared" si="6"/>
        <v>0</v>
      </c>
      <c r="L89" s="91">
        <f t="shared" si="6"/>
        <v>0</v>
      </c>
      <c r="M89" s="91">
        <f t="shared" si="6"/>
        <v>0</v>
      </c>
      <c r="N89" s="91">
        <f t="shared" si="6"/>
        <v>0</v>
      </c>
      <c r="O89" s="91">
        <f t="shared" si="6"/>
        <v>0</v>
      </c>
      <c r="P89" s="91">
        <f t="shared" si="6"/>
        <v>0</v>
      </c>
      <c r="Q89" s="91">
        <f t="shared" si="6"/>
        <v>0</v>
      </c>
      <c r="R89" s="91">
        <f t="shared" si="6"/>
        <v>0</v>
      </c>
      <c r="S89" s="91">
        <f t="shared" si="6"/>
        <v>0</v>
      </c>
      <c r="T89" s="91">
        <f t="shared" si="6"/>
        <v>0</v>
      </c>
      <c r="U89" s="91">
        <f t="shared" si="6"/>
        <v>0</v>
      </c>
      <c r="V89" s="91">
        <f t="shared" si="6"/>
        <v>0</v>
      </c>
      <c r="W89" s="91">
        <f t="shared" si="6"/>
        <v>0</v>
      </c>
      <c r="X89" s="91">
        <f t="shared" si="6"/>
        <v>0</v>
      </c>
      <c r="Y89" s="91">
        <f t="shared" si="6"/>
        <v>0</v>
      </c>
      <c r="Z89" s="91">
        <f t="shared" si="6"/>
        <v>0</v>
      </c>
      <c r="AA89" s="91">
        <f t="shared" si="6"/>
        <v>0</v>
      </c>
    </row>
    <row r="91" spans="1:27">
      <c r="B91" s="30" t="s">
        <v>112</v>
      </c>
      <c r="C91" s="30"/>
      <c r="D91" s="30"/>
      <c r="E91" s="30"/>
      <c r="F91" s="30"/>
      <c r="G91" s="30"/>
      <c r="H91" s="30"/>
      <c r="I91" s="30"/>
      <c r="J91" s="30"/>
      <c r="K91" s="30"/>
      <c r="L91" s="30"/>
      <c r="M91" s="30"/>
      <c r="N91" s="30"/>
      <c r="O91" s="30"/>
      <c r="P91" s="30"/>
      <c r="Q91" s="30"/>
      <c r="R91" s="30"/>
      <c r="S91" s="30"/>
      <c r="T91" s="30"/>
      <c r="U91" s="30"/>
      <c r="V91" s="30"/>
      <c r="W91" s="30"/>
      <c r="X91" s="30"/>
      <c r="Y91" s="30"/>
      <c r="Z91" s="30"/>
      <c r="AA91" s="30"/>
    </row>
    <row r="93" spans="1:27" ht="15.6" thickBot="1">
      <c r="A93" s="3"/>
      <c r="B93" s="85"/>
      <c r="F93" s="3"/>
      <c r="G93" s="63" t="s">
        <v>166</v>
      </c>
      <c r="H93" s="63"/>
      <c r="I93" s="63" t="s">
        <v>167</v>
      </c>
      <c r="J93" s="63"/>
      <c r="K93" s="63"/>
      <c r="L93" s="63"/>
      <c r="M93" s="63"/>
      <c r="N93" s="63"/>
      <c r="O93" s="63" t="s">
        <v>118</v>
      </c>
      <c r="P93" s="63"/>
      <c r="R93" s="63" t="s">
        <v>168</v>
      </c>
      <c r="S93" s="63"/>
      <c r="U93" s="63" t="s">
        <v>199</v>
      </c>
      <c r="V93" s="63"/>
      <c r="W93" s="63"/>
      <c r="Y93" s="63" t="s">
        <v>169</v>
      </c>
      <c r="Z93" s="63"/>
      <c r="AA93" s="63"/>
    </row>
    <row r="94" spans="1:27">
      <c r="B94" s="4" t="s">
        <v>200</v>
      </c>
      <c r="C94" s="222"/>
      <c r="D94" s="223"/>
      <c r="F94" s="49" t="s">
        <v>172</v>
      </c>
      <c r="G94" s="95">
        <f>C94</f>
        <v>0</v>
      </c>
      <c r="H94" s="95"/>
      <c r="I94" s="95">
        <f>IFERROR(INDEX('Proposed Data'!$B$2:$B$100,MATCH(Proposed!$C94,'Proposed Data'!$A$2:$A$100,0)),0)</f>
        <v>0</v>
      </c>
      <c r="J94" s="95"/>
      <c r="K94" s="95"/>
      <c r="L94" s="95"/>
      <c r="M94" s="95"/>
      <c r="N94" s="95"/>
      <c r="O94" s="95">
        <f>IFERROR(INDEX('Proposed Data'!$C$2:$C$100,MATCH(Proposed!$C94,'Proposed Data'!$A$2:$A$100,0)),0)</f>
        <v>0</v>
      </c>
      <c r="P94" s="95"/>
      <c r="R94" s="91">
        <f>IFERROR(INDEX('Proposed Data'!$BM$2:$BM$100,MATCH(Proposed!$C94,'Proposed Data'!$A$2:$A$100,0)),0)/1000</f>
        <v>0</v>
      </c>
      <c r="S94" s="4" t="s">
        <v>173</v>
      </c>
      <c r="U94" s="53" t="s">
        <v>201</v>
      </c>
      <c r="V94" s="53" t="s">
        <v>202</v>
      </c>
      <c r="W94" s="53" t="s">
        <v>203</v>
      </c>
      <c r="Y94" s="4" t="s">
        <v>174</v>
      </c>
      <c r="Z94" s="91">
        <f>Calculations!BQ18</f>
        <v>0</v>
      </c>
      <c r="AA94" s="105" t="str">
        <f>'Project Info'!$I$5</f>
        <v>kBtu</v>
      </c>
    </row>
    <row r="95" spans="1:27">
      <c r="B95" s="4" t="s">
        <v>175</v>
      </c>
      <c r="C95" s="91">
        <f>IFERROR(IF(ISBLANK('Project Info'!$D$7),(INDEX('Proposed Data'!BP$2:BP$100,MATCH(Proposed!$C94,'Proposed Data'!$A$2:$A$100,0))),'Project Info'!$D$7),0)</f>
        <v>13652</v>
      </c>
      <c r="D95" s="4" t="str">
        <f>IF($I$11="SI","m²","ft²")</f>
        <v>ft²</v>
      </c>
      <c r="F95" s="49" t="s">
        <v>176</v>
      </c>
      <c r="G95" s="86"/>
      <c r="H95" s="86"/>
      <c r="I95" s="86"/>
      <c r="J95" s="86"/>
      <c r="K95" s="86"/>
      <c r="L95" s="86"/>
      <c r="M95" s="86"/>
      <c r="N95" s="86"/>
      <c r="O95" s="86"/>
      <c r="P95" s="86"/>
      <c r="R95" s="89"/>
      <c r="S95" s="4" t="s">
        <v>173</v>
      </c>
      <c r="U95" s="86"/>
      <c r="V95" s="86"/>
      <c r="W95" s="86"/>
      <c r="Z95" s="103">
        <f>IFERROR(Z94/C95,0)</f>
        <v>0</v>
      </c>
      <c r="AA95" s="105" t="str">
        <f>IF('Project Info'!$I$4=Menus!$A$2,"kWh/m²","kBtu/ft²")</f>
        <v>kBtu/ft²</v>
      </c>
    </row>
    <row r="96" spans="1:27">
      <c r="F96" s="49" t="s">
        <v>177</v>
      </c>
      <c r="G96" s="95">
        <f>IF(ISBLANK(G95),G94,G95)</f>
        <v>0</v>
      </c>
      <c r="H96" s="95"/>
      <c r="I96" s="95">
        <f>IF(ISBLANK(I95),I94,I95)</f>
        <v>0</v>
      </c>
      <c r="J96" s="95"/>
      <c r="K96" s="95"/>
      <c r="L96" s="95"/>
      <c r="M96" s="95"/>
      <c r="N96" s="95"/>
      <c r="O96" s="95">
        <f>IF(ISBLANK(O95),O94,O95)</f>
        <v>0</v>
      </c>
      <c r="P96" s="95"/>
      <c r="R96" s="91">
        <f>IF(ISBLANK(R95),R94,R95)</f>
        <v>0</v>
      </c>
      <c r="S96" s="4" t="s">
        <v>173</v>
      </c>
      <c r="U96" s="42" t="s">
        <v>88</v>
      </c>
      <c r="V96" s="42" t="s">
        <v>88</v>
      </c>
      <c r="W96" s="42" t="s">
        <v>88</v>
      </c>
    </row>
    <row r="98" spans="1:27" ht="41.4">
      <c r="B98" s="4" t="s">
        <v>178</v>
      </c>
      <c r="C98" s="227" t="s">
        <v>179</v>
      </c>
      <c r="D98" s="228"/>
      <c r="E98" s="228"/>
      <c r="F98" s="228"/>
      <c r="G98" s="227" t="s">
        <v>180</v>
      </c>
      <c r="H98" s="228"/>
      <c r="I98" s="32" t="s">
        <v>181</v>
      </c>
      <c r="J98" s="32" t="s">
        <v>182</v>
      </c>
      <c r="K98" s="225" t="s">
        <v>183</v>
      </c>
      <c r="L98" s="226"/>
      <c r="M98" s="229"/>
      <c r="N98" s="32" t="s">
        <v>184</v>
      </c>
      <c r="O98" s="32" t="s">
        <v>185</v>
      </c>
      <c r="P98" s="32" t="s">
        <v>186</v>
      </c>
      <c r="Q98" s="32" t="s">
        <v>187</v>
      </c>
      <c r="R98" s="54" t="s">
        <v>188</v>
      </c>
      <c r="S98" s="54" t="s">
        <v>189</v>
      </c>
      <c r="T98" s="225" t="s">
        <v>190</v>
      </c>
      <c r="U98" s="226"/>
      <c r="V98" s="226"/>
      <c r="W98" s="226"/>
      <c r="X98" s="54" t="s">
        <v>191</v>
      </c>
      <c r="Y98" s="33" t="s">
        <v>192</v>
      </c>
      <c r="Z98" s="34">
        <f>'Project Info'!$I$10</f>
        <v>0</v>
      </c>
      <c r="AA98" s="34">
        <f>'Project Info'!$J$10</f>
        <v>0</v>
      </c>
    </row>
    <row r="99" spans="1:27">
      <c r="B99" s="4" t="s">
        <v>193</v>
      </c>
      <c r="C99" s="18" t="s">
        <v>59</v>
      </c>
      <c r="D99" s="18" t="s">
        <v>60</v>
      </c>
      <c r="E99" s="18" t="s">
        <v>194</v>
      </c>
      <c r="F99" s="18" t="s">
        <v>103</v>
      </c>
      <c r="G99" s="18" t="s">
        <v>59</v>
      </c>
      <c r="H99" s="18" t="s">
        <v>102</v>
      </c>
      <c r="I99" s="18" t="s">
        <v>59</v>
      </c>
      <c r="J99" s="18" t="s">
        <v>59</v>
      </c>
      <c r="K99" s="18" t="s">
        <v>59</v>
      </c>
      <c r="L99" s="18" t="s">
        <v>60</v>
      </c>
      <c r="M99" s="18" t="s">
        <v>194</v>
      </c>
      <c r="N99" s="18" t="s">
        <v>59</v>
      </c>
      <c r="O99" s="18" t="s">
        <v>59</v>
      </c>
      <c r="P99" s="18" t="s">
        <v>59</v>
      </c>
      <c r="Q99" s="18" t="s">
        <v>59</v>
      </c>
      <c r="R99" s="18" t="s">
        <v>59</v>
      </c>
      <c r="S99" s="18" t="s">
        <v>59</v>
      </c>
      <c r="T99" s="18" t="s">
        <v>59</v>
      </c>
      <c r="U99" s="18" t="s">
        <v>60</v>
      </c>
      <c r="V99" s="18" t="s">
        <v>194</v>
      </c>
      <c r="W99" s="18" t="s">
        <v>103</v>
      </c>
      <c r="X99" s="18" t="s">
        <v>59</v>
      </c>
      <c r="Y99" s="18" t="s">
        <v>59</v>
      </c>
      <c r="Z99" s="55" t="s">
        <v>59</v>
      </c>
      <c r="AA99" s="55" t="s">
        <v>59</v>
      </c>
    </row>
    <row r="100" spans="1:27">
      <c r="B100" s="4" t="s">
        <v>195</v>
      </c>
      <c r="C100" s="128" t="str">
        <f>'Project Info'!$I$5</f>
        <v>kBtu</v>
      </c>
      <c r="D100" s="128" t="str">
        <f>'Project Info'!$I$5</f>
        <v>kBtu</v>
      </c>
      <c r="E100" s="128" t="str">
        <f>'Project Info'!$I$5</f>
        <v>kBtu</v>
      </c>
      <c r="F100" s="128" t="str">
        <f>'Project Info'!$I$5</f>
        <v>kBtu</v>
      </c>
      <c r="G100" s="128" t="str">
        <f>'Project Info'!$I$5</f>
        <v>kBtu</v>
      </c>
      <c r="H100" s="128" t="str">
        <f>'Project Info'!$I$5</f>
        <v>kBtu</v>
      </c>
      <c r="I100" s="128" t="str">
        <f>'Project Info'!$I$5</f>
        <v>kBtu</v>
      </c>
      <c r="J100" s="128" t="str">
        <f>'Project Info'!$I$5</f>
        <v>kBtu</v>
      </c>
      <c r="K100" s="128" t="str">
        <f>'Project Info'!$I$5</f>
        <v>kBtu</v>
      </c>
      <c r="L100" s="128" t="str">
        <f>'Project Info'!$I$5</f>
        <v>kBtu</v>
      </c>
      <c r="M100" s="128" t="str">
        <f>'Project Info'!$I$5</f>
        <v>kBtu</v>
      </c>
      <c r="N100" s="128" t="str">
        <f>'Project Info'!$I$5</f>
        <v>kBtu</v>
      </c>
      <c r="O100" s="128" t="str">
        <f>'Project Info'!$I$5</f>
        <v>kBtu</v>
      </c>
      <c r="P100" s="128" t="str">
        <f>'Project Info'!$I$5</f>
        <v>kBtu</v>
      </c>
      <c r="Q100" s="128" t="str">
        <f>'Project Info'!$I$5</f>
        <v>kBtu</v>
      </c>
      <c r="R100" s="128" t="str">
        <f>'Project Info'!$I$5</f>
        <v>kBtu</v>
      </c>
      <c r="S100" s="128" t="str">
        <f>'Project Info'!$I$5</f>
        <v>kBtu</v>
      </c>
      <c r="T100" s="128" t="str">
        <f>'Project Info'!$I$5</f>
        <v>kBtu</v>
      </c>
      <c r="U100" s="128" t="str">
        <f>'Project Info'!$I$5</f>
        <v>kBtu</v>
      </c>
      <c r="V100" s="128" t="str">
        <f>'Project Info'!$I$5</f>
        <v>kBtu</v>
      </c>
      <c r="W100" s="128" t="str">
        <f>'Project Info'!$I$5</f>
        <v>kBtu</v>
      </c>
      <c r="X100" s="128" t="str">
        <f>'Project Info'!$I$5</f>
        <v>kBtu</v>
      </c>
      <c r="Y100" s="128" t="str">
        <f>'Project Info'!$I$5</f>
        <v>kBtu</v>
      </c>
      <c r="Z100" s="128" t="str">
        <f>'Project Info'!$I$5</f>
        <v>kBtu</v>
      </c>
      <c r="AA100" s="128" t="str">
        <f>'Project Info'!$I$5</f>
        <v>kBtu</v>
      </c>
    </row>
    <row r="101" spans="1:27">
      <c r="B101" s="4" t="s">
        <v>172</v>
      </c>
      <c r="C101" s="91">
        <f>IFERROR(INDEX('Proposed Data'!O$2:O$100,MATCH(Proposed!$C94,'Proposed Data'!$A$2:$A$100,0)),0)</f>
        <v>0</v>
      </c>
      <c r="D101" s="91">
        <f>IFERROR(INDEX('Proposed Data'!P$2:P$100,MATCH(Proposed!$C94,'Proposed Data'!$A$2:$A$100,0)),0)</f>
        <v>0</v>
      </c>
      <c r="E101" s="91">
        <f>IFERROR(INDEX('Proposed Data'!Q$2:Q$100,MATCH(Proposed!$C94,'Proposed Data'!$A$2:$A$100,0)),0)</f>
        <v>0</v>
      </c>
      <c r="F101" s="91">
        <f>IFERROR(INDEX('Proposed Data'!R$2:R$100,MATCH(Proposed!$C94,'Proposed Data'!$A$2:$A$100,0)),0)</f>
        <v>0</v>
      </c>
      <c r="G101" s="91">
        <f>IFERROR(INDEX('Proposed Data'!S$2:S$100,MATCH(Proposed!$C94,'Proposed Data'!$A$2:$A$100,0)),0)</f>
        <v>0</v>
      </c>
      <c r="H101" s="91">
        <f>IFERROR(INDEX('Proposed Data'!T$2:T$100,MATCH(Proposed!$C94,'Proposed Data'!$A$2:$A$100,0)),0)</f>
        <v>0</v>
      </c>
      <c r="I101" s="91">
        <f>IFERROR(INDEX('Proposed Data'!U$2:U$100,MATCH(Proposed!$C94,'Proposed Data'!$A$2:$A$100,0)),0)</f>
        <v>0</v>
      </c>
      <c r="J101" s="91">
        <f>IFERROR(INDEX('Proposed Data'!V$2:V$100,MATCH(Proposed!$C94,'Proposed Data'!$A$2:$A$100,0)),0)</f>
        <v>0</v>
      </c>
      <c r="K101" s="91">
        <f>IFERROR(INDEX('Proposed Data'!W$2:W$100,MATCH(Proposed!$C94,'Proposed Data'!$A$2:$A$100,0)),0)</f>
        <v>0</v>
      </c>
      <c r="L101" s="91">
        <f>IFERROR(INDEX('Proposed Data'!X$2:X$100,MATCH(Proposed!$C94,'Proposed Data'!$A$2:$A$100,0)),0)</f>
        <v>0</v>
      </c>
      <c r="M101" s="91">
        <f>IFERROR(INDEX('Proposed Data'!Y$2:Y$100,MATCH(Proposed!$C94,'Proposed Data'!$A$2:$A$100,0)),0)</f>
        <v>0</v>
      </c>
      <c r="N101" s="91">
        <f>IFERROR(INDEX('Proposed Data'!Z$2:Z$100,MATCH(Proposed!$C94,'Proposed Data'!$A$2:$A$100,0)),0)</f>
        <v>0</v>
      </c>
      <c r="O101" s="91">
        <f>IFERROR(INDEX('Proposed Data'!AA$2:AA$100,MATCH(Proposed!$C94,'Proposed Data'!$A$2:$A$100,0)),0)</f>
        <v>0</v>
      </c>
      <c r="P101" s="91">
        <f>IFERROR(INDEX('Proposed Data'!AB$2:AB$100,MATCH(Proposed!$C94,'Proposed Data'!$A$2:$A$100,0)),0)</f>
        <v>0</v>
      </c>
      <c r="Q101" s="91">
        <f>IFERROR(INDEX('Proposed Data'!AC$2:AC$100,MATCH(Proposed!$C94,'Proposed Data'!$A$2:$A$100,0)),0)</f>
        <v>0</v>
      </c>
      <c r="R101" s="91">
        <f>IFERROR(INDEX('Proposed Data'!AD$2:AD$100,MATCH(Proposed!$C94,'Proposed Data'!$A$2:$A$100,0)),0)</f>
        <v>0</v>
      </c>
      <c r="S101" s="91">
        <f>IFERROR(INDEX('Proposed Data'!AE$2:AE$100,MATCH(Proposed!$C94,'Proposed Data'!$A$2:$A$100,0)),0)</f>
        <v>0</v>
      </c>
      <c r="T101" s="91">
        <f>IFERROR(INDEX('Proposed Data'!AF$2:AF$100,MATCH(Proposed!$C94,'Proposed Data'!$A$2:$A$100,0)),0)</f>
        <v>0</v>
      </c>
      <c r="U101" s="91">
        <f>IFERROR(INDEX('Proposed Data'!AG$2:AG$100,MATCH(Proposed!$C94,'Proposed Data'!$A$2:$A$100,0)),0)</f>
        <v>0</v>
      </c>
      <c r="V101" s="91">
        <f>IFERROR(INDEX('Proposed Data'!AH$2:AH$100,MATCH(Proposed!$C94,'Proposed Data'!$A$2:$A$100,0)),0)</f>
        <v>0</v>
      </c>
      <c r="W101" s="91">
        <f>IFERROR(INDEX('Proposed Data'!AI$2:AI$100,MATCH(Proposed!$C94,'Proposed Data'!$A$2:$A$100,0)),0)</f>
        <v>0</v>
      </c>
      <c r="X101" s="91">
        <f>IFERROR(INDEX('Proposed Data'!AJ$2:AJ$100,MATCH(Proposed!$C94,'Proposed Data'!$A$2:$A$100,0)),0)</f>
        <v>0</v>
      </c>
      <c r="Y101" s="91">
        <f>IFERROR(INDEX('Proposed Data'!AK$2:AK$100,MATCH(Proposed!$C94,'Proposed Data'!$A$2:$A$100,0)),0)</f>
        <v>0</v>
      </c>
      <c r="Z101" s="91">
        <f>IFERROR(INDEX('Proposed Data'!AL$2:AL$100,MATCH(Proposed!$C94,'Proposed Data'!$A$2:$A$100,0)),0)</f>
        <v>0</v>
      </c>
      <c r="AA101" s="91">
        <f>IFERROR(INDEX('Proposed Data'!AM$2:AM$100,MATCH(Proposed!$C94,'Proposed Data'!$A$2:$A$100,0)),0)</f>
        <v>0</v>
      </c>
    </row>
    <row r="102" spans="1:27">
      <c r="B102" s="4" t="s">
        <v>176</v>
      </c>
      <c r="C102" s="86"/>
      <c r="D102" s="86"/>
      <c r="E102" s="86"/>
      <c r="F102" s="86"/>
      <c r="G102" s="86"/>
      <c r="H102" s="86"/>
      <c r="I102" s="86"/>
      <c r="J102" s="86"/>
      <c r="K102" s="86"/>
      <c r="L102" s="86"/>
      <c r="M102" s="86"/>
      <c r="N102" s="86"/>
      <c r="O102" s="86"/>
      <c r="P102" s="86"/>
      <c r="Q102" s="86"/>
      <c r="R102" s="86"/>
      <c r="S102" s="86"/>
      <c r="T102" s="86"/>
      <c r="U102" s="86"/>
      <c r="V102" s="86"/>
      <c r="W102" s="86"/>
      <c r="X102" s="86"/>
      <c r="Y102" s="86"/>
      <c r="Z102" s="86"/>
      <c r="AA102" s="86"/>
    </row>
    <row r="103" spans="1:27">
      <c r="B103" s="4" t="s">
        <v>177</v>
      </c>
      <c r="C103" s="91">
        <f>IF(ISBLANK(C102),C101,C102)</f>
        <v>0</v>
      </c>
      <c r="D103" s="91">
        <f t="shared" ref="D103:AA103" si="7">IF(ISBLANK(D102),D101,D102)</f>
        <v>0</v>
      </c>
      <c r="E103" s="91">
        <f t="shared" si="7"/>
        <v>0</v>
      </c>
      <c r="F103" s="91">
        <f t="shared" si="7"/>
        <v>0</v>
      </c>
      <c r="G103" s="91">
        <f t="shared" si="7"/>
        <v>0</v>
      </c>
      <c r="H103" s="91">
        <f t="shared" si="7"/>
        <v>0</v>
      </c>
      <c r="I103" s="91">
        <f t="shared" si="7"/>
        <v>0</v>
      </c>
      <c r="J103" s="91">
        <f t="shared" si="7"/>
        <v>0</v>
      </c>
      <c r="K103" s="91">
        <f t="shared" si="7"/>
        <v>0</v>
      </c>
      <c r="L103" s="91">
        <f t="shared" si="7"/>
        <v>0</v>
      </c>
      <c r="M103" s="91">
        <f t="shared" si="7"/>
        <v>0</v>
      </c>
      <c r="N103" s="91">
        <f t="shared" si="7"/>
        <v>0</v>
      </c>
      <c r="O103" s="91">
        <f t="shared" si="7"/>
        <v>0</v>
      </c>
      <c r="P103" s="91">
        <f t="shared" si="7"/>
        <v>0</v>
      </c>
      <c r="Q103" s="91">
        <f t="shared" si="7"/>
        <v>0</v>
      </c>
      <c r="R103" s="91">
        <f t="shared" si="7"/>
        <v>0</v>
      </c>
      <c r="S103" s="91">
        <f t="shared" si="7"/>
        <v>0</v>
      </c>
      <c r="T103" s="91">
        <f t="shared" si="7"/>
        <v>0</v>
      </c>
      <c r="U103" s="91">
        <f t="shared" si="7"/>
        <v>0</v>
      </c>
      <c r="V103" s="91">
        <f t="shared" si="7"/>
        <v>0</v>
      </c>
      <c r="W103" s="91">
        <f t="shared" si="7"/>
        <v>0</v>
      </c>
      <c r="X103" s="91">
        <f t="shared" si="7"/>
        <v>0</v>
      </c>
      <c r="Y103" s="91">
        <f t="shared" si="7"/>
        <v>0</v>
      </c>
      <c r="Z103" s="91">
        <f t="shared" si="7"/>
        <v>0</v>
      </c>
      <c r="AA103" s="91">
        <f t="shared" si="7"/>
        <v>0</v>
      </c>
    </row>
    <row r="105" spans="1:27">
      <c r="B105" s="30" t="s">
        <v>113</v>
      </c>
      <c r="C105" s="30"/>
      <c r="D105" s="30"/>
      <c r="E105" s="30"/>
      <c r="F105" s="30"/>
      <c r="G105" s="30"/>
      <c r="H105" s="30"/>
      <c r="I105" s="30"/>
      <c r="J105" s="30"/>
      <c r="K105" s="30"/>
      <c r="L105" s="30"/>
      <c r="M105" s="30"/>
      <c r="N105" s="30"/>
      <c r="O105" s="30"/>
      <c r="P105" s="30"/>
      <c r="Q105" s="30"/>
      <c r="R105" s="30"/>
      <c r="S105" s="30"/>
      <c r="T105" s="30"/>
      <c r="U105" s="30"/>
      <c r="V105" s="30"/>
      <c r="W105" s="30"/>
      <c r="X105" s="30"/>
      <c r="Y105" s="30"/>
      <c r="Z105" s="30"/>
      <c r="AA105" s="30"/>
    </row>
    <row r="107" spans="1:27" ht="15.6" thickBot="1">
      <c r="A107" s="3"/>
      <c r="B107" s="85"/>
      <c r="F107" s="3"/>
      <c r="G107" s="63" t="s">
        <v>166</v>
      </c>
      <c r="H107" s="63"/>
      <c r="I107" s="63" t="s">
        <v>167</v>
      </c>
      <c r="J107" s="63"/>
      <c r="K107" s="63"/>
      <c r="L107" s="63"/>
      <c r="M107" s="63"/>
      <c r="N107" s="63"/>
      <c r="O107" s="63" t="s">
        <v>118</v>
      </c>
      <c r="P107" s="63"/>
      <c r="R107" s="63" t="s">
        <v>168</v>
      </c>
      <c r="S107" s="63"/>
      <c r="U107" s="63" t="s">
        <v>199</v>
      </c>
      <c r="V107" s="63"/>
      <c r="W107" s="63"/>
      <c r="Y107" s="63" t="s">
        <v>169</v>
      </c>
      <c r="Z107" s="63"/>
      <c r="AA107" s="63"/>
    </row>
    <row r="108" spans="1:27">
      <c r="B108" s="4" t="s">
        <v>200</v>
      </c>
      <c r="C108" s="222"/>
      <c r="D108" s="223"/>
      <c r="F108" s="49" t="s">
        <v>172</v>
      </c>
      <c r="G108" s="95">
        <f>C108</f>
        <v>0</v>
      </c>
      <c r="H108" s="95"/>
      <c r="I108" s="95">
        <f>IFERROR(INDEX('Proposed Data'!$B$2:$B$100,MATCH(Proposed!$C108,'Proposed Data'!$A$2:$A$100,0)),0)</f>
        <v>0</v>
      </c>
      <c r="J108" s="95"/>
      <c r="K108" s="95"/>
      <c r="L108" s="95"/>
      <c r="M108" s="95"/>
      <c r="N108" s="95"/>
      <c r="O108" s="95">
        <f>IFERROR(INDEX('Proposed Data'!$C$2:$C$100,MATCH(Proposed!$C108,'Proposed Data'!$A$2:$A$100,0)),0)</f>
        <v>0</v>
      </c>
      <c r="P108" s="95"/>
      <c r="R108" s="91">
        <f>IFERROR(INDEX('Proposed Data'!$BM$2:$BM$100,MATCH(Proposed!$C108,'Proposed Data'!$A$2:$A$100,0)),0)/1000</f>
        <v>0</v>
      </c>
      <c r="S108" s="4" t="s">
        <v>173</v>
      </c>
      <c r="U108" s="53" t="s">
        <v>201</v>
      </c>
      <c r="V108" s="53" t="s">
        <v>202</v>
      </c>
      <c r="W108" s="53" t="s">
        <v>203</v>
      </c>
      <c r="Y108" s="4" t="s">
        <v>174</v>
      </c>
      <c r="Z108" s="91">
        <f>Calculations!BQ19</f>
        <v>0</v>
      </c>
      <c r="AA108" s="105" t="str">
        <f>'Project Info'!$I$5</f>
        <v>kBtu</v>
      </c>
    </row>
    <row r="109" spans="1:27">
      <c r="B109" s="4" t="s">
        <v>175</v>
      </c>
      <c r="C109" s="91">
        <f>IFERROR(IF(ISBLANK('Project Info'!$D$7),(INDEX('Proposed Data'!BP$2:BP$100,MATCH(Proposed!$C108,'Proposed Data'!$A$2:$A$100,0))),'Project Info'!$D$7),0)</f>
        <v>13652</v>
      </c>
      <c r="D109" s="4" t="str">
        <f>IF($I$11="SI","m²","ft²")</f>
        <v>ft²</v>
      </c>
      <c r="F109" s="49" t="s">
        <v>176</v>
      </c>
      <c r="G109" s="86"/>
      <c r="H109" s="86"/>
      <c r="I109" s="86"/>
      <c r="J109" s="86"/>
      <c r="K109" s="86"/>
      <c r="L109" s="86"/>
      <c r="M109" s="86"/>
      <c r="N109" s="86"/>
      <c r="O109" s="86"/>
      <c r="P109" s="86"/>
      <c r="R109" s="89"/>
      <c r="S109" s="4" t="s">
        <v>173</v>
      </c>
      <c r="U109" s="86"/>
      <c r="V109" s="86"/>
      <c r="W109" s="86"/>
      <c r="Z109" s="103">
        <f>IFERROR(Z108/C109,0)</f>
        <v>0</v>
      </c>
      <c r="AA109" s="105" t="str">
        <f>IF('Project Info'!$I$4=Menus!$A$2,"kWh/m²","kBtu/ft²")</f>
        <v>kBtu/ft²</v>
      </c>
    </row>
    <row r="110" spans="1:27">
      <c r="F110" s="49" t="s">
        <v>177</v>
      </c>
      <c r="G110" s="95">
        <f>IF(ISBLANK(G109),G108,G109)</f>
        <v>0</v>
      </c>
      <c r="H110" s="95"/>
      <c r="I110" s="95">
        <f>IF(ISBLANK(I109),I108,I109)</f>
        <v>0</v>
      </c>
      <c r="J110" s="95"/>
      <c r="K110" s="95"/>
      <c r="L110" s="95"/>
      <c r="M110" s="95"/>
      <c r="N110" s="95"/>
      <c r="O110" s="95">
        <f>IF(ISBLANK(O109),O108,O109)</f>
        <v>0</v>
      </c>
      <c r="P110" s="95"/>
      <c r="R110" s="91">
        <f>IF(ISBLANK(R109),R108,R109)</f>
        <v>0</v>
      </c>
      <c r="S110" s="4" t="s">
        <v>173</v>
      </c>
      <c r="U110" s="42" t="s">
        <v>88</v>
      </c>
      <c r="V110" s="42" t="s">
        <v>88</v>
      </c>
      <c r="W110" s="42" t="s">
        <v>88</v>
      </c>
    </row>
    <row r="111" spans="1:27">
      <c r="B111" s="3"/>
      <c r="C111" s="3"/>
      <c r="D111" s="3"/>
      <c r="E111" s="3"/>
      <c r="F111" s="3"/>
      <c r="G111" s="3"/>
      <c r="H111" s="3"/>
      <c r="I111" s="3"/>
      <c r="J111" s="3"/>
      <c r="K111" s="3"/>
      <c r="L111" s="3"/>
      <c r="M111" s="3"/>
      <c r="N111" s="3"/>
      <c r="O111" s="3"/>
      <c r="P111" s="3"/>
      <c r="T111" s="6"/>
    </row>
    <row r="112" spans="1:27" ht="41.4">
      <c r="B112" s="4" t="s">
        <v>178</v>
      </c>
      <c r="C112" s="227" t="s">
        <v>179</v>
      </c>
      <c r="D112" s="228"/>
      <c r="E112" s="228"/>
      <c r="F112" s="228"/>
      <c r="G112" s="227" t="s">
        <v>180</v>
      </c>
      <c r="H112" s="228"/>
      <c r="I112" s="32" t="s">
        <v>181</v>
      </c>
      <c r="J112" s="32" t="s">
        <v>182</v>
      </c>
      <c r="K112" s="225" t="s">
        <v>183</v>
      </c>
      <c r="L112" s="226"/>
      <c r="M112" s="229"/>
      <c r="N112" s="32" t="s">
        <v>184</v>
      </c>
      <c r="O112" s="32" t="s">
        <v>185</v>
      </c>
      <c r="P112" s="32" t="s">
        <v>186</v>
      </c>
      <c r="Q112" s="32" t="s">
        <v>187</v>
      </c>
      <c r="R112" s="54" t="s">
        <v>188</v>
      </c>
      <c r="S112" s="54" t="s">
        <v>189</v>
      </c>
      <c r="T112" s="225" t="s">
        <v>190</v>
      </c>
      <c r="U112" s="226"/>
      <c r="V112" s="226"/>
      <c r="W112" s="226"/>
      <c r="X112" s="54" t="s">
        <v>191</v>
      </c>
      <c r="Y112" s="33" t="s">
        <v>192</v>
      </c>
      <c r="Z112" s="34">
        <f>'Project Info'!$I$10</f>
        <v>0</v>
      </c>
      <c r="AA112" s="34">
        <f>'Project Info'!$J$10</f>
        <v>0</v>
      </c>
    </row>
    <row r="113" spans="1:27">
      <c r="B113" s="4" t="s">
        <v>193</v>
      </c>
      <c r="C113" s="18" t="s">
        <v>59</v>
      </c>
      <c r="D113" s="18" t="s">
        <v>60</v>
      </c>
      <c r="E113" s="18" t="s">
        <v>194</v>
      </c>
      <c r="F113" s="18" t="s">
        <v>103</v>
      </c>
      <c r="G113" s="18" t="s">
        <v>59</v>
      </c>
      <c r="H113" s="18" t="s">
        <v>102</v>
      </c>
      <c r="I113" s="18" t="s">
        <v>59</v>
      </c>
      <c r="J113" s="18" t="s">
        <v>59</v>
      </c>
      <c r="K113" s="18" t="s">
        <v>59</v>
      </c>
      <c r="L113" s="18" t="s">
        <v>60</v>
      </c>
      <c r="M113" s="18" t="s">
        <v>194</v>
      </c>
      <c r="N113" s="18" t="s">
        <v>59</v>
      </c>
      <c r="O113" s="18" t="s">
        <v>59</v>
      </c>
      <c r="P113" s="18" t="s">
        <v>59</v>
      </c>
      <c r="Q113" s="18" t="s">
        <v>59</v>
      </c>
      <c r="R113" s="18" t="s">
        <v>59</v>
      </c>
      <c r="S113" s="18" t="s">
        <v>59</v>
      </c>
      <c r="T113" s="18" t="s">
        <v>59</v>
      </c>
      <c r="U113" s="18" t="s">
        <v>60</v>
      </c>
      <c r="V113" s="18" t="s">
        <v>194</v>
      </c>
      <c r="W113" s="18" t="s">
        <v>103</v>
      </c>
      <c r="X113" s="18" t="s">
        <v>59</v>
      </c>
      <c r="Y113" s="18" t="s">
        <v>59</v>
      </c>
      <c r="Z113" s="55" t="s">
        <v>59</v>
      </c>
      <c r="AA113" s="55" t="s">
        <v>59</v>
      </c>
    </row>
    <row r="114" spans="1:27">
      <c r="B114" s="4" t="s">
        <v>195</v>
      </c>
      <c r="C114" s="128" t="str">
        <f>'Project Info'!$I$5</f>
        <v>kBtu</v>
      </c>
      <c r="D114" s="128" t="str">
        <f>'Project Info'!$I$5</f>
        <v>kBtu</v>
      </c>
      <c r="E114" s="128" t="str">
        <f>'Project Info'!$I$5</f>
        <v>kBtu</v>
      </c>
      <c r="F114" s="128" t="str">
        <f>'Project Info'!$I$5</f>
        <v>kBtu</v>
      </c>
      <c r="G114" s="128" t="str">
        <f>'Project Info'!$I$5</f>
        <v>kBtu</v>
      </c>
      <c r="H114" s="128" t="str">
        <f>'Project Info'!$I$5</f>
        <v>kBtu</v>
      </c>
      <c r="I114" s="128" t="str">
        <f>'Project Info'!$I$5</f>
        <v>kBtu</v>
      </c>
      <c r="J114" s="128" t="str">
        <f>'Project Info'!$I$5</f>
        <v>kBtu</v>
      </c>
      <c r="K114" s="128" t="str">
        <f>'Project Info'!$I$5</f>
        <v>kBtu</v>
      </c>
      <c r="L114" s="128" t="str">
        <f>'Project Info'!$I$5</f>
        <v>kBtu</v>
      </c>
      <c r="M114" s="128" t="str">
        <f>'Project Info'!$I$5</f>
        <v>kBtu</v>
      </c>
      <c r="N114" s="128" t="str">
        <f>'Project Info'!$I$5</f>
        <v>kBtu</v>
      </c>
      <c r="O114" s="128" t="str">
        <f>'Project Info'!$I$5</f>
        <v>kBtu</v>
      </c>
      <c r="P114" s="128" t="str">
        <f>'Project Info'!$I$5</f>
        <v>kBtu</v>
      </c>
      <c r="Q114" s="128" t="str">
        <f>'Project Info'!$I$5</f>
        <v>kBtu</v>
      </c>
      <c r="R114" s="128" t="str">
        <f>'Project Info'!$I$5</f>
        <v>kBtu</v>
      </c>
      <c r="S114" s="128" t="str">
        <f>'Project Info'!$I$5</f>
        <v>kBtu</v>
      </c>
      <c r="T114" s="128" t="str">
        <f>'Project Info'!$I$5</f>
        <v>kBtu</v>
      </c>
      <c r="U114" s="128" t="str">
        <f>'Project Info'!$I$5</f>
        <v>kBtu</v>
      </c>
      <c r="V114" s="128" t="str">
        <f>'Project Info'!$I$5</f>
        <v>kBtu</v>
      </c>
      <c r="W114" s="128" t="str">
        <f>'Project Info'!$I$5</f>
        <v>kBtu</v>
      </c>
      <c r="X114" s="128" t="str">
        <f>'Project Info'!$I$5</f>
        <v>kBtu</v>
      </c>
      <c r="Y114" s="128" t="str">
        <f>'Project Info'!$I$5</f>
        <v>kBtu</v>
      </c>
      <c r="Z114" s="128" t="str">
        <f>'Project Info'!$I$5</f>
        <v>kBtu</v>
      </c>
      <c r="AA114" s="128" t="str">
        <f>'Project Info'!$I$5</f>
        <v>kBtu</v>
      </c>
    </row>
    <row r="115" spans="1:27">
      <c r="B115" s="4" t="s">
        <v>172</v>
      </c>
      <c r="C115" s="91">
        <f>IFERROR(INDEX('Proposed Data'!O$2:O$100,MATCH(Proposed!$C108,'Proposed Data'!$A$2:$A$100,0)),0)</f>
        <v>0</v>
      </c>
      <c r="D115" s="91">
        <f>IFERROR(INDEX('Proposed Data'!P$2:P$100,MATCH(Proposed!$C108,'Proposed Data'!$A$2:$A$100,0)),0)</f>
        <v>0</v>
      </c>
      <c r="E115" s="91">
        <f>IFERROR(INDEX('Proposed Data'!Q$2:Q$100,MATCH(Proposed!$C108,'Proposed Data'!$A$2:$A$100,0)),0)</f>
        <v>0</v>
      </c>
      <c r="F115" s="91">
        <f>IFERROR(INDEX('Proposed Data'!R$2:R$100,MATCH(Proposed!$C108,'Proposed Data'!$A$2:$A$100,0)),0)</f>
        <v>0</v>
      </c>
      <c r="G115" s="91">
        <f>IFERROR(INDEX('Proposed Data'!S$2:S$100,MATCH(Proposed!$C108,'Proposed Data'!$A$2:$A$100,0)),0)</f>
        <v>0</v>
      </c>
      <c r="H115" s="91">
        <f>IFERROR(INDEX('Proposed Data'!T$2:T$100,MATCH(Proposed!$C108,'Proposed Data'!$A$2:$A$100,0)),0)</f>
        <v>0</v>
      </c>
      <c r="I115" s="91">
        <f>IFERROR(INDEX('Proposed Data'!U$2:U$100,MATCH(Proposed!$C108,'Proposed Data'!$A$2:$A$100,0)),0)</f>
        <v>0</v>
      </c>
      <c r="J115" s="91">
        <f>IFERROR(INDEX('Proposed Data'!V$2:V$100,MATCH(Proposed!$C108,'Proposed Data'!$A$2:$A$100,0)),0)</f>
        <v>0</v>
      </c>
      <c r="K115" s="91">
        <f>IFERROR(INDEX('Proposed Data'!W$2:W$100,MATCH(Proposed!$C108,'Proposed Data'!$A$2:$A$100,0)),0)</f>
        <v>0</v>
      </c>
      <c r="L115" s="91">
        <f>IFERROR(INDEX('Proposed Data'!X$2:X$100,MATCH(Proposed!$C108,'Proposed Data'!$A$2:$A$100,0)),0)</f>
        <v>0</v>
      </c>
      <c r="M115" s="91">
        <f>IFERROR(INDEX('Proposed Data'!Y$2:Y$100,MATCH(Proposed!$C108,'Proposed Data'!$A$2:$A$100,0)),0)</f>
        <v>0</v>
      </c>
      <c r="N115" s="91">
        <f>IFERROR(INDEX('Proposed Data'!Z$2:Z$100,MATCH(Proposed!$C108,'Proposed Data'!$A$2:$A$100,0)),0)</f>
        <v>0</v>
      </c>
      <c r="O115" s="91">
        <f>IFERROR(INDEX('Proposed Data'!AA$2:AA$100,MATCH(Proposed!$C108,'Proposed Data'!$A$2:$A$100,0)),0)</f>
        <v>0</v>
      </c>
      <c r="P115" s="91">
        <f>IFERROR(INDEX('Proposed Data'!AB$2:AB$100,MATCH(Proposed!$C108,'Proposed Data'!$A$2:$A$100,0)),0)</f>
        <v>0</v>
      </c>
      <c r="Q115" s="91">
        <f>IFERROR(INDEX('Proposed Data'!AC$2:AC$100,MATCH(Proposed!$C108,'Proposed Data'!$A$2:$A$100,0)),0)</f>
        <v>0</v>
      </c>
      <c r="R115" s="91">
        <f>IFERROR(INDEX('Proposed Data'!AD$2:AD$100,MATCH(Proposed!$C108,'Proposed Data'!$A$2:$A$100,0)),0)</f>
        <v>0</v>
      </c>
      <c r="S115" s="91">
        <f>IFERROR(INDEX('Proposed Data'!AE$2:AE$100,MATCH(Proposed!$C108,'Proposed Data'!$A$2:$A$100,0)),0)</f>
        <v>0</v>
      </c>
      <c r="T115" s="91">
        <f>IFERROR(INDEX('Proposed Data'!AF$2:AF$100,MATCH(Proposed!$C108,'Proposed Data'!$A$2:$A$100,0)),0)</f>
        <v>0</v>
      </c>
      <c r="U115" s="91">
        <f>IFERROR(INDEX('Proposed Data'!AG$2:AG$100,MATCH(Proposed!$C108,'Proposed Data'!$A$2:$A$100,0)),0)</f>
        <v>0</v>
      </c>
      <c r="V115" s="91">
        <f>IFERROR(INDEX('Proposed Data'!AH$2:AH$100,MATCH(Proposed!$C108,'Proposed Data'!$A$2:$A$100,0)),0)</f>
        <v>0</v>
      </c>
      <c r="W115" s="91">
        <f>IFERROR(INDEX('Proposed Data'!AI$2:AI$100,MATCH(Proposed!$C108,'Proposed Data'!$A$2:$A$100,0)),0)</f>
        <v>0</v>
      </c>
      <c r="X115" s="91">
        <f>IFERROR(INDEX('Proposed Data'!AJ$2:AJ$100,MATCH(Proposed!$C108,'Proposed Data'!$A$2:$A$100,0)),0)</f>
        <v>0</v>
      </c>
      <c r="Y115" s="91">
        <f>IFERROR(INDEX('Proposed Data'!AK$2:AK$100,MATCH(Proposed!$C108,'Proposed Data'!$A$2:$A$100,0)),0)</f>
        <v>0</v>
      </c>
      <c r="Z115" s="91">
        <f>IFERROR(INDEX('Proposed Data'!AL$2:AL$100,MATCH(Proposed!$C108,'Proposed Data'!$A$2:$A$100,0)),0)</f>
        <v>0</v>
      </c>
      <c r="AA115" s="91">
        <f>IFERROR(INDEX('Proposed Data'!AM$2:AM$100,MATCH(Proposed!$C108,'Proposed Data'!$A$2:$A$100,0)),0)</f>
        <v>0</v>
      </c>
    </row>
    <row r="116" spans="1:27">
      <c r="B116" s="4" t="s">
        <v>176</v>
      </c>
      <c r="C116" s="86"/>
      <c r="D116" s="86"/>
      <c r="E116" s="86"/>
      <c r="F116" s="86"/>
      <c r="G116" s="86"/>
      <c r="H116" s="86"/>
      <c r="I116" s="86"/>
      <c r="J116" s="86"/>
      <c r="K116" s="86"/>
      <c r="L116" s="86"/>
      <c r="M116" s="86"/>
      <c r="N116" s="86"/>
      <c r="O116" s="86"/>
      <c r="P116" s="86"/>
      <c r="Q116" s="86"/>
      <c r="R116" s="86"/>
      <c r="S116" s="86"/>
      <c r="T116" s="86"/>
      <c r="U116" s="86"/>
      <c r="V116" s="86"/>
      <c r="W116" s="86"/>
      <c r="X116" s="86"/>
      <c r="Y116" s="86"/>
      <c r="Z116" s="86"/>
      <c r="AA116" s="86"/>
    </row>
    <row r="117" spans="1:27">
      <c r="B117" s="4" t="s">
        <v>177</v>
      </c>
      <c r="C117" s="91">
        <f>IF(ISBLANK(C116),C115,C116)</f>
        <v>0</v>
      </c>
      <c r="D117" s="91">
        <f t="shared" ref="D117:AA117" si="8">IF(ISBLANK(D116),D115,D116)</f>
        <v>0</v>
      </c>
      <c r="E117" s="91">
        <f t="shared" si="8"/>
        <v>0</v>
      </c>
      <c r="F117" s="91">
        <f t="shared" si="8"/>
        <v>0</v>
      </c>
      <c r="G117" s="91">
        <f t="shared" si="8"/>
        <v>0</v>
      </c>
      <c r="H117" s="91">
        <f t="shared" si="8"/>
        <v>0</v>
      </c>
      <c r="I117" s="91">
        <f t="shared" si="8"/>
        <v>0</v>
      </c>
      <c r="J117" s="91">
        <f t="shared" si="8"/>
        <v>0</v>
      </c>
      <c r="K117" s="91">
        <f t="shared" si="8"/>
        <v>0</v>
      </c>
      <c r="L117" s="91">
        <f t="shared" si="8"/>
        <v>0</v>
      </c>
      <c r="M117" s="91">
        <f t="shared" si="8"/>
        <v>0</v>
      </c>
      <c r="N117" s="91">
        <f t="shared" si="8"/>
        <v>0</v>
      </c>
      <c r="O117" s="91">
        <f t="shared" si="8"/>
        <v>0</v>
      </c>
      <c r="P117" s="91">
        <f t="shared" si="8"/>
        <v>0</v>
      </c>
      <c r="Q117" s="91">
        <f t="shared" si="8"/>
        <v>0</v>
      </c>
      <c r="R117" s="91">
        <f t="shared" si="8"/>
        <v>0</v>
      </c>
      <c r="S117" s="91">
        <f t="shared" si="8"/>
        <v>0</v>
      </c>
      <c r="T117" s="91">
        <f t="shared" si="8"/>
        <v>0</v>
      </c>
      <c r="U117" s="91">
        <f t="shared" si="8"/>
        <v>0</v>
      </c>
      <c r="V117" s="91">
        <f t="shared" si="8"/>
        <v>0</v>
      </c>
      <c r="W117" s="91">
        <f t="shared" si="8"/>
        <v>0</v>
      </c>
      <c r="X117" s="91">
        <f t="shared" si="8"/>
        <v>0</v>
      </c>
      <c r="Y117" s="91">
        <f t="shared" si="8"/>
        <v>0</v>
      </c>
      <c r="Z117" s="91">
        <f t="shared" si="8"/>
        <v>0</v>
      </c>
      <c r="AA117" s="91">
        <f t="shared" si="8"/>
        <v>0</v>
      </c>
    </row>
    <row r="119" spans="1:27">
      <c r="B119" s="30" t="s">
        <v>114</v>
      </c>
      <c r="C119" s="30"/>
      <c r="D119" s="30"/>
      <c r="E119" s="30"/>
      <c r="F119" s="30"/>
      <c r="G119" s="30"/>
      <c r="H119" s="30"/>
      <c r="I119" s="30"/>
      <c r="J119" s="30"/>
      <c r="K119" s="30"/>
      <c r="L119" s="30"/>
      <c r="M119" s="30"/>
      <c r="N119" s="30"/>
      <c r="O119" s="30"/>
      <c r="P119" s="30"/>
      <c r="Q119" s="30"/>
      <c r="R119" s="30"/>
      <c r="S119" s="30"/>
      <c r="T119" s="30"/>
      <c r="U119" s="30"/>
      <c r="V119" s="30"/>
      <c r="W119" s="30"/>
      <c r="X119" s="30"/>
      <c r="Y119" s="30"/>
      <c r="Z119" s="30"/>
      <c r="AA119" s="30"/>
    </row>
    <row r="121" spans="1:27" ht="15.6" thickBot="1">
      <c r="A121" s="3"/>
      <c r="B121" s="85"/>
      <c r="F121" s="3"/>
      <c r="G121" s="63" t="s">
        <v>166</v>
      </c>
      <c r="H121" s="63"/>
      <c r="I121" s="63" t="s">
        <v>167</v>
      </c>
      <c r="J121" s="63"/>
      <c r="K121" s="63"/>
      <c r="L121" s="63"/>
      <c r="M121" s="63"/>
      <c r="N121" s="63"/>
      <c r="O121" s="63" t="s">
        <v>118</v>
      </c>
      <c r="P121" s="63"/>
      <c r="R121" s="63" t="s">
        <v>168</v>
      </c>
      <c r="S121" s="63"/>
      <c r="U121" s="63" t="s">
        <v>199</v>
      </c>
      <c r="V121" s="63"/>
      <c r="W121" s="63"/>
      <c r="Y121" s="63" t="s">
        <v>169</v>
      </c>
      <c r="Z121" s="63"/>
      <c r="AA121" s="63"/>
    </row>
    <row r="122" spans="1:27">
      <c r="B122" s="4" t="s">
        <v>200</v>
      </c>
      <c r="C122" s="222"/>
      <c r="D122" s="223"/>
      <c r="F122" s="49" t="s">
        <v>172</v>
      </c>
      <c r="G122" s="95">
        <f>C122</f>
        <v>0</v>
      </c>
      <c r="H122" s="95"/>
      <c r="I122" s="95">
        <f>IFERROR(INDEX('Proposed Data'!$B$2:$B$100,MATCH(Proposed!$C122,'Proposed Data'!$A$2:$A$100,0)),0)</f>
        <v>0</v>
      </c>
      <c r="J122" s="95"/>
      <c r="K122" s="95"/>
      <c r="L122" s="95"/>
      <c r="M122" s="95"/>
      <c r="N122" s="95"/>
      <c r="O122" s="95">
        <f>IFERROR(INDEX('Proposed Data'!$C$2:$C$100,MATCH(Proposed!$C122,'Proposed Data'!$A$2:$A$100,0)),0)</f>
        <v>0</v>
      </c>
      <c r="P122" s="95"/>
      <c r="R122" s="91">
        <f>IFERROR(INDEX('Proposed Data'!$BM$2:$BM$100,MATCH(Proposed!$C122,'Proposed Data'!$A$2:$A$100,0)),0)/1000</f>
        <v>0</v>
      </c>
      <c r="S122" s="4" t="s">
        <v>173</v>
      </c>
      <c r="U122" s="53" t="s">
        <v>201</v>
      </c>
      <c r="V122" s="53" t="s">
        <v>202</v>
      </c>
      <c r="W122" s="53" t="s">
        <v>203</v>
      </c>
      <c r="Y122" s="4" t="s">
        <v>174</v>
      </c>
      <c r="Z122" s="91">
        <f>Calculations!BQ20</f>
        <v>0</v>
      </c>
      <c r="AA122" s="105" t="str">
        <f>'Project Info'!$I$5</f>
        <v>kBtu</v>
      </c>
    </row>
    <row r="123" spans="1:27">
      <c r="B123" s="4" t="s">
        <v>175</v>
      </c>
      <c r="C123" s="91">
        <f>IFERROR(IF(ISBLANK('Project Info'!$D$7),(INDEX('Proposed Data'!BP$2:BP$100,MATCH(Proposed!$C122,'Proposed Data'!$A$2:$A$100,0))),'Project Info'!$D$7),0)</f>
        <v>13652</v>
      </c>
      <c r="D123" s="4" t="str">
        <f>IF($I$11="SI","m²","ft²")</f>
        <v>ft²</v>
      </c>
      <c r="F123" s="49" t="s">
        <v>176</v>
      </c>
      <c r="G123" s="86"/>
      <c r="H123" s="86"/>
      <c r="I123" s="86"/>
      <c r="J123" s="86"/>
      <c r="K123" s="86"/>
      <c r="L123" s="86"/>
      <c r="M123" s="86"/>
      <c r="N123" s="86"/>
      <c r="O123" s="86"/>
      <c r="P123" s="86"/>
      <c r="R123" s="89"/>
      <c r="S123" s="4" t="s">
        <v>173</v>
      </c>
      <c r="U123" s="86"/>
      <c r="V123" s="86"/>
      <c r="W123" s="86"/>
      <c r="Z123" s="103">
        <f>IFERROR(Z122/C123,0)</f>
        <v>0</v>
      </c>
      <c r="AA123" s="105" t="str">
        <f>IF('Project Info'!$I$4=Menus!$A$2,"kWh/m²","kBtu/ft²")</f>
        <v>kBtu/ft²</v>
      </c>
    </row>
    <row r="124" spans="1:27">
      <c r="F124" s="49" t="s">
        <v>177</v>
      </c>
      <c r="G124" s="95">
        <f>IF(ISBLANK(G123),G122,G123)</f>
        <v>0</v>
      </c>
      <c r="H124" s="95"/>
      <c r="I124" s="95">
        <f>IF(ISBLANK(I123),I122,I123)</f>
        <v>0</v>
      </c>
      <c r="J124" s="95"/>
      <c r="K124" s="95"/>
      <c r="L124" s="95"/>
      <c r="M124" s="95"/>
      <c r="N124" s="95"/>
      <c r="O124" s="95">
        <f>IF(ISBLANK(O123),O122,O123)</f>
        <v>0</v>
      </c>
      <c r="P124" s="95"/>
      <c r="R124" s="91">
        <f>IF(ISBLANK(R123),R122,R123)</f>
        <v>0</v>
      </c>
      <c r="S124" s="4" t="s">
        <v>173</v>
      </c>
      <c r="U124" s="42" t="s">
        <v>88</v>
      </c>
      <c r="V124" s="42" t="s">
        <v>88</v>
      </c>
      <c r="W124" s="42" t="s">
        <v>88</v>
      </c>
    </row>
    <row r="125" spans="1:27">
      <c r="B125" s="3"/>
      <c r="C125" s="3"/>
      <c r="D125" s="3"/>
      <c r="E125" s="3"/>
      <c r="F125" s="3"/>
      <c r="G125" s="3"/>
      <c r="H125" s="3"/>
      <c r="I125" s="3"/>
      <c r="J125" s="3"/>
      <c r="K125" s="3"/>
      <c r="L125" s="3"/>
      <c r="M125" s="3"/>
      <c r="N125" s="3"/>
      <c r="O125" s="3"/>
      <c r="P125" s="3"/>
      <c r="T125" s="6"/>
    </row>
    <row r="126" spans="1:27" ht="41.4">
      <c r="B126" s="4" t="s">
        <v>178</v>
      </c>
      <c r="C126" s="227" t="s">
        <v>179</v>
      </c>
      <c r="D126" s="228"/>
      <c r="E126" s="228"/>
      <c r="F126" s="228"/>
      <c r="G126" s="227" t="s">
        <v>180</v>
      </c>
      <c r="H126" s="228"/>
      <c r="I126" s="32" t="s">
        <v>181</v>
      </c>
      <c r="J126" s="32" t="s">
        <v>182</v>
      </c>
      <c r="K126" s="225" t="s">
        <v>183</v>
      </c>
      <c r="L126" s="226"/>
      <c r="M126" s="229"/>
      <c r="N126" s="32" t="s">
        <v>184</v>
      </c>
      <c r="O126" s="32" t="s">
        <v>185</v>
      </c>
      <c r="P126" s="32" t="s">
        <v>186</v>
      </c>
      <c r="Q126" s="32" t="s">
        <v>187</v>
      </c>
      <c r="R126" s="54" t="s">
        <v>188</v>
      </c>
      <c r="S126" s="54" t="s">
        <v>189</v>
      </c>
      <c r="T126" s="225" t="s">
        <v>190</v>
      </c>
      <c r="U126" s="226"/>
      <c r="V126" s="226"/>
      <c r="W126" s="226"/>
      <c r="X126" s="54" t="s">
        <v>191</v>
      </c>
      <c r="Y126" s="33" t="s">
        <v>192</v>
      </c>
      <c r="Z126" s="34">
        <f>'Project Info'!$I$10</f>
        <v>0</v>
      </c>
      <c r="AA126" s="34">
        <f>'Project Info'!$J$10</f>
        <v>0</v>
      </c>
    </row>
    <row r="127" spans="1:27">
      <c r="B127" s="4" t="s">
        <v>193</v>
      </c>
      <c r="C127" s="18" t="s">
        <v>59</v>
      </c>
      <c r="D127" s="18" t="s">
        <v>60</v>
      </c>
      <c r="E127" s="18" t="s">
        <v>194</v>
      </c>
      <c r="F127" s="18" t="s">
        <v>103</v>
      </c>
      <c r="G127" s="18" t="s">
        <v>59</v>
      </c>
      <c r="H127" s="18" t="s">
        <v>102</v>
      </c>
      <c r="I127" s="18" t="s">
        <v>59</v>
      </c>
      <c r="J127" s="18" t="s">
        <v>59</v>
      </c>
      <c r="K127" s="18" t="s">
        <v>59</v>
      </c>
      <c r="L127" s="18" t="s">
        <v>60</v>
      </c>
      <c r="M127" s="18" t="s">
        <v>194</v>
      </c>
      <c r="N127" s="18" t="s">
        <v>59</v>
      </c>
      <c r="O127" s="18" t="s">
        <v>59</v>
      </c>
      <c r="P127" s="18" t="s">
        <v>59</v>
      </c>
      <c r="Q127" s="18" t="s">
        <v>59</v>
      </c>
      <c r="R127" s="18" t="s">
        <v>59</v>
      </c>
      <c r="S127" s="18" t="s">
        <v>59</v>
      </c>
      <c r="T127" s="18" t="s">
        <v>59</v>
      </c>
      <c r="U127" s="18" t="s">
        <v>60</v>
      </c>
      <c r="V127" s="18" t="s">
        <v>194</v>
      </c>
      <c r="W127" s="18" t="s">
        <v>103</v>
      </c>
      <c r="X127" s="18" t="s">
        <v>59</v>
      </c>
      <c r="Y127" s="18" t="s">
        <v>59</v>
      </c>
      <c r="Z127" s="55" t="s">
        <v>59</v>
      </c>
      <c r="AA127" s="55" t="s">
        <v>59</v>
      </c>
    </row>
    <row r="128" spans="1:27">
      <c r="B128" s="4" t="s">
        <v>195</v>
      </c>
      <c r="C128" s="128" t="str">
        <f>'Project Info'!$I$5</f>
        <v>kBtu</v>
      </c>
      <c r="D128" s="128" t="str">
        <f>'Project Info'!$I$5</f>
        <v>kBtu</v>
      </c>
      <c r="E128" s="128" t="str">
        <f>'Project Info'!$I$5</f>
        <v>kBtu</v>
      </c>
      <c r="F128" s="128" t="str">
        <f>'Project Info'!$I$5</f>
        <v>kBtu</v>
      </c>
      <c r="G128" s="128" t="str">
        <f>'Project Info'!$I$5</f>
        <v>kBtu</v>
      </c>
      <c r="H128" s="128" t="str">
        <f>'Project Info'!$I$5</f>
        <v>kBtu</v>
      </c>
      <c r="I128" s="128" t="str">
        <f>'Project Info'!$I$5</f>
        <v>kBtu</v>
      </c>
      <c r="J128" s="128" t="str">
        <f>'Project Info'!$I$5</f>
        <v>kBtu</v>
      </c>
      <c r="K128" s="128" t="str">
        <f>'Project Info'!$I$5</f>
        <v>kBtu</v>
      </c>
      <c r="L128" s="128" t="str">
        <f>'Project Info'!$I$5</f>
        <v>kBtu</v>
      </c>
      <c r="M128" s="128" t="str">
        <f>'Project Info'!$I$5</f>
        <v>kBtu</v>
      </c>
      <c r="N128" s="128" t="str">
        <f>'Project Info'!$I$5</f>
        <v>kBtu</v>
      </c>
      <c r="O128" s="128" t="str">
        <f>'Project Info'!$I$5</f>
        <v>kBtu</v>
      </c>
      <c r="P128" s="128" t="str">
        <f>'Project Info'!$I$5</f>
        <v>kBtu</v>
      </c>
      <c r="Q128" s="128" t="str">
        <f>'Project Info'!$I$5</f>
        <v>kBtu</v>
      </c>
      <c r="R128" s="128" t="str">
        <f>'Project Info'!$I$5</f>
        <v>kBtu</v>
      </c>
      <c r="S128" s="128" t="str">
        <f>'Project Info'!$I$5</f>
        <v>kBtu</v>
      </c>
      <c r="T128" s="128" t="str">
        <f>'Project Info'!$I$5</f>
        <v>kBtu</v>
      </c>
      <c r="U128" s="128" t="str">
        <f>'Project Info'!$I$5</f>
        <v>kBtu</v>
      </c>
      <c r="V128" s="128" t="str">
        <f>'Project Info'!$I$5</f>
        <v>kBtu</v>
      </c>
      <c r="W128" s="128" t="str">
        <f>'Project Info'!$I$5</f>
        <v>kBtu</v>
      </c>
      <c r="X128" s="128" t="str">
        <f>'Project Info'!$I$5</f>
        <v>kBtu</v>
      </c>
      <c r="Y128" s="128" t="str">
        <f>'Project Info'!$I$5</f>
        <v>kBtu</v>
      </c>
      <c r="Z128" s="128" t="str">
        <f>'Project Info'!$I$5</f>
        <v>kBtu</v>
      </c>
      <c r="AA128" s="128" t="str">
        <f>'Project Info'!$I$5</f>
        <v>kBtu</v>
      </c>
    </row>
    <row r="129" spans="1:27">
      <c r="B129" s="4" t="s">
        <v>172</v>
      </c>
      <c r="C129" s="91">
        <f>IFERROR(INDEX('Proposed Data'!O$2:O$100,MATCH(Proposed!$C122,'Proposed Data'!$A$2:$A$100,0)),0)</f>
        <v>0</v>
      </c>
      <c r="D129" s="91">
        <f>IFERROR(INDEX('Proposed Data'!P$2:P$100,MATCH(Proposed!$C122,'Proposed Data'!$A$2:$A$100,0)),0)</f>
        <v>0</v>
      </c>
      <c r="E129" s="91">
        <f>IFERROR(INDEX('Proposed Data'!Q$2:Q$100,MATCH(Proposed!$C122,'Proposed Data'!$A$2:$A$100,0)),0)</f>
        <v>0</v>
      </c>
      <c r="F129" s="91">
        <f>IFERROR(INDEX('Proposed Data'!R$2:R$100,MATCH(Proposed!$C122,'Proposed Data'!$A$2:$A$100,0)),0)</f>
        <v>0</v>
      </c>
      <c r="G129" s="91">
        <f>IFERROR(INDEX('Proposed Data'!S$2:S$100,MATCH(Proposed!$C122,'Proposed Data'!$A$2:$A$100,0)),0)</f>
        <v>0</v>
      </c>
      <c r="H129" s="91">
        <f>IFERROR(INDEX('Proposed Data'!T$2:T$100,MATCH(Proposed!$C122,'Proposed Data'!$A$2:$A$100,0)),0)</f>
        <v>0</v>
      </c>
      <c r="I129" s="91">
        <f>IFERROR(INDEX('Proposed Data'!U$2:U$100,MATCH(Proposed!$C122,'Proposed Data'!$A$2:$A$100,0)),0)</f>
        <v>0</v>
      </c>
      <c r="J129" s="91">
        <f>IFERROR(INDEX('Proposed Data'!V$2:V$100,MATCH(Proposed!$C122,'Proposed Data'!$A$2:$A$100,0)),0)</f>
        <v>0</v>
      </c>
      <c r="K129" s="91">
        <f>IFERROR(INDEX('Proposed Data'!W$2:W$100,MATCH(Proposed!$C122,'Proposed Data'!$A$2:$A$100,0)),0)</f>
        <v>0</v>
      </c>
      <c r="L129" s="91">
        <f>IFERROR(INDEX('Proposed Data'!X$2:X$100,MATCH(Proposed!$C122,'Proposed Data'!$A$2:$A$100,0)),0)</f>
        <v>0</v>
      </c>
      <c r="M129" s="91">
        <f>IFERROR(INDEX('Proposed Data'!Y$2:Y$100,MATCH(Proposed!$C122,'Proposed Data'!$A$2:$A$100,0)),0)</f>
        <v>0</v>
      </c>
      <c r="N129" s="91">
        <f>IFERROR(INDEX('Proposed Data'!Z$2:Z$100,MATCH(Proposed!$C122,'Proposed Data'!$A$2:$A$100,0)),0)</f>
        <v>0</v>
      </c>
      <c r="O129" s="91">
        <f>IFERROR(INDEX('Proposed Data'!AA$2:AA$100,MATCH(Proposed!$C122,'Proposed Data'!$A$2:$A$100,0)),0)</f>
        <v>0</v>
      </c>
      <c r="P129" s="91">
        <f>IFERROR(INDEX('Proposed Data'!AB$2:AB$100,MATCH(Proposed!$C122,'Proposed Data'!$A$2:$A$100,0)),0)</f>
        <v>0</v>
      </c>
      <c r="Q129" s="91">
        <f>IFERROR(INDEX('Proposed Data'!AC$2:AC$100,MATCH(Proposed!$C122,'Proposed Data'!$A$2:$A$100,0)),0)</f>
        <v>0</v>
      </c>
      <c r="R129" s="91">
        <f>IFERROR(INDEX('Proposed Data'!AD$2:AD$100,MATCH(Proposed!$C122,'Proposed Data'!$A$2:$A$100,0)),0)</f>
        <v>0</v>
      </c>
      <c r="S129" s="91">
        <f>IFERROR(INDEX('Proposed Data'!AE$2:AE$100,MATCH(Proposed!$C122,'Proposed Data'!$A$2:$A$100,0)),0)</f>
        <v>0</v>
      </c>
      <c r="T129" s="91">
        <f>IFERROR(INDEX('Proposed Data'!AF$2:AF$100,MATCH(Proposed!$C122,'Proposed Data'!$A$2:$A$100,0)),0)</f>
        <v>0</v>
      </c>
      <c r="U129" s="91">
        <f>IFERROR(INDEX('Proposed Data'!AG$2:AG$100,MATCH(Proposed!$C122,'Proposed Data'!$A$2:$A$100,0)),0)</f>
        <v>0</v>
      </c>
      <c r="V129" s="91">
        <f>IFERROR(INDEX('Proposed Data'!AH$2:AH$100,MATCH(Proposed!$C122,'Proposed Data'!$A$2:$A$100,0)),0)</f>
        <v>0</v>
      </c>
      <c r="W129" s="91">
        <f>IFERROR(INDEX('Proposed Data'!AI$2:AI$100,MATCH(Proposed!$C122,'Proposed Data'!$A$2:$A$100,0)),0)</f>
        <v>0</v>
      </c>
      <c r="X129" s="91">
        <f>IFERROR(INDEX('Proposed Data'!AJ$2:AJ$100,MATCH(Proposed!$C122,'Proposed Data'!$A$2:$A$100,0)),0)</f>
        <v>0</v>
      </c>
      <c r="Y129" s="91">
        <f>IFERROR(INDEX('Proposed Data'!AK$2:AK$100,MATCH(Proposed!$C122,'Proposed Data'!$A$2:$A$100,0)),0)</f>
        <v>0</v>
      </c>
      <c r="Z129" s="91">
        <f>IFERROR(INDEX('Proposed Data'!AL$2:AL$100,MATCH(Proposed!$C122,'Proposed Data'!$A$2:$A$100,0)),0)</f>
        <v>0</v>
      </c>
      <c r="AA129" s="91">
        <f>IFERROR(INDEX('Proposed Data'!AM$2:AM$100,MATCH(Proposed!$C122,'Proposed Data'!$A$2:$A$100,0)),0)</f>
        <v>0</v>
      </c>
    </row>
    <row r="130" spans="1:27">
      <c r="B130" s="4" t="s">
        <v>176</v>
      </c>
      <c r="C130" s="86"/>
      <c r="D130" s="86"/>
      <c r="E130" s="86"/>
      <c r="F130" s="86"/>
      <c r="G130" s="86"/>
      <c r="H130" s="86"/>
      <c r="I130" s="86"/>
      <c r="J130" s="86"/>
      <c r="K130" s="86"/>
      <c r="L130" s="86"/>
      <c r="M130" s="86"/>
      <c r="N130" s="86"/>
      <c r="O130" s="86"/>
      <c r="P130" s="86"/>
      <c r="Q130" s="86"/>
      <c r="R130" s="86"/>
      <c r="S130" s="86"/>
      <c r="T130" s="86"/>
      <c r="U130" s="86"/>
      <c r="V130" s="86"/>
      <c r="W130" s="86"/>
      <c r="X130" s="86"/>
      <c r="Y130" s="86"/>
      <c r="Z130" s="86"/>
      <c r="AA130" s="86"/>
    </row>
    <row r="131" spans="1:27">
      <c r="B131" s="4" t="s">
        <v>177</v>
      </c>
      <c r="C131" s="91">
        <f>IF(ISBLANK(C130),C129,C130)</f>
        <v>0</v>
      </c>
      <c r="D131" s="91">
        <f t="shared" ref="D131:AA131" si="9">IF(ISBLANK(D130),D129,D130)</f>
        <v>0</v>
      </c>
      <c r="E131" s="91">
        <f t="shared" si="9"/>
        <v>0</v>
      </c>
      <c r="F131" s="91">
        <f t="shared" si="9"/>
        <v>0</v>
      </c>
      <c r="G131" s="91">
        <f t="shared" si="9"/>
        <v>0</v>
      </c>
      <c r="H131" s="91">
        <f t="shared" si="9"/>
        <v>0</v>
      </c>
      <c r="I131" s="91">
        <f t="shared" si="9"/>
        <v>0</v>
      </c>
      <c r="J131" s="91">
        <f t="shared" si="9"/>
        <v>0</v>
      </c>
      <c r="K131" s="91">
        <f t="shared" si="9"/>
        <v>0</v>
      </c>
      <c r="L131" s="91">
        <f t="shared" si="9"/>
        <v>0</v>
      </c>
      <c r="M131" s="91">
        <f t="shared" si="9"/>
        <v>0</v>
      </c>
      <c r="N131" s="91">
        <f t="shared" si="9"/>
        <v>0</v>
      </c>
      <c r="O131" s="91">
        <f t="shared" si="9"/>
        <v>0</v>
      </c>
      <c r="P131" s="91">
        <f t="shared" si="9"/>
        <v>0</v>
      </c>
      <c r="Q131" s="91">
        <f t="shared" si="9"/>
        <v>0</v>
      </c>
      <c r="R131" s="91">
        <f t="shared" si="9"/>
        <v>0</v>
      </c>
      <c r="S131" s="91">
        <f t="shared" si="9"/>
        <v>0</v>
      </c>
      <c r="T131" s="91">
        <f t="shared" si="9"/>
        <v>0</v>
      </c>
      <c r="U131" s="91">
        <f t="shared" si="9"/>
        <v>0</v>
      </c>
      <c r="V131" s="91">
        <f t="shared" si="9"/>
        <v>0</v>
      </c>
      <c r="W131" s="91">
        <f t="shared" si="9"/>
        <v>0</v>
      </c>
      <c r="X131" s="91">
        <f t="shared" si="9"/>
        <v>0</v>
      </c>
      <c r="Y131" s="91">
        <f t="shared" si="9"/>
        <v>0</v>
      </c>
      <c r="Z131" s="91">
        <f t="shared" si="9"/>
        <v>0</v>
      </c>
      <c r="AA131" s="91">
        <f t="shared" si="9"/>
        <v>0</v>
      </c>
    </row>
    <row r="133" spans="1:27">
      <c r="B133" s="30" t="s">
        <v>115</v>
      </c>
      <c r="C133" s="30"/>
      <c r="D133" s="30"/>
      <c r="E133" s="30"/>
      <c r="F133" s="30"/>
      <c r="G133" s="30"/>
      <c r="H133" s="30"/>
      <c r="I133" s="30"/>
      <c r="J133" s="30"/>
      <c r="K133" s="30"/>
      <c r="L133" s="30"/>
      <c r="M133" s="30"/>
      <c r="N133" s="30"/>
      <c r="O133" s="30"/>
      <c r="P133" s="30"/>
      <c r="Q133" s="30"/>
      <c r="R133" s="30"/>
      <c r="S133" s="30"/>
      <c r="T133" s="30"/>
      <c r="U133" s="30"/>
      <c r="V133" s="30"/>
      <c r="W133" s="30"/>
      <c r="X133" s="30"/>
      <c r="Y133" s="30"/>
      <c r="Z133" s="30"/>
      <c r="AA133" s="30"/>
    </row>
    <row r="135" spans="1:27" ht="15.6" thickBot="1">
      <c r="A135" s="3"/>
      <c r="B135" s="85"/>
      <c r="F135" s="3"/>
      <c r="G135" s="63" t="s">
        <v>166</v>
      </c>
      <c r="H135" s="63"/>
      <c r="I135" s="63" t="s">
        <v>167</v>
      </c>
      <c r="J135" s="63"/>
      <c r="K135" s="63"/>
      <c r="L135" s="63"/>
      <c r="M135" s="63"/>
      <c r="N135" s="63"/>
      <c r="O135" s="63" t="s">
        <v>118</v>
      </c>
      <c r="P135" s="63"/>
      <c r="R135" s="63" t="s">
        <v>168</v>
      </c>
      <c r="S135" s="63"/>
      <c r="U135" s="63" t="s">
        <v>199</v>
      </c>
      <c r="V135" s="63"/>
      <c r="W135" s="63"/>
      <c r="Y135" s="63" t="s">
        <v>169</v>
      </c>
      <c r="Z135" s="63"/>
      <c r="AA135" s="63"/>
    </row>
    <row r="136" spans="1:27">
      <c r="B136" s="4" t="s">
        <v>200</v>
      </c>
      <c r="C136" s="222"/>
      <c r="D136" s="223"/>
      <c r="F136" s="49" t="s">
        <v>172</v>
      </c>
      <c r="G136" s="95">
        <f>C136</f>
        <v>0</v>
      </c>
      <c r="H136" s="95"/>
      <c r="I136" s="95">
        <f>IFERROR(INDEX('Proposed Data'!$B$2:$B$100,MATCH(Proposed!$C136,'Proposed Data'!$A$2:$A$100,0)),0)</f>
        <v>0</v>
      </c>
      <c r="J136" s="95"/>
      <c r="K136" s="95"/>
      <c r="L136" s="95"/>
      <c r="M136" s="95"/>
      <c r="N136" s="95"/>
      <c r="O136" s="95">
        <f>IFERROR(INDEX('Proposed Data'!$C$2:$C$100,MATCH(Proposed!$C136,'Proposed Data'!$A$2:$A$100,0)),0)</f>
        <v>0</v>
      </c>
      <c r="P136" s="95"/>
      <c r="R136" s="91">
        <f>IFERROR(INDEX('Proposed Data'!$BM$2:$BM$100,MATCH(Proposed!$C136,'Proposed Data'!$A$2:$A$100,0)),0)/1000</f>
        <v>0</v>
      </c>
      <c r="S136" s="4" t="s">
        <v>173</v>
      </c>
      <c r="U136" s="53" t="s">
        <v>201</v>
      </c>
      <c r="V136" s="53" t="s">
        <v>202</v>
      </c>
      <c r="W136" s="53" t="s">
        <v>203</v>
      </c>
      <c r="Y136" s="4" t="s">
        <v>174</v>
      </c>
      <c r="Z136" s="91">
        <f>Calculations!BQ21</f>
        <v>0</v>
      </c>
      <c r="AA136" s="105" t="str">
        <f>'Project Info'!$I$5</f>
        <v>kBtu</v>
      </c>
    </row>
    <row r="137" spans="1:27">
      <c r="B137" s="4" t="s">
        <v>175</v>
      </c>
      <c r="C137" s="91">
        <f>IFERROR(IF(ISBLANK('Project Info'!$D$7),(INDEX('Proposed Data'!BP$2:BP$100,MATCH(Proposed!$C136,'Proposed Data'!$A$2:$A$100,0))),'Project Info'!$D$7),0)</f>
        <v>13652</v>
      </c>
      <c r="D137" s="4" t="str">
        <f>IF($I$11="SI","m²","ft²")</f>
        <v>ft²</v>
      </c>
      <c r="F137" s="49" t="s">
        <v>176</v>
      </c>
      <c r="G137" s="86"/>
      <c r="H137" s="86"/>
      <c r="I137" s="86"/>
      <c r="J137" s="86"/>
      <c r="K137" s="86"/>
      <c r="L137" s="86"/>
      <c r="M137" s="86"/>
      <c r="N137" s="86"/>
      <c r="O137" s="86"/>
      <c r="P137" s="86"/>
      <c r="R137" s="89"/>
      <c r="S137" s="4" t="s">
        <v>173</v>
      </c>
      <c r="U137" s="86"/>
      <c r="V137" s="86"/>
      <c r="W137" s="86"/>
      <c r="Z137" s="103">
        <f>IFERROR(Z136/C137,0)</f>
        <v>0</v>
      </c>
      <c r="AA137" s="105" t="str">
        <f>IF('Project Info'!$I$4=Menus!$A$2,"kWh/m²","kBtu/ft²")</f>
        <v>kBtu/ft²</v>
      </c>
    </row>
    <row r="138" spans="1:27">
      <c r="F138" s="49" t="s">
        <v>177</v>
      </c>
      <c r="G138" s="95">
        <f>IF(ISBLANK(G137),G136,G137)</f>
        <v>0</v>
      </c>
      <c r="H138" s="95"/>
      <c r="I138" s="95">
        <f>IF(ISBLANK(I137),I136,I137)</f>
        <v>0</v>
      </c>
      <c r="J138" s="95"/>
      <c r="K138" s="95"/>
      <c r="L138" s="95"/>
      <c r="M138" s="95"/>
      <c r="N138" s="95"/>
      <c r="O138" s="95">
        <f>IF(ISBLANK(O137),O136,O137)</f>
        <v>0</v>
      </c>
      <c r="P138" s="95"/>
      <c r="R138" s="91">
        <f>IF(ISBLANK(R137),R136,R137)</f>
        <v>0</v>
      </c>
      <c r="S138" s="4" t="s">
        <v>173</v>
      </c>
      <c r="U138" s="42" t="s">
        <v>88</v>
      </c>
      <c r="V138" s="42" t="s">
        <v>88</v>
      </c>
      <c r="W138" s="42" t="s">
        <v>88</v>
      </c>
    </row>
    <row r="139" spans="1:27">
      <c r="B139" s="3"/>
      <c r="C139" s="3"/>
      <c r="D139" s="3"/>
      <c r="E139" s="3"/>
      <c r="F139" s="3"/>
      <c r="G139" s="3"/>
      <c r="H139" s="3"/>
      <c r="I139" s="3"/>
      <c r="J139" s="3"/>
      <c r="K139" s="3"/>
      <c r="L139" s="3"/>
      <c r="M139" s="3"/>
      <c r="N139" s="3"/>
      <c r="O139" s="3"/>
      <c r="P139" s="3"/>
      <c r="T139" s="6"/>
    </row>
    <row r="140" spans="1:27" ht="41.4">
      <c r="B140" s="4" t="s">
        <v>178</v>
      </c>
      <c r="C140" s="227" t="s">
        <v>179</v>
      </c>
      <c r="D140" s="228"/>
      <c r="E140" s="228"/>
      <c r="F140" s="228"/>
      <c r="G140" s="227" t="s">
        <v>180</v>
      </c>
      <c r="H140" s="228"/>
      <c r="I140" s="32" t="s">
        <v>181</v>
      </c>
      <c r="J140" s="32" t="s">
        <v>182</v>
      </c>
      <c r="K140" s="225" t="s">
        <v>183</v>
      </c>
      <c r="L140" s="226"/>
      <c r="M140" s="229"/>
      <c r="N140" s="32" t="s">
        <v>184</v>
      </c>
      <c r="O140" s="32" t="s">
        <v>185</v>
      </c>
      <c r="P140" s="32" t="s">
        <v>186</v>
      </c>
      <c r="Q140" s="32" t="s">
        <v>187</v>
      </c>
      <c r="R140" s="54" t="s">
        <v>188</v>
      </c>
      <c r="S140" s="54" t="s">
        <v>189</v>
      </c>
      <c r="T140" s="225" t="s">
        <v>190</v>
      </c>
      <c r="U140" s="226"/>
      <c r="V140" s="226"/>
      <c r="W140" s="226"/>
      <c r="X140" s="54" t="s">
        <v>191</v>
      </c>
      <c r="Y140" s="33" t="s">
        <v>192</v>
      </c>
      <c r="Z140" s="34">
        <f>'Project Info'!$I$10</f>
        <v>0</v>
      </c>
      <c r="AA140" s="34">
        <f>'Project Info'!$J$10</f>
        <v>0</v>
      </c>
    </row>
    <row r="141" spans="1:27">
      <c r="B141" s="4" t="s">
        <v>193</v>
      </c>
      <c r="C141" s="18" t="s">
        <v>59</v>
      </c>
      <c r="D141" s="18" t="s">
        <v>60</v>
      </c>
      <c r="E141" s="18" t="s">
        <v>194</v>
      </c>
      <c r="F141" s="18" t="s">
        <v>103</v>
      </c>
      <c r="G141" s="18" t="s">
        <v>59</v>
      </c>
      <c r="H141" s="18" t="s">
        <v>102</v>
      </c>
      <c r="I141" s="18" t="s">
        <v>59</v>
      </c>
      <c r="J141" s="18" t="s">
        <v>59</v>
      </c>
      <c r="K141" s="18" t="s">
        <v>59</v>
      </c>
      <c r="L141" s="18" t="s">
        <v>60</v>
      </c>
      <c r="M141" s="18" t="s">
        <v>194</v>
      </c>
      <c r="N141" s="18" t="s">
        <v>59</v>
      </c>
      <c r="O141" s="18" t="s">
        <v>59</v>
      </c>
      <c r="P141" s="18" t="s">
        <v>59</v>
      </c>
      <c r="Q141" s="18" t="s">
        <v>59</v>
      </c>
      <c r="R141" s="18" t="s">
        <v>59</v>
      </c>
      <c r="S141" s="18" t="s">
        <v>59</v>
      </c>
      <c r="T141" s="18" t="s">
        <v>59</v>
      </c>
      <c r="U141" s="18" t="s">
        <v>60</v>
      </c>
      <c r="V141" s="18" t="s">
        <v>194</v>
      </c>
      <c r="W141" s="18" t="s">
        <v>103</v>
      </c>
      <c r="X141" s="18" t="s">
        <v>59</v>
      </c>
      <c r="Y141" s="18" t="s">
        <v>59</v>
      </c>
      <c r="Z141" s="55" t="s">
        <v>59</v>
      </c>
      <c r="AA141" s="55" t="s">
        <v>59</v>
      </c>
    </row>
    <row r="142" spans="1:27">
      <c r="B142" s="4" t="s">
        <v>195</v>
      </c>
      <c r="C142" s="128" t="str">
        <f>'Project Info'!$I$5</f>
        <v>kBtu</v>
      </c>
      <c r="D142" s="128" t="str">
        <f>'Project Info'!$I$5</f>
        <v>kBtu</v>
      </c>
      <c r="E142" s="128" t="str">
        <f>'Project Info'!$I$5</f>
        <v>kBtu</v>
      </c>
      <c r="F142" s="128" t="str">
        <f>'Project Info'!$I$5</f>
        <v>kBtu</v>
      </c>
      <c r="G142" s="128" t="str">
        <f>'Project Info'!$I$5</f>
        <v>kBtu</v>
      </c>
      <c r="H142" s="128" t="str">
        <f>'Project Info'!$I$5</f>
        <v>kBtu</v>
      </c>
      <c r="I142" s="128" t="str">
        <f>'Project Info'!$I$5</f>
        <v>kBtu</v>
      </c>
      <c r="J142" s="128" t="str">
        <f>'Project Info'!$I$5</f>
        <v>kBtu</v>
      </c>
      <c r="K142" s="128" t="str">
        <f>'Project Info'!$I$5</f>
        <v>kBtu</v>
      </c>
      <c r="L142" s="128" t="str">
        <f>'Project Info'!$I$5</f>
        <v>kBtu</v>
      </c>
      <c r="M142" s="128" t="str">
        <f>'Project Info'!$I$5</f>
        <v>kBtu</v>
      </c>
      <c r="N142" s="128" t="str">
        <f>'Project Info'!$I$5</f>
        <v>kBtu</v>
      </c>
      <c r="O142" s="128" t="str">
        <f>'Project Info'!$I$5</f>
        <v>kBtu</v>
      </c>
      <c r="P142" s="128" t="str">
        <f>'Project Info'!$I$5</f>
        <v>kBtu</v>
      </c>
      <c r="Q142" s="128" t="str">
        <f>'Project Info'!$I$5</f>
        <v>kBtu</v>
      </c>
      <c r="R142" s="128" t="str">
        <f>'Project Info'!$I$5</f>
        <v>kBtu</v>
      </c>
      <c r="S142" s="128" t="str">
        <f>'Project Info'!$I$5</f>
        <v>kBtu</v>
      </c>
      <c r="T142" s="128" t="str">
        <f>'Project Info'!$I$5</f>
        <v>kBtu</v>
      </c>
      <c r="U142" s="128" t="str">
        <f>'Project Info'!$I$5</f>
        <v>kBtu</v>
      </c>
      <c r="V142" s="128" t="str">
        <f>'Project Info'!$I$5</f>
        <v>kBtu</v>
      </c>
      <c r="W142" s="128" t="str">
        <f>'Project Info'!$I$5</f>
        <v>kBtu</v>
      </c>
      <c r="X142" s="128" t="str">
        <f>'Project Info'!$I$5</f>
        <v>kBtu</v>
      </c>
      <c r="Y142" s="128" t="str">
        <f>'Project Info'!$I$5</f>
        <v>kBtu</v>
      </c>
      <c r="Z142" s="128" t="str">
        <f>'Project Info'!$I$5</f>
        <v>kBtu</v>
      </c>
      <c r="AA142" s="128" t="str">
        <f>'Project Info'!$I$5</f>
        <v>kBtu</v>
      </c>
    </row>
    <row r="143" spans="1:27">
      <c r="B143" s="4" t="s">
        <v>172</v>
      </c>
      <c r="C143" s="91">
        <f>IFERROR(INDEX('Proposed Data'!O$2:O$100,MATCH(Proposed!$C136,'Proposed Data'!$A$2:$A$100,0)),0)</f>
        <v>0</v>
      </c>
      <c r="D143" s="91">
        <f>IFERROR(INDEX('Proposed Data'!P$2:P$100,MATCH(Proposed!$C136,'Proposed Data'!$A$2:$A$100,0)),0)</f>
        <v>0</v>
      </c>
      <c r="E143" s="91">
        <f>IFERROR(INDEX('Proposed Data'!Q$2:Q$100,MATCH(Proposed!$C136,'Proposed Data'!$A$2:$A$100,0)),0)</f>
        <v>0</v>
      </c>
      <c r="F143" s="91">
        <f>IFERROR(INDEX('Proposed Data'!R$2:R$100,MATCH(Proposed!$C136,'Proposed Data'!$A$2:$A$100,0)),0)</f>
        <v>0</v>
      </c>
      <c r="G143" s="91">
        <f>IFERROR(INDEX('Proposed Data'!S$2:S$100,MATCH(Proposed!$C136,'Proposed Data'!$A$2:$A$100,0)),0)</f>
        <v>0</v>
      </c>
      <c r="H143" s="91">
        <f>IFERROR(INDEX('Proposed Data'!T$2:T$100,MATCH(Proposed!$C136,'Proposed Data'!$A$2:$A$100,0)),0)</f>
        <v>0</v>
      </c>
      <c r="I143" s="91">
        <f>IFERROR(INDEX('Proposed Data'!U$2:U$100,MATCH(Proposed!$C136,'Proposed Data'!$A$2:$A$100,0)),0)</f>
        <v>0</v>
      </c>
      <c r="J143" s="91">
        <f>IFERROR(INDEX('Proposed Data'!V$2:V$100,MATCH(Proposed!$C136,'Proposed Data'!$A$2:$A$100,0)),0)</f>
        <v>0</v>
      </c>
      <c r="K143" s="91">
        <f>IFERROR(INDEX('Proposed Data'!W$2:W$100,MATCH(Proposed!$C136,'Proposed Data'!$A$2:$A$100,0)),0)</f>
        <v>0</v>
      </c>
      <c r="L143" s="91">
        <f>IFERROR(INDEX('Proposed Data'!X$2:X$100,MATCH(Proposed!$C136,'Proposed Data'!$A$2:$A$100,0)),0)</f>
        <v>0</v>
      </c>
      <c r="M143" s="91">
        <f>IFERROR(INDEX('Proposed Data'!Y$2:Y$100,MATCH(Proposed!$C136,'Proposed Data'!$A$2:$A$100,0)),0)</f>
        <v>0</v>
      </c>
      <c r="N143" s="91">
        <f>IFERROR(INDEX('Proposed Data'!Z$2:Z$100,MATCH(Proposed!$C136,'Proposed Data'!$A$2:$A$100,0)),0)</f>
        <v>0</v>
      </c>
      <c r="O143" s="91">
        <f>IFERROR(INDEX('Proposed Data'!AA$2:AA$100,MATCH(Proposed!$C136,'Proposed Data'!$A$2:$A$100,0)),0)</f>
        <v>0</v>
      </c>
      <c r="P143" s="91">
        <f>IFERROR(INDEX('Proposed Data'!AB$2:AB$100,MATCH(Proposed!$C136,'Proposed Data'!$A$2:$A$100,0)),0)</f>
        <v>0</v>
      </c>
      <c r="Q143" s="91">
        <f>IFERROR(INDEX('Proposed Data'!AC$2:AC$100,MATCH(Proposed!$C136,'Proposed Data'!$A$2:$A$100,0)),0)</f>
        <v>0</v>
      </c>
      <c r="R143" s="91">
        <f>IFERROR(INDEX('Proposed Data'!AD$2:AD$100,MATCH(Proposed!$C136,'Proposed Data'!$A$2:$A$100,0)),0)</f>
        <v>0</v>
      </c>
      <c r="S143" s="91">
        <f>IFERROR(INDEX('Proposed Data'!AE$2:AE$100,MATCH(Proposed!$C136,'Proposed Data'!$A$2:$A$100,0)),0)</f>
        <v>0</v>
      </c>
      <c r="T143" s="91">
        <f>IFERROR(INDEX('Proposed Data'!AF$2:AF$100,MATCH(Proposed!$C136,'Proposed Data'!$A$2:$A$100,0)),0)</f>
        <v>0</v>
      </c>
      <c r="U143" s="91">
        <f>IFERROR(INDEX('Proposed Data'!AG$2:AG$100,MATCH(Proposed!$C136,'Proposed Data'!$A$2:$A$100,0)),0)</f>
        <v>0</v>
      </c>
      <c r="V143" s="91">
        <f>IFERROR(INDEX('Proposed Data'!AH$2:AH$100,MATCH(Proposed!$C136,'Proposed Data'!$A$2:$A$100,0)),0)</f>
        <v>0</v>
      </c>
      <c r="W143" s="91">
        <f>IFERROR(INDEX('Proposed Data'!AI$2:AI$100,MATCH(Proposed!$C136,'Proposed Data'!$A$2:$A$100,0)),0)</f>
        <v>0</v>
      </c>
      <c r="X143" s="91">
        <f>IFERROR(INDEX('Proposed Data'!AJ$2:AJ$100,MATCH(Proposed!$C136,'Proposed Data'!$A$2:$A$100,0)),0)</f>
        <v>0</v>
      </c>
      <c r="Y143" s="91">
        <f>IFERROR(INDEX('Proposed Data'!AK$2:AK$100,MATCH(Proposed!$C136,'Proposed Data'!$A$2:$A$100,0)),0)</f>
        <v>0</v>
      </c>
      <c r="Z143" s="91">
        <f>IFERROR(INDEX('Proposed Data'!AL$2:AL$100,MATCH(Proposed!$C136,'Proposed Data'!$A$2:$A$100,0)),0)</f>
        <v>0</v>
      </c>
      <c r="AA143" s="91">
        <f>IFERROR(INDEX('Proposed Data'!AM$2:AM$100,MATCH(Proposed!$C136,'Proposed Data'!$A$2:$A$100,0)),0)</f>
        <v>0</v>
      </c>
    </row>
    <row r="144" spans="1:27">
      <c r="B144" s="4" t="s">
        <v>176</v>
      </c>
      <c r="C144" s="86"/>
      <c r="D144" s="86"/>
      <c r="E144" s="86"/>
      <c r="F144" s="86"/>
      <c r="G144" s="86"/>
      <c r="H144" s="86"/>
      <c r="I144" s="86"/>
      <c r="J144" s="86"/>
      <c r="K144" s="86"/>
      <c r="L144" s="86"/>
      <c r="M144" s="86"/>
      <c r="N144" s="86"/>
      <c r="O144" s="86"/>
      <c r="P144" s="86"/>
      <c r="Q144" s="86"/>
      <c r="R144" s="86"/>
      <c r="S144" s="86"/>
      <c r="T144" s="86"/>
      <c r="U144" s="86"/>
      <c r="V144" s="86"/>
      <c r="W144" s="86"/>
      <c r="X144" s="86"/>
      <c r="Y144" s="86"/>
      <c r="Z144" s="86"/>
      <c r="AA144" s="86"/>
    </row>
    <row r="145" spans="2:27">
      <c r="B145" s="4" t="s">
        <v>177</v>
      </c>
      <c r="C145" s="91">
        <f>IF(ISBLANK(C144),C143,C144)</f>
        <v>0</v>
      </c>
      <c r="D145" s="91">
        <f t="shared" ref="D145:AA145" si="10">IF(ISBLANK(D144),D143,D144)</f>
        <v>0</v>
      </c>
      <c r="E145" s="91">
        <f t="shared" si="10"/>
        <v>0</v>
      </c>
      <c r="F145" s="91">
        <f t="shared" si="10"/>
        <v>0</v>
      </c>
      <c r="G145" s="91">
        <f t="shared" si="10"/>
        <v>0</v>
      </c>
      <c r="H145" s="91">
        <f t="shared" si="10"/>
        <v>0</v>
      </c>
      <c r="I145" s="91">
        <f t="shared" si="10"/>
        <v>0</v>
      </c>
      <c r="J145" s="91">
        <f t="shared" si="10"/>
        <v>0</v>
      </c>
      <c r="K145" s="91">
        <f t="shared" si="10"/>
        <v>0</v>
      </c>
      <c r="L145" s="91">
        <f t="shared" si="10"/>
        <v>0</v>
      </c>
      <c r="M145" s="91">
        <f t="shared" si="10"/>
        <v>0</v>
      </c>
      <c r="N145" s="91">
        <f t="shared" si="10"/>
        <v>0</v>
      </c>
      <c r="O145" s="91">
        <f t="shared" si="10"/>
        <v>0</v>
      </c>
      <c r="P145" s="91">
        <f t="shared" si="10"/>
        <v>0</v>
      </c>
      <c r="Q145" s="91">
        <f t="shared" si="10"/>
        <v>0</v>
      </c>
      <c r="R145" s="91">
        <f t="shared" si="10"/>
        <v>0</v>
      </c>
      <c r="S145" s="91">
        <f t="shared" si="10"/>
        <v>0</v>
      </c>
      <c r="T145" s="91">
        <f t="shared" si="10"/>
        <v>0</v>
      </c>
      <c r="U145" s="91">
        <f t="shared" si="10"/>
        <v>0</v>
      </c>
      <c r="V145" s="91">
        <f t="shared" si="10"/>
        <v>0</v>
      </c>
      <c r="W145" s="91">
        <f t="shared" si="10"/>
        <v>0</v>
      </c>
      <c r="X145" s="91">
        <f t="shared" si="10"/>
        <v>0</v>
      </c>
      <c r="Y145" s="91">
        <f t="shared" si="10"/>
        <v>0</v>
      </c>
      <c r="Z145" s="91">
        <f t="shared" si="10"/>
        <v>0</v>
      </c>
      <c r="AA145" s="91">
        <f t="shared" si="10"/>
        <v>0</v>
      </c>
    </row>
  </sheetData>
  <sheetProtection selectLockedCells="1"/>
  <mergeCells count="51">
    <mergeCell ref="C38:D38"/>
    <mergeCell ref="C52:D52"/>
    <mergeCell ref="G84:H84"/>
    <mergeCell ref="T84:W84"/>
    <mergeCell ref="K84:M84"/>
    <mergeCell ref="K98:M98"/>
    <mergeCell ref="G56:H56"/>
    <mergeCell ref="T56:W56"/>
    <mergeCell ref="C66:D66"/>
    <mergeCell ref="C80:D80"/>
    <mergeCell ref="C94:D94"/>
    <mergeCell ref="C70:F70"/>
    <mergeCell ref="C56:F56"/>
    <mergeCell ref="C84:F84"/>
    <mergeCell ref="K70:M70"/>
    <mergeCell ref="G70:H70"/>
    <mergeCell ref="T70:W70"/>
    <mergeCell ref="C98:F98"/>
    <mergeCell ref="G98:H98"/>
    <mergeCell ref="T98:W98"/>
    <mergeCell ref="C140:F140"/>
    <mergeCell ref="G140:H140"/>
    <mergeCell ref="T140:W140"/>
    <mergeCell ref="K126:M126"/>
    <mergeCell ref="K140:M140"/>
    <mergeCell ref="C126:F126"/>
    <mergeCell ref="G126:H126"/>
    <mergeCell ref="T126:W126"/>
    <mergeCell ref="C136:D136"/>
    <mergeCell ref="C108:D108"/>
    <mergeCell ref="C112:F112"/>
    <mergeCell ref="G112:H112"/>
    <mergeCell ref="T112:W112"/>
    <mergeCell ref="C122:D122"/>
    <mergeCell ref="K112:M112"/>
    <mergeCell ref="B4:AA5"/>
    <mergeCell ref="K14:M14"/>
    <mergeCell ref="K28:M28"/>
    <mergeCell ref="K42:M42"/>
    <mergeCell ref="K56:M56"/>
    <mergeCell ref="C42:F42"/>
    <mergeCell ref="G42:H42"/>
    <mergeCell ref="T42:W42"/>
    <mergeCell ref="C14:F14"/>
    <mergeCell ref="G14:H14"/>
    <mergeCell ref="T14:W14"/>
    <mergeCell ref="T28:W28"/>
    <mergeCell ref="C28:F28"/>
    <mergeCell ref="G28:H28"/>
    <mergeCell ref="C10:D10"/>
    <mergeCell ref="C24:D24"/>
  </mergeCells>
  <dataValidations count="1">
    <dataValidation type="list" allowBlank="1" showInputMessage="1" showErrorMessage="1" sqref="U12:W12 U26:W26 U40:W40 U54:W54 U68:W68 U82:W82 U96:W96 U110:W110 U124:W124 U138:W138" xr:uid="{EF378DAC-AD5F-4B38-AFD4-147082D89C30}">
      <formula1>Energy</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E88733E5-132F-49A8-B499-F9881C9771E8}">
          <x14:formula1>
            <xm:f>'Proposed Data'!$A$2:$A$100</xm:f>
          </x14:formula1>
          <xm:sqref>C10 C24 C38 C52 C66 C80 C94 C108 C122 C136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2663A9-A669-4298-8F23-8EB9E7546044}">
  <sheetPr>
    <tabColor theme="0" tint="-0.249977111117893"/>
  </sheetPr>
  <dimension ref="A1:BA66"/>
  <sheetViews>
    <sheetView showGridLines="0" topLeftCell="B10" zoomScaleNormal="100" workbookViewId="0">
      <selection activeCell="O26" sqref="O26"/>
    </sheetView>
  </sheetViews>
  <sheetFormatPr defaultColWidth="9.109375" defaultRowHeight="15"/>
  <cols>
    <col min="1" max="1" width="3.5546875" style="1" customWidth="1"/>
    <col min="2" max="2" width="27.5546875" style="1" customWidth="1"/>
    <col min="3" max="3" width="10.5546875" style="1" customWidth="1"/>
    <col min="4" max="15" width="18.5546875" style="1" customWidth="1"/>
    <col min="16" max="16" width="3.5546875" style="1" customWidth="1"/>
    <col min="17" max="17" width="9.109375" style="1"/>
    <col min="18" max="18" width="3.5546875" style="1" customWidth="1"/>
    <col min="19" max="37" width="10.5546875" style="1" customWidth="1"/>
    <col min="38" max="40" width="9.109375" style="1"/>
    <col min="41" max="41" width="15.5546875" style="1" customWidth="1"/>
    <col min="42" max="42" width="3.5546875" style="1" customWidth="1"/>
    <col min="43" max="43" width="10.5546875" style="1" bestFit="1" customWidth="1"/>
    <col min="44" max="44" width="3.5546875" style="1" customWidth="1"/>
    <col min="45" max="47" width="15.5546875" style="1" customWidth="1"/>
    <col min="48" max="48" width="9.109375" style="1"/>
    <col min="49" max="53" width="12.5546875" style="1" customWidth="1"/>
    <col min="54" max="16384" width="9.109375" style="1"/>
  </cols>
  <sheetData>
    <row r="1" spans="1:53">
      <c r="A1" s="76" t="str">
        <f>Menus!C24</f>
        <v>Energy Use</v>
      </c>
      <c r="B1" s="77"/>
      <c r="C1" s="77"/>
      <c r="D1" s="77"/>
      <c r="E1" s="77"/>
      <c r="F1" s="77"/>
      <c r="G1" s="77"/>
      <c r="H1" s="77"/>
      <c r="I1" s="77"/>
      <c r="J1" s="77"/>
      <c r="K1" s="77"/>
      <c r="L1" s="77"/>
      <c r="M1" s="77"/>
      <c r="N1" s="77"/>
      <c r="O1" s="77"/>
      <c r="P1" s="77"/>
      <c r="Q1" s="77"/>
      <c r="R1" s="77"/>
      <c r="S1" s="77"/>
      <c r="T1" s="77"/>
      <c r="U1" s="77"/>
      <c r="V1" s="77"/>
      <c r="W1" s="77"/>
      <c r="X1" s="77"/>
      <c r="Y1" s="77"/>
      <c r="Z1" s="77"/>
      <c r="AA1" s="77"/>
      <c r="AB1" s="77"/>
      <c r="AC1" s="77"/>
      <c r="AD1" s="77"/>
      <c r="AE1" s="77"/>
      <c r="AF1" s="77"/>
      <c r="AG1" s="77"/>
      <c r="AH1" s="77"/>
      <c r="AI1" s="77"/>
      <c r="AJ1" s="77"/>
      <c r="AK1" s="77"/>
      <c r="AL1" s="77"/>
      <c r="AM1" s="77"/>
      <c r="AN1" s="77"/>
      <c r="AO1" s="77"/>
      <c r="AP1" s="77"/>
      <c r="AQ1" s="77"/>
      <c r="AR1" s="77"/>
      <c r="AS1" s="77"/>
      <c r="AT1" s="77"/>
      <c r="AU1" s="77"/>
      <c r="AV1" s="77"/>
      <c r="AW1" s="77"/>
      <c r="AX1" s="77"/>
      <c r="AY1" s="77"/>
      <c r="AZ1" s="77"/>
      <c r="BA1" s="77"/>
    </row>
    <row r="2" spans="1:53">
      <c r="D2" s="7" t="s">
        <v>204</v>
      </c>
      <c r="Q2" s="12"/>
      <c r="S2" s="4" t="str">
        <f>IF(S6=Calculations!A10,Menus!$I$7,Menus!$I$6)</f>
        <v>LEED</v>
      </c>
      <c r="U2" s="4" t="str">
        <f>IF(AND(S2=Menus!I7,'Project Info'!D16="No"),"No","Yes")</f>
        <v>Yes</v>
      </c>
    </row>
    <row r="3" spans="1:53" s="15" customFormat="1" ht="28.2">
      <c r="B3" s="41" t="s">
        <v>205</v>
      </c>
      <c r="D3" s="23" t="s">
        <v>163</v>
      </c>
      <c r="E3" s="23"/>
      <c r="F3" s="23"/>
      <c r="G3" s="23"/>
      <c r="H3" s="23"/>
      <c r="I3" s="23"/>
      <c r="J3" s="23"/>
      <c r="K3" s="23"/>
      <c r="L3" s="23"/>
      <c r="M3" s="23"/>
      <c r="N3" s="23"/>
      <c r="O3" s="23"/>
      <c r="Q3" s="16"/>
      <c r="S3" s="17">
        <f>COUNTA(D3:O3)</f>
        <v>1</v>
      </c>
      <c r="U3" s="17" t="str">
        <f>Calculations!AC4</f>
        <v>Heating</v>
      </c>
      <c r="V3" s="17" t="str">
        <f>Calculations!AD4</f>
        <v>Cooling</v>
      </c>
      <c r="W3" s="17" t="str">
        <f>Calculations!AE4</f>
        <v>Lighting</v>
      </c>
      <c r="X3" s="17" t="str">
        <f>Calculations!AF4</f>
        <v>Exterior Lighting</v>
      </c>
      <c r="Y3" s="17" t="str">
        <f>Calculations!AG4</f>
        <v>Equipment</v>
      </c>
      <c r="Z3" s="17" t="str">
        <f>Calculations!AH4</f>
        <v>Exterior Equipment</v>
      </c>
      <c r="AA3" s="17" t="str">
        <f>Calculations!AI4</f>
        <v>Fans</v>
      </c>
      <c r="AB3" s="17" t="str">
        <f>Calculations!AJ4</f>
        <v>Pumps</v>
      </c>
      <c r="AC3" s="17" t="str">
        <f>Calculations!AK4</f>
        <v>Heat Rejection</v>
      </c>
      <c r="AD3" s="17" t="str">
        <f>Calculations!AL4</f>
        <v>Humidification</v>
      </c>
      <c r="AE3" s="17" t="str">
        <f>Calculations!AM4</f>
        <v>Heat Recovery</v>
      </c>
      <c r="AF3" s="17" t="str">
        <f>Calculations!AN4</f>
        <v>Water Systems</v>
      </c>
      <c r="AG3" s="17" t="str">
        <f>Calculations!AO4</f>
        <v>Refrigeration</v>
      </c>
      <c r="AH3" s="17" t="str">
        <f>Calculations!AP4</f>
        <v>Generators</v>
      </c>
      <c r="AI3" s="17" t="str">
        <f>IF(ISBLANK('Project Info'!I10)," ",'Project Info'!I10)</f>
        <v xml:space="preserve"> </v>
      </c>
      <c r="AJ3" s="17" t="str">
        <f>IF(ISBLANK('Project Info'!J10)," ",'Project Info'!J10)</f>
        <v xml:space="preserve"> </v>
      </c>
      <c r="AK3" s="43" t="s">
        <v>206</v>
      </c>
      <c r="AL3" s="17" t="s">
        <v>201</v>
      </c>
      <c r="AM3" s="17" t="s">
        <v>202</v>
      </c>
      <c r="AN3" s="44" t="s">
        <v>207</v>
      </c>
      <c r="AO3" s="17" t="s">
        <v>174</v>
      </c>
      <c r="AP3" s="17"/>
      <c r="AQ3" s="17" t="s">
        <v>208</v>
      </c>
      <c r="AR3" s="17"/>
    </row>
    <row r="4" spans="1:53">
      <c r="B4" s="35"/>
      <c r="C4" s="19"/>
      <c r="E4" s="4"/>
      <c r="F4" s="4"/>
      <c r="G4" s="4"/>
      <c r="H4" s="4"/>
      <c r="I4" s="4"/>
      <c r="J4" s="4"/>
      <c r="K4" s="4"/>
      <c r="L4" s="4"/>
      <c r="M4" s="4"/>
      <c r="N4" s="4"/>
      <c r="O4" s="4"/>
      <c r="Q4" s="16"/>
      <c r="R4" s="15"/>
      <c r="S4" s="17"/>
      <c r="T4" s="15"/>
      <c r="U4" s="17" t="str">
        <f>IF(AND($S$2=Menus!$I$7,'Project Info'!$D$16="No"),Calculations!AC$6,"No")</f>
        <v>No</v>
      </c>
      <c r="V4" s="17" t="str">
        <f>IF(AND($S$2=Menus!$I$7,'Project Info'!$D$16="No"),Calculations!AD$6,"No")</f>
        <v>No</v>
      </c>
      <c r="W4" s="17" t="str">
        <f>IF(AND($S$2=Menus!$I$7,'Project Info'!$D$16="No"),Calculations!AE$6,"No")</f>
        <v>No</v>
      </c>
      <c r="X4" s="17" t="str">
        <f>IF(AND($S$2=Menus!$I$7,'Project Info'!$D$16="No"),Calculations!AF$6,"No")</f>
        <v>No</v>
      </c>
      <c r="Y4" s="17" t="str">
        <f>IF(AND($S$2=Menus!$I$7,'Project Info'!$D$16="No"),Calculations!AG$6,"No")</f>
        <v>No</v>
      </c>
      <c r="Z4" s="17" t="str">
        <f>IF(AND($S$2=Menus!$I$7,'Project Info'!$D$16="No"),Calculations!AH$6,"No")</f>
        <v>No</v>
      </c>
      <c r="AA4" s="17" t="str">
        <f>IF(AND($S$2=Menus!$I$7,'Project Info'!$D$16="No"),Calculations!AI$6,"No")</f>
        <v>No</v>
      </c>
      <c r="AB4" s="17" t="str">
        <f>IF(AND($S$2=Menus!$I$7,'Project Info'!$D$16="No"),Calculations!AJ$6,"No")</f>
        <v>No</v>
      </c>
      <c r="AC4" s="17" t="str">
        <f>IF(AND($S$2=Menus!$I$7,'Project Info'!$D$16="No"),Calculations!AK$6,"No")</f>
        <v>No</v>
      </c>
      <c r="AD4" s="17" t="str">
        <f>IF(AND($S$2=Menus!$I$7,'Project Info'!$D$16="No"),Calculations!AL$6,"No")</f>
        <v>No</v>
      </c>
      <c r="AE4" s="17" t="str">
        <f>IF(AND($S$2=Menus!$I$7,'Project Info'!$D$16="No"),Calculations!AM$6,"No")</f>
        <v>No</v>
      </c>
      <c r="AF4" s="17" t="str">
        <f>IF(AND($S$2=Menus!$I$7,'Project Info'!$D$16="No"),Calculations!AN$6,"No")</f>
        <v>No</v>
      </c>
      <c r="AG4" s="17" t="str">
        <f>IF(AND($S$2=Menus!$I$7,'Project Info'!$D$16="No"),Calculations!AO$6,"No")</f>
        <v>No</v>
      </c>
      <c r="AH4" s="17" t="str">
        <f>IF(AND($S$2=Menus!$I$7,'Project Info'!$D$16="No"),Calculations!AP$6,"No")</f>
        <v>No</v>
      </c>
      <c r="AI4" s="17" t="str">
        <f>IF(AND($S$2=Menus!$I$7,'Project Info'!$D$16="No"),Calculations!AQ$6,"No")</f>
        <v>No</v>
      </c>
      <c r="AJ4" s="17" t="str">
        <f>IF(AND($S$2=Menus!$I$7,'Project Info'!$D$16="No"),Calculations!AR$6,"No")</f>
        <v>No</v>
      </c>
      <c r="AK4" s="43"/>
      <c r="AL4" s="17"/>
      <c r="AM4" s="17"/>
      <c r="AN4" s="44"/>
      <c r="AO4" s="17"/>
      <c r="AP4" s="17"/>
      <c r="AQ4" s="17"/>
      <c r="AR4" s="17"/>
      <c r="AS4" s="15"/>
      <c r="AT4" s="15"/>
      <c r="AU4" s="15"/>
      <c r="AW4" s="18" t="s">
        <v>59</v>
      </c>
      <c r="AX4" s="18" t="s">
        <v>60</v>
      </c>
      <c r="AY4" s="18" t="s">
        <v>194</v>
      </c>
      <c r="AZ4" s="18" t="s">
        <v>102</v>
      </c>
      <c r="BA4" s="18" t="s">
        <v>103</v>
      </c>
    </row>
    <row r="5" spans="1:53" ht="28.8" thickBot="1">
      <c r="B5" s="62" t="str">
        <f>_xlfn.CONCAT(A1," Summary")</f>
        <v>Energy Use Summary</v>
      </c>
      <c r="C5" s="61"/>
      <c r="D5" s="193" t="str">
        <f>IF(ISBLANK(D3)," ",D3)</f>
        <v>Proposed Design</v>
      </c>
      <c r="E5" s="193" t="str">
        <f t="shared" ref="E5:O5" si="0">IF(ISBLANK(E3)," ",E3)</f>
        <v xml:space="preserve"> </v>
      </c>
      <c r="F5" s="193" t="str">
        <f t="shared" si="0"/>
        <v xml:space="preserve"> </v>
      </c>
      <c r="G5" s="193" t="str">
        <f t="shared" si="0"/>
        <v xml:space="preserve"> </v>
      </c>
      <c r="H5" s="193" t="str">
        <f t="shared" si="0"/>
        <v xml:space="preserve"> </v>
      </c>
      <c r="I5" s="193" t="str">
        <f t="shared" si="0"/>
        <v xml:space="preserve"> </v>
      </c>
      <c r="J5" s="193" t="str">
        <f t="shared" si="0"/>
        <v xml:space="preserve"> </v>
      </c>
      <c r="K5" s="193" t="str">
        <f t="shared" si="0"/>
        <v xml:space="preserve"> </v>
      </c>
      <c r="L5" s="193" t="str">
        <f t="shared" si="0"/>
        <v xml:space="preserve"> </v>
      </c>
      <c r="M5" s="193" t="str">
        <f t="shared" si="0"/>
        <v xml:space="preserve"> </v>
      </c>
      <c r="N5" s="193" t="str">
        <f t="shared" si="0"/>
        <v xml:space="preserve"> </v>
      </c>
      <c r="O5" s="193" t="str">
        <f t="shared" si="0"/>
        <v xml:space="preserve"> </v>
      </c>
      <c r="Q5" s="16"/>
      <c r="R5" s="15"/>
      <c r="S5" s="61" t="str">
        <f>Calculations!A8</f>
        <v>Energy Use (kBtu)</v>
      </c>
      <c r="T5" s="193"/>
      <c r="U5" s="193"/>
      <c r="V5" s="193"/>
      <c r="W5" s="193"/>
      <c r="X5" s="193"/>
      <c r="Y5" s="193"/>
      <c r="Z5" s="193"/>
      <c r="AA5" s="193"/>
      <c r="AB5" s="193"/>
      <c r="AC5" s="193"/>
      <c r="AD5" s="193"/>
      <c r="AE5" s="193"/>
      <c r="AF5" s="193"/>
      <c r="AG5" s="193"/>
      <c r="AH5" s="193"/>
      <c r="AI5" s="193"/>
      <c r="AJ5" s="193"/>
      <c r="AK5" s="193"/>
      <c r="AL5" s="193"/>
      <c r="AM5" s="193"/>
      <c r="AN5" s="193"/>
      <c r="AO5" s="193"/>
      <c r="AP5" s="193"/>
      <c r="AQ5" s="193"/>
      <c r="AR5" s="193"/>
      <c r="AS5" s="193"/>
      <c r="AT5" s="193"/>
      <c r="AU5" s="193"/>
      <c r="AV5" s="193"/>
      <c r="AW5" s="193"/>
      <c r="AX5" s="193"/>
      <c r="AY5" s="193"/>
      <c r="AZ5" s="193"/>
      <c r="BA5" s="193"/>
    </row>
    <row r="6" spans="1:53">
      <c r="B6" s="59" t="s">
        <v>59</v>
      </c>
      <c r="C6" s="172" t="str">
        <f>'Project Info'!$I$6</f>
        <v>kBtu</v>
      </c>
      <c r="D6" s="71">
        <f>IFERROR(INDEX(Calculations!$BL$9:$BQ$21,MATCH(D$5,Calculations!$A$9:$A$21,0),MATCH($B6,Calculations!$BL$5:$BQ$5,0)),0)</f>
        <v>689470.51699999999</v>
      </c>
      <c r="E6" s="71">
        <f>IFERROR(INDEX(Calculations!$BL$9:$BQ$21,MATCH(E$5,Calculations!$A$9:$A$21,0),MATCH($B6,Calculations!$BL$5:$BQ$5,0)),0)</f>
        <v>0</v>
      </c>
      <c r="F6" s="71">
        <f>IFERROR(INDEX(Calculations!$BL$9:$BQ$21,MATCH(F$5,Calculations!$A$9:$A$21,0),MATCH($B6,Calculations!$BL$5:$BQ$5,0)),0)</f>
        <v>0</v>
      </c>
      <c r="G6" s="71">
        <f>IFERROR(INDEX(Calculations!$BL$9:$BQ$21,MATCH(G$5,Calculations!$A$9:$A$21,0),MATCH($B6,Calculations!$BL$5:$BQ$5,0)),0)</f>
        <v>0</v>
      </c>
      <c r="H6" s="71">
        <f>IFERROR(INDEX(Calculations!$BL$9:$BQ$21,MATCH(H$5,Calculations!$A$9:$A$21,0),MATCH($B6,Calculations!$BL$5:$BQ$5,0)),0)</f>
        <v>0</v>
      </c>
      <c r="I6" s="71">
        <f>IFERROR(INDEX(Calculations!$BL$9:$BQ$21,MATCH(I$5,Calculations!$A$9:$A$21,0),MATCH($B6,Calculations!$BL$5:$BQ$5,0)),0)</f>
        <v>0</v>
      </c>
      <c r="J6" s="71">
        <f>IFERROR(INDEX(Calculations!$BL$9:$BQ$21,MATCH(J$5,Calculations!$A$9:$A$21,0),MATCH($B6,Calculations!$BL$5:$BQ$5,0)),0)</f>
        <v>0</v>
      </c>
      <c r="K6" s="71">
        <f>IFERROR(INDEX(Calculations!$BL$9:$BQ$21,MATCH(K$5,Calculations!$A$9:$A$21,0),MATCH($B6,Calculations!$BL$5:$BQ$5,0)),0)</f>
        <v>0</v>
      </c>
      <c r="L6" s="71">
        <f>IFERROR(INDEX(Calculations!$BL$9:$BQ$21,MATCH(L$5,Calculations!$A$9:$A$21,0),MATCH($B6,Calculations!$BL$5:$BQ$5,0)),0)</f>
        <v>0</v>
      </c>
      <c r="M6" s="71">
        <f>IFERROR(INDEX(Calculations!$BL$9:$BQ$21,MATCH(M$5,Calculations!$A$9:$A$21,0),MATCH($B6,Calculations!$BL$5:$BQ$5,0)),0)</f>
        <v>0</v>
      </c>
      <c r="N6" s="71">
        <f>IFERROR(INDEX(Calculations!$BL$9:$BQ$21,MATCH(N$5,Calculations!$A$9:$A$21,0),MATCH($B6,Calculations!$BL$5:$BQ$5,0)),0)</f>
        <v>0</v>
      </c>
      <c r="O6" s="71">
        <f>IFERROR(INDEX(Calculations!$BL$9:$BQ$21,MATCH(O$5,Calculations!$A$9:$A$21,0),MATCH($B6,Calculations!$BL$5:$BQ$5,0)),0)</f>
        <v>0</v>
      </c>
      <c r="Q6" s="12"/>
      <c r="S6" s="20" t="str">
        <f>IF($D$3=0," ",$D$3)</f>
        <v>Proposed Design</v>
      </c>
      <c r="U6" s="91">
        <f>IFERROR(IF(U$4="Yes",0,INDEX(Calculations!AC$9:AC$21,MATCH(SiteE!$S6,Calculations!$A$9:$A$21,0))),0)</f>
        <v>38337.231999999996</v>
      </c>
      <c r="V6" s="91">
        <f>IFERROR(IF(V$4="Yes",0,INDEX(Calculations!AD$9:AD$21,MATCH(SiteE!$S6,Calculations!$A$9:$A$21,0))),0)</f>
        <v>142882.61800000002</v>
      </c>
      <c r="W6" s="91">
        <f>IFERROR(IF(W$4="Yes",0,INDEX(Calculations!AE$9:AE$21,MATCH(SiteE!$S6,Calculations!$A$9:$A$21,0))),0)</f>
        <v>153372.81200000001</v>
      </c>
      <c r="X6" s="91">
        <f>IFERROR(IF(X$4="Yes",0,INDEX(Calculations!AF$9:AF$21,MATCH(SiteE!$S6,Calculations!$A$9:$A$21,0))),0)</f>
        <v>0</v>
      </c>
      <c r="Y6" s="91">
        <f>IFERROR(IF(Y$4="Yes",0,INDEX(Calculations!AG$9:AG$21,MATCH(SiteE!$S6,Calculations!$A$9:$A$21,0))),0)</f>
        <v>180081.948</v>
      </c>
      <c r="Z6" s="91">
        <f>IFERROR(IF(Z$4="Yes",0,INDEX(Calculations!AH$9:AH$21,MATCH(SiteE!$S6,Calculations!$A$9:$A$21,0))),0)</f>
        <v>0</v>
      </c>
      <c r="AA6" s="91">
        <f>IFERROR(IF(AA$4="Yes",0,INDEX(Calculations!AI$9:AI$21,MATCH(SiteE!$S6,Calculations!$A$9:$A$21,0))),0)</f>
        <v>174795.90700000001</v>
      </c>
      <c r="AB6" s="91">
        <f>IFERROR(IF(AB$4="Yes",0,INDEX(Calculations!AJ$9:AJ$21,MATCH(SiteE!$S6,Calculations!$A$9:$A$21,0))),0)</f>
        <v>0</v>
      </c>
      <c r="AC6" s="91">
        <f>IFERROR(IF(AC$4="Yes",0,INDEX(Calculations!AK$9:AK$21,MATCH(SiteE!$S6,Calculations!$A$9:$A$21,0))),0)</f>
        <v>0</v>
      </c>
      <c r="AD6" s="91">
        <f>IFERROR(IF(AD$4="Yes",0,INDEX(Calculations!AL$9:AL$21,MATCH(SiteE!$S6,Calculations!$A$9:$A$21,0))),0)</f>
        <v>0</v>
      </c>
      <c r="AE6" s="91">
        <f>IFERROR(IF(AE$4="Yes",0,INDEX(Calculations!AM$9:AM$21,MATCH(SiteE!$S6,Calculations!$A$9:$A$21,0))),0)</f>
        <v>0</v>
      </c>
      <c r="AF6" s="91">
        <f>IFERROR(IF(AF$4="Yes",0,INDEX(Calculations!AN$9:AN$21,MATCH(SiteE!$S6,Calculations!$A$9:$A$21,0))),0)</f>
        <v>0</v>
      </c>
      <c r="AG6" s="91">
        <f>IFERROR(IF(AG$4="Yes",0,INDEX(Calculations!AO$9:AO$21,MATCH(SiteE!$S6,Calculations!$A$9:$A$21,0))),0)</f>
        <v>0</v>
      </c>
      <c r="AH6" s="91">
        <f>IFERROR(IF(AH$4="Yes",0,INDEX(Calculations!AP$9:AP$21,MATCH(SiteE!$S6,Calculations!$A$9:$A$21,0))),0)</f>
        <v>0</v>
      </c>
      <c r="AI6" s="91">
        <f>IFERROR(IF(AI$4="Yes",0,INDEX(Calculations!AQ$9:AQ$21,MATCH(SiteE!$S6,Calculations!$A$9:$A$21,0))),0)</f>
        <v>0</v>
      </c>
      <c r="AJ6" s="91">
        <f>IFERROR(IF(AJ$4="Yes",0,INDEX(Calculations!AR$9:AR$21,MATCH(SiteE!$S6,Calculations!$A$9:$A$21,0))),0)</f>
        <v>0</v>
      </c>
      <c r="AK6" s="124">
        <f>IFERROR(SUM(U6:AI6)*'Project Info'!$D$28,0)</f>
        <v>0</v>
      </c>
      <c r="AL6" s="91">
        <f>IFERROR(INDEX(Calculations!BC$9:BC$21,MATCH(SiteE!$S6,Calculations!$A$9:$A$21,0))*-1,0)</f>
        <v>0</v>
      </c>
      <c r="AM6" s="91">
        <f>IFERROR(INDEX(Calculations!BD$9:BD$21,MATCH(SiteE!$S6,Calculations!$A$9:$A$21,0))*-1,0)</f>
        <v>0</v>
      </c>
      <c r="AN6" s="123">
        <f ca="1">IFERROR(SUM(OFFSET(Calculations!BE$9,MATCH($S6,Calculations!$A$9:$A$21,0)-1,0,1,4))*-1,0)</f>
        <v>0</v>
      </c>
      <c r="AO6" s="91">
        <f ca="1">SUM(U6:AN6)</f>
        <v>689470.51699999999</v>
      </c>
      <c r="AP6" s="17"/>
      <c r="AQ6" s="4" t="str">
        <f>'Project Info'!D20</f>
        <v>NA</v>
      </c>
      <c r="AS6" s="4" t="e">
        <f>CONCATENATE(AQ6*100,"% LEED Target")</f>
        <v>#VALUE!</v>
      </c>
      <c r="AT6" s="91" t="e">
        <f>Calculations!BQ9*(1-AQ6)</f>
        <v>#VALUE!</v>
      </c>
      <c r="AU6" s="91" t="e">
        <f>AT6</f>
        <v>#VALUE!</v>
      </c>
      <c r="AW6" s="91">
        <f>IFERROR(INDEX(Calculations!BL$9:BL$21,MATCH($S6,Calculations!$A$9:$A$21,0)),0)</f>
        <v>689470.51699999999</v>
      </c>
      <c r="AX6" s="91">
        <f>IFERROR(INDEX(Calculations!BM$9:BM$21,MATCH($S6,Calculations!$A$9:$A$21,0)),0)</f>
        <v>0</v>
      </c>
      <c r="AY6" s="91">
        <f>IFERROR(INDEX(Calculations!BN$9:BN$21,MATCH($S6,Calculations!$A$9:$A$21,0)),0)</f>
        <v>0</v>
      </c>
      <c r="AZ6" s="91">
        <f>IFERROR(INDEX(Calculations!BO$9:BO$21,MATCH($S6,Calculations!$A$9:$A$21,0)),0)</f>
        <v>0</v>
      </c>
      <c r="BA6" s="91">
        <f>IFERROR(INDEX(Calculations!BP$9:BP$21,MATCH($S6,Calculations!$A$9:$A$21,0)),0)</f>
        <v>0</v>
      </c>
    </row>
    <row r="7" spans="1:53">
      <c r="B7" s="59" t="s">
        <v>60</v>
      </c>
      <c r="C7" s="172" t="str">
        <f>'Project Info'!$I$6</f>
        <v>kBtu</v>
      </c>
      <c r="D7" s="71">
        <f>IFERROR(INDEX(Calculations!$BL$9:$BQ$21,MATCH(D$5,Calculations!$A$9:$A$21,0),MATCH($B7,Calculations!$BL$5:$BQ$5,0)),0)</f>
        <v>0</v>
      </c>
      <c r="E7" s="71">
        <f>IFERROR(INDEX(Calculations!$BL$9:$BQ$21,MATCH(E$5,Calculations!$A$9:$A$21,0),MATCH($B7,Calculations!$BL$5:$BQ$5,0)),0)</f>
        <v>0</v>
      </c>
      <c r="F7" s="71">
        <f>IFERROR(INDEX(Calculations!$BL$9:$BQ$21,MATCH(F$5,Calculations!$A$9:$A$21,0),MATCH($B7,Calculations!$BL$5:$BQ$5,0)),0)</f>
        <v>0</v>
      </c>
      <c r="G7" s="71">
        <f>IFERROR(INDEX(Calculations!$BL$9:$BQ$21,MATCH(G$5,Calculations!$A$9:$A$21,0),MATCH($B7,Calculations!$BL$5:$BQ$5,0)),0)</f>
        <v>0</v>
      </c>
      <c r="H7" s="71">
        <f>IFERROR(INDEX(Calculations!$BL$9:$BQ$21,MATCH(H$5,Calculations!$A$9:$A$21,0),MATCH($B7,Calculations!$BL$5:$BQ$5,0)),0)</f>
        <v>0</v>
      </c>
      <c r="I7" s="71">
        <f>IFERROR(INDEX(Calculations!$BL$9:$BQ$21,MATCH(I$5,Calculations!$A$9:$A$21,0),MATCH($B7,Calculations!$BL$5:$BQ$5,0)),0)</f>
        <v>0</v>
      </c>
      <c r="J7" s="71">
        <f>IFERROR(INDEX(Calculations!$BL$9:$BQ$21,MATCH(J$5,Calculations!$A$9:$A$21,0),MATCH($B7,Calculations!$BL$5:$BQ$5,0)),0)</f>
        <v>0</v>
      </c>
      <c r="K7" s="71">
        <f>IFERROR(INDEX(Calculations!$BL$9:$BQ$21,MATCH(K$5,Calculations!$A$9:$A$21,0),MATCH($B7,Calculations!$BL$5:$BQ$5,0)),0)</f>
        <v>0</v>
      </c>
      <c r="L7" s="71">
        <f>IFERROR(INDEX(Calculations!$BL$9:$BQ$21,MATCH(L$5,Calculations!$A$9:$A$21,0),MATCH($B7,Calculations!$BL$5:$BQ$5,0)),0)</f>
        <v>0</v>
      </c>
      <c r="M7" s="71">
        <f>IFERROR(INDEX(Calculations!$BL$9:$BQ$21,MATCH(M$5,Calculations!$A$9:$A$21,0),MATCH($B7,Calculations!$BL$5:$BQ$5,0)),0)</f>
        <v>0</v>
      </c>
      <c r="N7" s="71">
        <f>IFERROR(INDEX(Calculations!$BL$9:$BQ$21,MATCH(N$5,Calculations!$A$9:$A$21,0),MATCH($B7,Calculations!$BL$5:$BQ$5,0)),0)</f>
        <v>0</v>
      </c>
      <c r="O7" s="71">
        <f>IFERROR(INDEX(Calculations!$BL$9:$BQ$21,MATCH(O$5,Calculations!$A$9:$A$21,0),MATCH($B7,Calculations!$BL$5:$BQ$5,0)),0)</f>
        <v>0</v>
      </c>
      <c r="Q7" s="12"/>
      <c r="S7" s="20" t="str">
        <f>IF($E$3=0," ",$E$3)</f>
        <v xml:space="preserve"> </v>
      </c>
      <c r="U7" s="91">
        <f>IFERROR(IF(U$4="Yes",0,INDEX(Calculations!AC$9:AC$21,MATCH(SiteE!$S7,Calculations!$A$9:$A$21,0))),0)</f>
        <v>0</v>
      </c>
      <c r="V7" s="91">
        <f>IFERROR(IF(V$4="Yes",0,INDEX(Calculations!AD$9:AD$21,MATCH(SiteE!$S7,Calculations!$A$9:$A$21,0))),0)</f>
        <v>0</v>
      </c>
      <c r="W7" s="91">
        <f>IFERROR(IF(W$4="Yes",0,INDEX(Calculations!AE$9:AE$21,MATCH(SiteE!$S7,Calculations!$A$9:$A$21,0))),0)</f>
        <v>0</v>
      </c>
      <c r="X7" s="91">
        <f>IFERROR(IF(X$4="Yes",0,INDEX(Calculations!AF$9:AF$21,MATCH(SiteE!$S7,Calculations!$A$9:$A$21,0))),0)</f>
        <v>0</v>
      </c>
      <c r="Y7" s="91">
        <f>IFERROR(IF(Y$4="Yes",0,INDEX(Calculations!AG$9:AG$21,MATCH(SiteE!$S7,Calculations!$A$9:$A$21,0))),0)</f>
        <v>0</v>
      </c>
      <c r="Z7" s="91">
        <f>IFERROR(IF(Z$4="Yes",0,INDEX(Calculations!AH$9:AH$21,MATCH(SiteE!$S7,Calculations!$A$9:$A$21,0))),0)</f>
        <v>0</v>
      </c>
      <c r="AA7" s="91">
        <f>IFERROR(IF(AA$4="Yes",0,INDEX(Calculations!AI$9:AI$21,MATCH(SiteE!$S7,Calculations!$A$9:$A$21,0))),0)</f>
        <v>0</v>
      </c>
      <c r="AB7" s="91">
        <f>IFERROR(IF(AB$4="Yes",0,INDEX(Calculations!AJ$9:AJ$21,MATCH(SiteE!$S7,Calculations!$A$9:$A$21,0))),0)</f>
        <v>0</v>
      </c>
      <c r="AC7" s="91">
        <f>IFERROR(IF(AC$4="Yes",0,INDEX(Calculations!AK$9:AK$21,MATCH(SiteE!$S7,Calculations!$A$9:$A$21,0))),0)</f>
        <v>0</v>
      </c>
      <c r="AD7" s="91">
        <f>IFERROR(IF(AD$4="Yes",0,INDEX(Calculations!AL$9:AL$21,MATCH(SiteE!$S7,Calculations!$A$9:$A$21,0))),0)</f>
        <v>0</v>
      </c>
      <c r="AE7" s="91">
        <f>IFERROR(IF(AE$4="Yes",0,INDEX(Calculations!AM$9:AM$21,MATCH(SiteE!$S7,Calculations!$A$9:$A$21,0))),0)</f>
        <v>0</v>
      </c>
      <c r="AF7" s="91">
        <f>IFERROR(IF(AF$4="Yes",0,INDEX(Calculations!AN$9:AN$21,MATCH(SiteE!$S7,Calculations!$A$9:$A$21,0))),0)</f>
        <v>0</v>
      </c>
      <c r="AG7" s="91">
        <f>IFERROR(IF(AG$4="Yes",0,INDEX(Calculations!AO$9:AO$21,MATCH(SiteE!$S7,Calculations!$A$9:$A$21,0))),0)</f>
        <v>0</v>
      </c>
      <c r="AH7" s="91">
        <f>IFERROR(IF(AH$4="Yes",0,INDEX(Calculations!AP$9:AP$21,MATCH(SiteE!$S7,Calculations!$A$9:$A$21,0))),0)</f>
        <v>0</v>
      </c>
      <c r="AI7" s="91">
        <f>IFERROR(IF(AI$4="Yes",0,INDEX(Calculations!AQ$9:AQ$21,MATCH(SiteE!$S7,Calculations!$A$9:$A$21,0))),0)</f>
        <v>0</v>
      </c>
      <c r="AJ7" s="91">
        <f>IFERROR(IF(AJ$4="Yes",0,INDEX(Calculations!AR$9:AR$21,MATCH(SiteE!$S7,Calculations!$A$9:$A$21,0))),0)</f>
        <v>0</v>
      </c>
      <c r="AK7" s="124">
        <f>IFERROR(SUM(U7:AI7)*'Project Info'!$D$28,0)</f>
        <v>0</v>
      </c>
      <c r="AL7" s="91">
        <f>IFERROR(INDEX(Calculations!BC$9:BC$21,MATCH(SiteE!$S7,Calculations!$A$9:$A$21,0))*-1,0)</f>
        <v>0</v>
      </c>
      <c r="AM7" s="91">
        <f>IFERROR(INDEX(Calculations!BD$9:BD$21,MATCH(SiteE!$S7,Calculations!$A$9:$A$21,0))*-1,0)</f>
        <v>0</v>
      </c>
      <c r="AN7" s="123">
        <f ca="1">IFERROR(SUM(OFFSET(Calculations!BE$9,MATCH($S7,Calculations!$A$9:$A$21,0)-1,0,1,4))*-1,0)</f>
        <v>0</v>
      </c>
      <c r="AO7" s="91">
        <f t="shared" ref="AO7:AO17" ca="1" si="1">SUM(U7:AN7)</f>
        <v>0</v>
      </c>
      <c r="AP7" s="17"/>
      <c r="AQ7" s="4" t="str">
        <f>'Project Info'!E20</f>
        <v>NA</v>
      </c>
      <c r="AS7" s="4" t="e">
        <f>CONCATENATE(AQ7*100,"% Code Target")</f>
        <v>#VALUE!</v>
      </c>
      <c r="AT7" s="91" t="e">
        <f>Calculations!BQ10*(1-AQ7)</f>
        <v>#VALUE!</v>
      </c>
      <c r="AU7" s="91" t="e">
        <f>AT7</f>
        <v>#VALUE!</v>
      </c>
      <c r="AW7" s="91">
        <f>IFERROR(INDEX(Calculations!BL$9:BL$21,MATCH($S7,Calculations!$A$9:$A$21,0)),0)</f>
        <v>0</v>
      </c>
      <c r="AX7" s="91">
        <f>IFERROR(INDEX(Calculations!BM$9:BM$21,MATCH($S7,Calculations!$A$9:$A$21,0)),0)</f>
        <v>0</v>
      </c>
      <c r="AY7" s="91">
        <f>IFERROR(INDEX(Calculations!BN$9:BN$21,MATCH($S7,Calculations!$A$9:$A$21,0)),0)</f>
        <v>0</v>
      </c>
      <c r="AZ7" s="91">
        <f>IFERROR(INDEX(Calculations!BO$9:BO$21,MATCH($S7,Calculations!$A$9:$A$21,0)),0)</f>
        <v>0</v>
      </c>
      <c r="BA7" s="91">
        <f>IFERROR(INDEX(Calculations!BP$9:BP$21,MATCH($S7,Calculations!$A$9:$A$21,0)),0)</f>
        <v>0</v>
      </c>
    </row>
    <row r="8" spans="1:53">
      <c r="B8" s="59" t="s">
        <v>194</v>
      </c>
      <c r="C8" s="172" t="str">
        <f>'Project Info'!$I$6</f>
        <v>kBtu</v>
      </c>
      <c r="D8" s="71">
        <f>IFERROR(INDEX(Calculations!$BL$9:$BQ$21,MATCH(D$5,Calculations!$A$9:$A$21,0),MATCH($B8,Calculations!$BL$5:$BQ$5,0)),0)</f>
        <v>0</v>
      </c>
      <c r="E8" s="71">
        <f>IFERROR(INDEX(Calculations!$BL$9:$BQ$21,MATCH(E$5,Calculations!$A$9:$A$21,0),MATCH($B8,Calculations!$BL$5:$BQ$5,0)),0)</f>
        <v>0</v>
      </c>
      <c r="F8" s="71">
        <f>IFERROR(INDEX(Calculations!$BL$9:$BQ$21,MATCH(F$5,Calculations!$A$9:$A$21,0),MATCH($B8,Calculations!$BL$5:$BQ$5,0)),0)</f>
        <v>0</v>
      </c>
      <c r="G8" s="71">
        <f>IFERROR(INDEX(Calculations!$BL$9:$BQ$21,MATCH(G$5,Calculations!$A$9:$A$21,0),MATCH($B8,Calculations!$BL$5:$BQ$5,0)),0)</f>
        <v>0</v>
      </c>
      <c r="H8" s="71">
        <f>IFERROR(INDEX(Calculations!$BL$9:$BQ$21,MATCH(H$5,Calculations!$A$9:$A$21,0),MATCH($B8,Calculations!$BL$5:$BQ$5,0)),0)</f>
        <v>0</v>
      </c>
      <c r="I8" s="71">
        <f>IFERROR(INDEX(Calculations!$BL$9:$BQ$21,MATCH(I$5,Calculations!$A$9:$A$21,0),MATCH($B8,Calculations!$BL$5:$BQ$5,0)),0)</f>
        <v>0</v>
      </c>
      <c r="J8" s="71">
        <f>IFERROR(INDEX(Calculations!$BL$9:$BQ$21,MATCH(J$5,Calculations!$A$9:$A$21,0),MATCH($B8,Calculations!$BL$5:$BQ$5,0)),0)</f>
        <v>0</v>
      </c>
      <c r="K8" s="71">
        <f>IFERROR(INDEX(Calculations!$BL$9:$BQ$21,MATCH(K$5,Calculations!$A$9:$A$21,0),MATCH($B8,Calculations!$BL$5:$BQ$5,0)),0)</f>
        <v>0</v>
      </c>
      <c r="L8" s="71">
        <f>IFERROR(INDEX(Calculations!$BL$9:$BQ$21,MATCH(L$5,Calculations!$A$9:$A$21,0),MATCH($B8,Calculations!$BL$5:$BQ$5,0)),0)</f>
        <v>0</v>
      </c>
      <c r="M8" s="71">
        <f>IFERROR(INDEX(Calculations!$BL$9:$BQ$21,MATCH(M$5,Calculations!$A$9:$A$21,0),MATCH($B8,Calculations!$BL$5:$BQ$5,0)),0)</f>
        <v>0</v>
      </c>
      <c r="N8" s="71">
        <f>IFERROR(INDEX(Calculations!$BL$9:$BQ$21,MATCH(N$5,Calculations!$A$9:$A$21,0),MATCH($B8,Calculations!$BL$5:$BQ$5,0)),0)</f>
        <v>0</v>
      </c>
      <c r="O8" s="71">
        <f>IFERROR(INDEX(Calculations!$BL$9:$BQ$21,MATCH(O$5,Calculations!$A$9:$A$21,0),MATCH($B8,Calculations!$BL$5:$BQ$5,0)),0)</f>
        <v>0</v>
      </c>
      <c r="Q8" s="12"/>
      <c r="S8" s="20" t="str">
        <f>IF($F$3=0," ",$F$3)</f>
        <v xml:space="preserve"> </v>
      </c>
      <c r="U8" s="91">
        <f>IFERROR(IF(U$4="Yes",0,INDEX(Calculations!AC$9:AC$21,MATCH(SiteE!$S8,Calculations!$A$9:$A$21,0))),0)</f>
        <v>0</v>
      </c>
      <c r="V8" s="91">
        <f>IFERROR(IF(V$4="Yes",0,INDEX(Calculations!AD$9:AD$21,MATCH(SiteE!$S8,Calculations!$A$9:$A$21,0))),0)</f>
        <v>0</v>
      </c>
      <c r="W8" s="91">
        <f>IFERROR(IF(W$4="Yes",0,INDEX(Calculations!AE$9:AE$21,MATCH(SiteE!$S8,Calculations!$A$9:$A$21,0))),0)</f>
        <v>0</v>
      </c>
      <c r="X8" s="91">
        <f>IFERROR(IF(X$4="Yes",0,INDEX(Calculations!AF$9:AF$21,MATCH(SiteE!$S8,Calculations!$A$9:$A$21,0))),0)</f>
        <v>0</v>
      </c>
      <c r="Y8" s="91">
        <f>IFERROR(IF(Y$4="Yes",0,INDEX(Calculations!AG$9:AG$21,MATCH(SiteE!$S8,Calculations!$A$9:$A$21,0))),0)</f>
        <v>0</v>
      </c>
      <c r="Z8" s="91">
        <f>IFERROR(IF(Z$4="Yes",0,INDEX(Calculations!AH$9:AH$21,MATCH(SiteE!$S8,Calculations!$A$9:$A$21,0))),0)</f>
        <v>0</v>
      </c>
      <c r="AA8" s="91">
        <f>IFERROR(IF(AA$4="Yes",0,INDEX(Calculations!AI$9:AI$21,MATCH(SiteE!$S8,Calculations!$A$9:$A$21,0))),0)</f>
        <v>0</v>
      </c>
      <c r="AB8" s="91">
        <f>IFERROR(IF(AB$4="Yes",0,INDEX(Calculations!AJ$9:AJ$21,MATCH(SiteE!$S8,Calculations!$A$9:$A$21,0))),0)</f>
        <v>0</v>
      </c>
      <c r="AC8" s="91">
        <f>IFERROR(IF(AC$4="Yes",0,INDEX(Calculations!AK$9:AK$21,MATCH(SiteE!$S8,Calculations!$A$9:$A$21,0))),0)</f>
        <v>0</v>
      </c>
      <c r="AD8" s="91">
        <f>IFERROR(IF(AD$4="Yes",0,INDEX(Calculations!AL$9:AL$21,MATCH(SiteE!$S8,Calculations!$A$9:$A$21,0))),0)</f>
        <v>0</v>
      </c>
      <c r="AE8" s="91">
        <f>IFERROR(IF(AE$4="Yes",0,INDEX(Calculations!AM$9:AM$21,MATCH(SiteE!$S8,Calculations!$A$9:$A$21,0))),0)</f>
        <v>0</v>
      </c>
      <c r="AF8" s="91">
        <f>IFERROR(IF(AF$4="Yes",0,INDEX(Calculations!AN$9:AN$21,MATCH(SiteE!$S8,Calculations!$A$9:$A$21,0))),0)</f>
        <v>0</v>
      </c>
      <c r="AG8" s="91">
        <f>IFERROR(IF(AG$4="Yes",0,INDEX(Calculations!AO$9:AO$21,MATCH(SiteE!$S8,Calculations!$A$9:$A$21,0))),0)</f>
        <v>0</v>
      </c>
      <c r="AH8" s="91">
        <f>IFERROR(IF(AH$4="Yes",0,INDEX(Calculations!AP$9:AP$21,MATCH(SiteE!$S8,Calculations!$A$9:$A$21,0))),0)</f>
        <v>0</v>
      </c>
      <c r="AI8" s="91">
        <f>IFERROR(IF(AI$4="Yes",0,INDEX(Calculations!AQ$9:AQ$21,MATCH(SiteE!$S8,Calculations!$A$9:$A$21,0))),0)</f>
        <v>0</v>
      </c>
      <c r="AJ8" s="91">
        <f>IFERROR(IF(AJ$4="Yes",0,INDEX(Calculations!AR$9:AR$21,MATCH(SiteE!$S8,Calculations!$A$9:$A$21,0))),0)</f>
        <v>0</v>
      </c>
      <c r="AK8" s="124">
        <f>IFERROR(SUM(U8:AI8)*'Project Info'!$D$28,0)</f>
        <v>0</v>
      </c>
      <c r="AL8" s="91">
        <f>IFERROR(INDEX(Calculations!BC$9:BC$21,MATCH(SiteE!$S8,Calculations!$A$9:$A$21,0))*-1,0)</f>
        <v>0</v>
      </c>
      <c r="AM8" s="91">
        <f>IFERROR(INDEX(Calculations!BD$9:BD$21,MATCH(SiteE!$S8,Calculations!$A$9:$A$21,0))*-1,0)</f>
        <v>0</v>
      </c>
      <c r="AN8" s="123">
        <f ca="1">IFERROR(SUM(OFFSET(Calculations!BE$9,MATCH($S8,Calculations!$A$9:$A$21,0)-1,0,1,4))*-1,0)</f>
        <v>0</v>
      </c>
      <c r="AO8" s="91">
        <f t="shared" ca="1" si="1"/>
        <v>0</v>
      </c>
      <c r="AP8" s="17"/>
      <c r="AQ8" s="4"/>
      <c r="AW8" s="91">
        <f>IFERROR(INDEX(Calculations!BL$9:BL$21,MATCH($S8,Calculations!$A$9:$A$21,0)),0)</f>
        <v>0</v>
      </c>
      <c r="AX8" s="91">
        <f>IFERROR(INDEX(Calculations!BM$9:BM$21,MATCH($S8,Calculations!$A$9:$A$21,0)),0)</f>
        <v>0</v>
      </c>
      <c r="AY8" s="91">
        <f>IFERROR(INDEX(Calculations!BN$9:BN$21,MATCH($S8,Calculations!$A$9:$A$21,0)),0)</f>
        <v>0</v>
      </c>
      <c r="AZ8" s="91">
        <f>IFERROR(INDEX(Calculations!BO$9:BO$21,MATCH($S8,Calculations!$A$9:$A$21,0)),0)</f>
        <v>0</v>
      </c>
      <c r="BA8" s="91">
        <f>IFERROR(INDEX(Calculations!BP$9:BP$21,MATCH($S8,Calculations!$A$9:$A$21,0)),0)</f>
        <v>0</v>
      </c>
    </row>
    <row r="9" spans="1:53">
      <c r="B9" s="59" t="s">
        <v>102</v>
      </c>
      <c r="C9" s="172" t="str">
        <f>'Project Info'!$I$6</f>
        <v>kBtu</v>
      </c>
      <c r="D9" s="71">
        <f>IFERROR(INDEX(Calculations!$BL$9:$BQ$21,MATCH(D$5,Calculations!$A$9:$A$21,0),MATCH($B9,Calculations!$BL$5:$BQ$5,0)),0)</f>
        <v>0</v>
      </c>
      <c r="E9" s="71">
        <f>IFERROR(INDEX(Calculations!$BL$9:$BQ$21,MATCH(E$5,Calculations!$A$9:$A$21,0),MATCH($B9,Calculations!$BL$5:$BQ$5,0)),0)</f>
        <v>0</v>
      </c>
      <c r="F9" s="71">
        <f>IFERROR(INDEX(Calculations!$BL$9:$BQ$21,MATCH(F$5,Calculations!$A$9:$A$21,0),MATCH($B9,Calculations!$BL$5:$BQ$5,0)),0)</f>
        <v>0</v>
      </c>
      <c r="G9" s="71">
        <f>IFERROR(INDEX(Calculations!$BL$9:$BQ$21,MATCH(G$5,Calculations!$A$9:$A$21,0),MATCH($B9,Calculations!$BL$5:$BQ$5,0)),0)</f>
        <v>0</v>
      </c>
      <c r="H9" s="71">
        <f>IFERROR(INDEX(Calculations!$BL$9:$BQ$21,MATCH(H$5,Calculations!$A$9:$A$21,0),MATCH($B9,Calculations!$BL$5:$BQ$5,0)),0)</f>
        <v>0</v>
      </c>
      <c r="I9" s="71">
        <f>IFERROR(INDEX(Calculations!$BL$9:$BQ$21,MATCH(I$5,Calculations!$A$9:$A$21,0),MATCH($B9,Calculations!$BL$5:$BQ$5,0)),0)</f>
        <v>0</v>
      </c>
      <c r="J9" s="71">
        <f>IFERROR(INDEX(Calculations!$BL$9:$BQ$21,MATCH(J$5,Calculations!$A$9:$A$21,0),MATCH($B9,Calculations!$BL$5:$BQ$5,0)),0)</f>
        <v>0</v>
      </c>
      <c r="K9" s="71">
        <f>IFERROR(INDEX(Calculations!$BL$9:$BQ$21,MATCH(K$5,Calculations!$A$9:$A$21,0),MATCH($B9,Calculations!$BL$5:$BQ$5,0)),0)</f>
        <v>0</v>
      </c>
      <c r="L9" s="71">
        <f>IFERROR(INDEX(Calculations!$BL$9:$BQ$21,MATCH(L$5,Calculations!$A$9:$A$21,0),MATCH($B9,Calculations!$BL$5:$BQ$5,0)),0)</f>
        <v>0</v>
      </c>
      <c r="M9" s="71">
        <f>IFERROR(INDEX(Calculations!$BL$9:$BQ$21,MATCH(M$5,Calculations!$A$9:$A$21,0),MATCH($B9,Calculations!$BL$5:$BQ$5,0)),0)</f>
        <v>0</v>
      </c>
      <c r="N9" s="71">
        <f>IFERROR(INDEX(Calculations!$BL$9:$BQ$21,MATCH(N$5,Calculations!$A$9:$A$21,0),MATCH($B9,Calculations!$BL$5:$BQ$5,0)),0)</f>
        <v>0</v>
      </c>
      <c r="O9" s="71">
        <f>IFERROR(INDEX(Calculations!$BL$9:$BQ$21,MATCH(O$5,Calculations!$A$9:$A$21,0),MATCH($B9,Calculations!$BL$5:$BQ$5,0)),0)</f>
        <v>0</v>
      </c>
      <c r="Q9" s="12"/>
      <c r="S9" s="20" t="str">
        <f>IF($G$3=0," ",$G$3)</f>
        <v xml:space="preserve"> </v>
      </c>
      <c r="U9" s="91">
        <f>IFERROR(IF(U$4="Yes",0,INDEX(Calculations!AC$9:AC$21,MATCH(SiteE!$S9,Calculations!$A$9:$A$21,0))),0)</f>
        <v>0</v>
      </c>
      <c r="V9" s="91">
        <f>IFERROR(IF(V$4="Yes",0,INDEX(Calculations!AD$9:AD$21,MATCH(SiteE!$S9,Calculations!$A$9:$A$21,0))),0)</f>
        <v>0</v>
      </c>
      <c r="W9" s="91">
        <f>IFERROR(IF(W$4="Yes",0,INDEX(Calculations!AE$9:AE$21,MATCH(SiteE!$S9,Calculations!$A$9:$A$21,0))),0)</f>
        <v>0</v>
      </c>
      <c r="X9" s="91">
        <f>IFERROR(IF(X$4="Yes",0,INDEX(Calculations!AF$9:AF$21,MATCH(SiteE!$S9,Calculations!$A$9:$A$21,0))),0)</f>
        <v>0</v>
      </c>
      <c r="Y9" s="91">
        <f>IFERROR(IF(Y$4="Yes",0,INDEX(Calculations!AG$9:AG$21,MATCH(SiteE!$S9,Calculations!$A$9:$A$21,0))),0)</f>
        <v>0</v>
      </c>
      <c r="Z9" s="91">
        <f>IFERROR(IF(Z$4="Yes",0,INDEX(Calculations!AH$9:AH$21,MATCH(SiteE!$S9,Calculations!$A$9:$A$21,0))),0)</f>
        <v>0</v>
      </c>
      <c r="AA9" s="91">
        <f>IFERROR(IF(AA$4="Yes",0,INDEX(Calculations!AI$9:AI$21,MATCH(SiteE!$S9,Calculations!$A$9:$A$21,0))),0)</f>
        <v>0</v>
      </c>
      <c r="AB9" s="91">
        <f>IFERROR(IF(AB$4="Yes",0,INDEX(Calculations!AJ$9:AJ$21,MATCH(SiteE!$S9,Calculations!$A$9:$A$21,0))),0)</f>
        <v>0</v>
      </c>
      <c r="AC9" s="91">
        <f>IFERROR(IF(AC$4="Yes",0,INDEX(Calculations!AK$9:AK$21,MATCH(SiteE!$S9,Calculations!$A$9:$A$21,0))),0)</f>
        <v>0</v>
      </c>
      <c r="AD9" s="91">
        <f>IFERROR(IF(AD$4="Yes",0,INDEX(Calculations!AL$9:AL$21,MATCH(SiteE!$S9,Calculations!$A$9:$A$21,0))),0)</f>
        <v>0</v>
      </c>
      <c r="AE9" s="91">
        <f>IFERROR(IF(AE$4="Yes",0,INDEX(Calculations!AM$9:AM$21,MATCH(SiteE!$S9,Calculations!$A$9:$A$21,0))),0)</f>
        <v>0</v>
      </c>
      <c r="AF9" s="91">
        <f>IFERROR(IF(AF$4="Yes",0,INDEX(Calculations!AN$9:AN$21,MATCH(SiteE!$S9,Calculations!$A$9:$A$21,0))),0)</f>
        <v>0</v>
      </c>
      <c r="AG9" s="91">
        <f>IFERROR(IF(AG$4="Yes",0,INDEX(Calculations!AO$9:AO$21,MATCH(SiteE!$S9,Calculations!$A$9:$A$21,0))),0)</f>
        <v>0</v>
      </c>
      <c r="AH9" s="91">
        <f>IFERROR(IF(AH$4="Yes",0,INDEX(Calculations!AP$9:AP$21,MATCH(SiteE!$S9,Calculations!$A$9:$A$21,0))),0)</f>
        <v>0</v>
      </c>
      <c r="AI9" s="91">
        <f>IFERROR(IF(AI$4="Yes",0,INDEX(Calculations!AQ$9:AQ$21,MATCH(SiteE!$S9,Calculations!$A$9:$A$21,0))),0)</f>
        <v>0</v>
      </c>
      <c r="AJ9" s="91">
        <f>IFERROR(IF(AJ$4="Yes",0,INDEX(Calculations!AR$9:AR$21,MATCH(SiteE!$S9,Calculations!$A$9:$A$21,0))),0)</f>
        <v>0</v>
      </c>
      <c r="AK9" s="124">
        <f>IFERROR(SUM(U9:AI9)*'Project Info'!$D$28,0)</f>
        <v>0</v>
      </c>
      <c r="AL9" s="91">
        <f>IFERROR(INDEX(Calculations!BC$9:BC$21,MATCH(SiteE!$S9,Calculations!$A$9:$A$21,0))*-1,0)</f>
        <v>0</v>
      </c>
      <c r="AM9" s="91">
        <f>IFERROR(INDEX(Calculations!BD$9:BD$21,MATCH(SiteE!$S9,Calculations!$A$9:$A$21,0))*-1,0)</f>
        <v>0</v>
      </c>
      <c r="AN9" s="123">
        <f ca="1">IFERROR(SUM(OFFSET(Calculations!BE$9,MATCH($S9,Calculations!$A$9:$A$21,0)-1,0,1,4))*-1,0)</f>
        <v>0</v>
      </c>
      <c r="AO9" s="91">
        <f t="shared" ca="1" si="1"/>
        <v>0</v>
      </c>
      <c r="AP9" s="17"/>
      <c r="AQ9" s="4"/>
      <c r="AW9" s="91">
        <f>IFERROR(INDEX(Calculations!BL$9:BL$21,MATCH($S9,Calculations!$A$9:$A$21,0)),0)</f>
        <v>0</v>
      </c>
      <c r="AX9" s="91">
        <f>IFERROR(INDEX(Calculations!BM$9:BM$21,MATCH($S9,Calculations!$A$9:$A$21,0)),0)</f>
        <v>0</v>
      </c>
      <c r="AY9" s="91">
        <f>IFERROR(INDEX(Calculations!BN$9:BN$21,MATCH($S9,Calculations!$A$9:$A$21,0)),0)</f>
        <v>0</v>
      </c>
      <c r="AZ9" s="91">
        <f>IFERROR(INDEX(Calculations!BO$9:BO$21,MATCH($S9,Calculations!$A$9:$A$21,0)),0)</f>
        <v>0</v>
      </c>
      <c r="BA9" s="91">
        <f>IFERROR(INDEX(Calculations!BP$9:BP$21,MATCH($S9,Calculations!$A$9:$A$21,0)),0)</f>
        <v>0</v>
      </c>
    </row>
    <row r="10" spans="1:53">
      <c r="B10" s="59" t="s">
        <v>103</v>
      </c>
      <c r="C10" s="172" t="str">
        <f>'Project Info'!$I$6</f>
        <v>kBtu</v>
      </c>
      <c r="D10" s="71">
        <f>IFERROR(INDEX(Calculations!$BL$9:$BQ$21,MATCH(D$5,Calculations!$A$9:$A$21,0),MATCH($B10,Calculations!$BL$5:$BQ$5,0)),0)</f>
        <v>0</v>
      </c>
      <c r="E10" s="71">
        <f>IFERROR(INDEX(Calculations!$BL$9:$BQ$21,MATCH(E$5,Calculations!$A$9:$A$21,0),MATCH($B10,Calculations!$BL$5:$BQ$5,0)),0)</f>
        <v>0</v>
      </c>
      <c r="F10" s="71">
        <f>IFERROR(INDEX(Calculations!$BL$9:$BQ$21,MATCH(F$5,Calculations!$A$9:$A$21,0),MATCH($B10,Calculations!$BL$5:$BQ$5,0)),0)</f>
        <v>0</v>
      </c>
      <c r="G10" s="71">
        <f>IFERROR(INDEX(Calculations!$BL$9:$BQ$21,MATCH(G$5,Calculations!$A$9:$A$21,0),MATCH($B10,Calculations!$BL$5:$BQ$5,0)),0)</f>
        <v>0</v>
      </c>
      <c r="H10" s="71">
        <f>IFERROR(INDEX(Calculations!$BL$9:$BQ$21,MATCH(H$5,Calculations!$A$9:$A$21,0),MATCH($B10,Calculations!$BL$5:$BQ$5,0)),0)</f>
        <v>0</v>
      </c>
      <c r="I10" s="71">
        <f>IFERROR(INDEX(Calculations!$BL$9:$BQ$21,MATCH(I$5,Calculations!$A$9:$A$21,0),MATCH($B10,Calculations!$BL$5:$BQ$5,0)),0)</f>
        <v>0</v>
      </c>
      <c r="J10" s="71">
        <f>IFERROR(INDEX(Calculations!$BL$9:$BQ$21,MATCH(J$5,Calculations!$A$9:$A$21,0),MATCH($B10,Calculations!$BL$5:$BQ$5,0)),0)</f>
        <v>0</v>
      </c>
      <c r="K10" s="71">
        <f>IFERROR(INDEX(Calculations!$BL$9:$BQ$21,MATCH(K$5,Calculations!$A$9:$A$21,0),MATCH($B10,Calculations!$BL$5:$BQ$5,0)),0)</f>
        <v>0</v>
      </c>
      <c r="L10" s="71">
        <f>IFERROR(INDEX(Calculations!$BL$9:$BQ$21,MATCH(L$5,Calculations!$A$9:$A$21,0),MATCH($B10,Calculations!$BL$5:$BQ$5,0)),0)</f>
        <v>0</v>
      </c>
      <c r="M10" s="71">
        <f>IFERROR(INDEX(Calculations!$BL$9:$BQ$21,MATCH(M$5,Calculations!$A$9:$A$21,0),MATCH($B10,Calculations!$BL$5:$BQ$5,0)),0)</f>
        <v>0</v>
      </c>
      <c r="N10" s="71">
        <f>IFERROR(INDEX(Calculations!$BL$9:$BQ$21,MATCH(N$5,Calculations!$A$9:$A$21,0),MATCH($B10,Calculations!$BL$5:$BQ$5,0)),0)</f>
        <v>0</v>
      </c>
      <c r="O10" s="71">
        <f>IFERROR(INDEX(Calculations!$BL$9:$BQ$21,MATCH(O$5,Calculations!$A$9:$A$21,0),MATCH($B10,Calculations!$BL$5:$BQ$5,0)),0)</f>
        <v>0</v>
      </c>
      <c r="Q10" s="12"/>
      <c r="S10" s="20" t="str">
        <f>IF($H$3=0," ",$H$3)</f>
        <v xml:space="preserve"> </v>
      </c>
      <c r="U10" s="91">
        <f>IFERROR(IF(U$4="Yes",0,INDEX(Calculations!AC$9:AC$21,MATCH(SiteE!$S10,Calculations!$A$9:$A$21,0))),0)</f>
        <v>0</v>
      </c>
      <c r="V10" s="91">
        <f>IFERROR(IF(V$4="Yes",0,INDEX(Calculations!AD$9:AD$21,MATCH(SiteE!$S10,Calculations!$A$9:$A$21,0))),0)</f>
        <v>0</v>
      </c>
      <c r="W10" s="91">
        <f>IFERROR(IF(W$4="Yes",0,INDEX(Calculations!AE$9:AE$21,MATCH(SiteE!$S10,Calculations!$A$9:$A$21,0))),0)</f>
        <v>0</v>
      </c>
      <c r="X10" s="91">
        <f>IFERROR(IF(X$4="Yes",0,INDEX(Calculations!AF$9:AF$21,MATCH(SiteE!$S10,Calculations!$A$9:$A$21,0))),0)</f>
        <v>0</v>
      </c>
      <c r="Y10" s="91">
        <f>IFERROR(IF(Y$4="Yes",0,INDEX(Calculations!AG$9:AG$21,MATCH(SiteE!$S10,Calculations!$A$9:$A$21,0))),0)</f>
        <v>0</v>
      </c>
      <c r="Z10" s="91">
        <f>IFERROR(IF(Z$4="Yes",0,INDEX(Calculations!AH$9:AH$21,MATCH(SiteE!$S10,Calculations!$A$9:$A$21,0))),0)</f>
        <v>0</v>
      </c>
      <c r="AA10" s="91">
        <f>IFERROR(IF(AA$4="Yes",0,INDEX(Calculations!AI$9:AI$21,MATCH(SiteE!$S10,Calculations!$A$9:$A$21,0))),0)</f>
        <v>0</v>
      </c>
      <c r="AB10" s="91">
        <f>IFERROR(IF(AB$4="Yes",0,INDEX(Calculations!AJ$9:AJ$21,MATCH(SiteE!$S10,Calculations!$A$9:$A$21,0))),0)</f>
        <v>0</v>
      </c>
      <c r="AC10" s="91">
        <f>IFERROR(IF(AC$4="Yes",0,INDEX(Calculations!AK$9:AK$21,MATCH(SiteE!$S10,Calculations!$A$9:$A$21,0))),0)</f>
        <v>0</v>
      </c>
      <c r="AD10" s="91">
        <f>IFERROR(IF(AD$4="Yes",0,INDEX(Calculations!AL$9:AL$21,MATCH(SiteE!$S10,Calculations!$A$9:$A$21,0))),0)</f>
        <v>0</v>
      </c>
      <c r="AE10" s="91">
        <f>IFERROR(IF(AE$4="Yes",0,INDEX(Calculations!AM$9:AM$21,MATCH(SiteE!$S10,Calculations!$A$9:$A$21,0))),0)</f>
        <v>0</v>
      </c>
      <c r="AF10" s="91">
        <f>IFERROR(IF(AF$4="Yes",0,INDEX(Calculations!AN$9:AN$21,MATCH(SiteE!$S10,Calculations!$A$9:$A$21,0))),0)</f>
        <v>0</v>
      </c>
      <c r="AG10" s="91">
        <f>IFERROR(IF(AG$4="Yes",0,INDEX(Calculations!AO$9:AO$21,MATCH(SiteE!$S10,Calculations!$A$9:$A$21,0))),0)</f>
        <v>0</v>
      </c>
      <c r="AH10" s="91">
        <f>IFERROR(IF(AH$4="Yes",0,INDEX(Calculations!AP$9:AP$21,MATCH(SiteE!$S10,Calculations!$A$9:$A$21,0))),0)</f>
        <v>0</v>
      </c>
      <c r="AI10" s="91">
        <f>IFERROR(IF(AI$4="Yes",0,INDEX(Calculations!AQ$9:AQ$21,MATCH(SiteE!$S10,Calculations!$A$9:$A$21,0))),0)</f>
        <v>0</v>
      </c>
      <c r="AJ10" s="91">
        <f>IFERROR(IF(AJ$4="Yes",0,INDEX(Calculations!AR$9:AR$21,MATCH(SiteE!$S10,Calculations!$A$9:$A$21,0))),0)</f>
        <v>0</v>
      </c>
      <c r="AK10" s="124">
        <f>IFERROR(SUM(U10:AI10)*'Project Info'!$D$28,0)</f>
        <v>0</v>
      </c>
      <c r="AL10" s="91">
        <f>IFERROR(INDEX(Calculations!BC$9:BC$21,MATCH(SiteE!$S10,Calculations!$A$9:$A$21,0))*-1,0)</f>
        <v>0</v>
      </c>
      <c r="AM10" s="91">
        <f>IFERROR(INDEX(Calculations!BD$9:BD$21,MATCH(SiteE!$S10,Calculations!$A$9:$A$21,0))*-1,0)</f>
        <v>0</v>
      </c>
      <c r="AN10" s="123">
        <f ca="1">IFERROR(SUM(OFFSET(Calculations!BE$9,MATCH($S10,Calculations!$A$9:$A$21,0)-1,0,1,4))*-1,0)</f>
        <v>0</v>
      </c>
      <c r="AO10" s="91">
        <f t="shared" ca="1" si="1"/>
        <v>0</v>
      </c>
      <c r="AP10" s="17"/>
      <c r="AQ10" s="4"/>
      <c r="AW10" s="91">
        <f>IFERROR(INDEX(Calculations!BL$9:BL$21,MATCH($S10,Calculations!$A$9:$A$21,0)),0)</f>
        <v>0</v>
      </c>
      <c r="AX10" s="91">
        <f>IFERROR(INDEX(Calculations!BM$9:BM$21,MATCH($S10,Calculations!$A$9:$A$21,0)),0)</f>
        <v>0</v>
      </c>
      <c r="AY10" s="91">
        <f>IFERROR(INDEX(Calculations!BN$9:BN$21,MATCH($S10,Calculations!$A$9:$A$21,0)),0)</f>
        <v>0</v>
      </c>
      <c r="AZ10" s="91">
        <f>IFERROR(INDEX(Calculations!BO$9:BO$21,MATCH($S10,Calculations!$A$9:$A$21,0)),0)</f>
        <v>0</v>
      </c>
      <c r="BA10" s="91">
        <f>IFERROR(INDEX(Calculations!BP$9:BP$21,MATCH($S10,Calculations!$A$9:$A$21,0)),0)</f>
        <v>0</v>
      </c>
    </row>
    <row r="11" spans="1:53">
      <c r="B11" s="60" t="s">
        <v>174</v>
      </c>
      <c r="C11" s="172" t="str">
        <f>'Project Info'!$I$6</f>
        <v>kBtu</v>
      </c>
      <c r="D11" s="71">
        <f t="shared" ref="D11:O11" si="2">SUM(D6:D10)</f>
        <v>689470.51699999999</v>
      </c>
      <c r="E11" s="71">
        <f t="shared" si="2"/>
        <v>0</v>
      </c>
      <c r="F11" s="71">
        <f t="shared" si="2"/>
        <v>0</v>
      </c>
      <c r="G11" s="71">
        <f t="shared" si="2"/>
        <v>0</v>
      </c>
      <c r="H11" s="71">
        <f t="shared" si="2"/>
        <v>0</v>
      </c>
      <c r="I11" s="71">
        <f t="shared" si="2"/>
        <v>0</v>
      </c>
      <c r="J11" s="71">
        <f t="shared" si="2"/>
        <v>0</v>
      </c>
      <c r="K11" s="71">
        <f t="shared" si="2"/>
        <v>0</v>
      </c>
      <c r="L11" s="71">
        <f t="shared" si="2"/>
        <v>0</v>
      </c>
      <c r="M11" s="71">
        <f t="shared" si="2"/>
        <v>0</v>
      </c>
      <c r="N11" s="71">
        <f t="shared" si="2"/>
        <v>0</v>
      </c>
      <c r="O11" s="71">
        <f t="shared" si="2"/>
        <v>0</v>
      </c>
      <c r="Q11" s="12"/>
      <c r="S11" s="20"/>
      <c r="U11" s="91">
        <f>IFERROR(IF(U$4="Yes",0,INDEX(Calculations!AC$9:AC$21,MATCH(SiteE!$S12,Calculations!$A$9:$A$21,0))),0)</f>
        <v>0</v>
      </c>
      <c r="V11" s="91">
        <f>IFERROR(IF(V$4="Yes",0,INDEX(Calculations!AD$9:AD$21,MATCH(SiteE!$S12,Calculations!$A$9:$A$21,0))),0)</f>
        <v>0</v>
      </c>
      <c r="W11" s="91">
        <f>IFERROR(IF(W$4="Yes",0,INDEX(Calculations!AE$9:AE$21,MATCH(SiteE!$S12,Calculations!$A$9:$A$21,0))),0)</f>
        <v>0</v>
      </c>
      <c r="X11" s="91">
        <f>IFERROR(IF(X$4="Yes",0,INDEX(Calculations!AF$9:AF$21,MATCH(SiteE!$S12,Calculations!$A$9:$A$21,0))),0)</f>
        <v>0</v>
      </c>
      <c r="Y11" s="91">
        <f>IFERROR(IF(Y$4="Yes",0,INDEX(Calculations!AG$9:AG$21,MATCH(SiteE!$S12,Calculations!$A$9:$A$21,0))),0)</f>
        <v>0</v>
      </c>
      <c r="Z11" s="91">
        <f>IFERROR(IF(Z$4="Yes",0,INDEX(Calculations!AH$9:AH$21,MATCH(SiteE!$S12,Calculations!$A$9:$A$21,0))),0)</f>
        <v>0</v>
      </c>
      <c r="AA11" s="91">
        <f>IFERROR(IF(AA$4="Yes",0,INDEX(Calculations!AI$9:AI$21,MATCH(SiteE!$S12,Calculations!$A$9:$A$21,0))),0)</f>
        <v>0</v>
      </c>
      <c r="AB11" s="91">
        <f>IFERROR(IF(AB$4="Yes",0,INDEX(Calculations!AJ$9:AJ$21,MATCH(SiteE!$S12,Calculations!$A$9:$A$21,0))),0)</f>
        <v>0</v>
      </c>
      <c r="AC11" s="91">
        <f>IFERROR(IF(AC$4="Yes",0,INDEX(Calculations!AK$9:AK$21,MATCH(SiteE!$S12,Calculations!$A$9:$A$21,0))),0)</f>
        <v>0</v>
      </c>
      <c r="AD11" s="91">
        <f>IFERROR(IF(AD$4="Yes",0,INDEX(Calculations!AL$9:AL$21,MATCH(SiteE!$S12,Calculations!$A$9:$A$21,0))),0)</f>
        <v>0</v>
      </c>
      <c r="AE11" s="91">
        <f>IFERROR(IF(AE$4="Yes",0,INDEX(Calculations!AM$9:AM$21,MATCH(SiteE!$S12,Calculations!$A$9:$A$21,0))),0)</f>
        <v>0</v>
      </c>
      <c r="AF11" s="91">
        <f>IFERROR(IF(AF$4="Yes",0,INDEX(Calculations!AN$9:AN$21,MATCH(SiteE!$S12,Calculations!$A$9:$A$21,0))),0)</f>
        <v>0</v>
      </c>
      <c r="AG11" s="91">
        <f>IFERROR(IF(AG$4="Yes",0,INDEX(Calculations!AO$9:AO$21,MATCH(SiteE!$S12,Calculations!$A$9:$A$21,0))),0)</f>
        <v>0</v>
      </c>
      <c r="AH11" s="91">
        <f>IFERROR(IF(AH$4="Yes",0,INDEX(Calculations!AP$9:AP$21,MATCH(SiteE!$S12,Calculations!$A$9:$A$21,0))),0)</f>
        <v>0</v>
      </c>
      <c r="AI11" s="91">
        <f>IFERROR(IF(AI$4="Yes",0,INDEX(Calculations!AQ$9:AQ$21,MATCH(SiteE!$S12,Calculations!$A$9:$A$21,0))),0)</f>
        <v>0</v>
      </c>
      <c r="AJ11" s="91">
        <f>IFERROR(IF(AJ$4="Yes",0,INDEX(Calculations!AR$9:AR$21,MATCH(SiteE!$S12,Calculations!$A$9:$A$21,0))),0)</f>
        <v>0</v>
      </c>
      <c r="AK11" s="124">
        <f>IFERROR(SUM(U11:AI11)*'Project Info'!$D$28,0)</f>
        <v>0</v>
      </c>
      <c r="AL11" s="91">
        <f>IFERROR(INDEX(Calculations!BC$9:BC$21,MATCH(SiteE!$S12,Calculations!$A$9:$A$21,0))*-1,0)</f>
        <v>0</v>
      </c>
      <c r="AM11" s="91">
        <f>IFERROR(INDEX(Calculations!BD$9:BD$21,MATCH(SiteE!$S12,Calculations!$A$9:$A$21,0))*-1,0)</f>
        <v>0</v>
      </c>
      <c r="AN11" s="123">
        <f ca="1">IFERROR(SUM(OFFSET(Calculations!BE$9,MATCH($S12,Calculations!$A$9:$A$21,0)-1,0,1,4))*-1,0)</f>
        <v>0</v>
      </c>
      <c r="AO11" s="91">
        <f t="shared" ca="1" si="1"/>
        <v>0</v>
      </c>
      <c r="AP11" s="17"/>
      <c r="AQ11" s="4"/>
      <c r="AW11" s="91">
        <f>IFERROR(INDEX(Calculations!BL$9:BL$21,MATCH($S12,Calculations!$A$9:$A$21,0)),0)</f>
        <v>0</v>
      </c>
      <c r="AX11" s="91">
        <f>IFERROR(INDEX(Calculations!BM$9:BM$21,MATCH($S12,Calculations!$A$9:$A$21,0)),0)</f>
        <v>0</v>
      </c>
      <c r="AY11" s="91">
        <f>IFERROR(INDEX(Calculations!BN$9:BN$21,MATCH($S12,Calculations!$A$9:$A$21,0)),0)</f>
        <v>0</v>
      </c>
      <c r="AZ11" s="91">
        <f>IFERROR(INDEX(Calculations!BO$9:BO$21,MATCH($S12,Calculations!$A$9:$A$21,0)),0)</f>
        <v>0</v>
      </c>
      <c r="BA11" s="91">
        <f>IFERROR(INDEX(Calculations!BP$9:BP$21,MATCH($S12,Calculations!$A$9:$A$21,0)),0)</f>
        <v>0</v>
      </c>
    </row>
    <row r="12" spans="1:53">
      <c r="B12" s="60" t="str">
        <f>_xlfn.CONCAT(A1," Intensity")</f>
        <v>Energy Use Intensity</v>
      </c>
      <c r="C12" s="60" t="str">
        <f>_xlfn.CONCAT('Project Info'!$I$6,"/",IF('Project Info'!$I$4="SI","m²","ft²"))</f>
        <v>kBtu/ft²</v>
      </c>
      <c r="D12" s="129">
        <f>IFERROR(INDEX(Calculations!$BQ$24:$BQ$36,MATCH(D$5,Calculations!$A$9:$A$21,0)),0)</f>
        <v>50.503260840902435</v>
      </c>
      <c r="E12" s="129">
        <f>IFERROR(INDEX(Calculations!$BQ$24:$BQ$36,MATCH(E$5,Calculations!$A$9:$A$21,0)),0)</f>
        <v>0</v>
      </c>
      <c r="F12" s="129">
        <f>IFERROR(INDEX(Calculations!$BQ$24:$BQ$36,MATCH(F$5,Calculations!$A$9:$A$21,0)),0)</f>
        <v>0</v>
      </c>
      <c r="G12" s="129">
        <f>IFERROR(INDEX(Calculations!$BQ$24:$BQ$36,MATCH(G$5,Calculations!$A$9:$A$21,0)),0)</f>
        <v>0</v>
      </c>
      <c r="H12" s="129">
        <f>IFERROR(INDEX(Calculations!$BQ$24:$BQ$36,MATCH(H$5,Calculations!$A$9:$A$21,0)),0)</f>
        <v>0</v>
      </c>
      <c r="I12" s="129">
        <f>IFERROR(INDEX(Calculations!$BQ$24:$BQ$36,MATCH(I$5,Calculations!$A$9:$A$21,0)),0)</f>
        <v>0</v>
      </c>
      <c r="J12" s="129">
        <f>IFERROR(INDEX(Calculations!$BQ$24:$BQ$36,MATCH(J$5,Calculations!$A$9:$A$21,0)),0)</f>
        <v>0</v>
      </c>
      <c r="K12" s="129">
        <f>IFERROR(INDEX(Calculations!$BQ$24:$BQ$36,MATCH(K$5,Calculations!$A$9:$A$21,0)),0)</f>
        <v>0</v>
      </c>
      <c r="L12" s="129">
        <f>IFERROR(INDEX(Calculations!$BQ$24:$BQ$36,MATCH(L$5,Calculations!$A$9:$A$21,0)),0)</f>
        <v>0</v>
      </c>
      <c r="M12" s="129">
        <f>IFERROR(INDEX(Calculations!$BQ$24:$BQ$36,MATCH(M$5,Calculations!$A$9:$A$21,0)),0)</f>
        <v>0</v>
      </c>
      <c r="N12" s="129">
        <f>IFERROR(INDEX(Calculations!$BQ$24:$BQ$36,MATCH(N$5,Calculations!$A$9:$A$21,0)),0)</f>
        <v>0</v>
      </c>
      <c r="O12" s="129">
        <f>IFERROR(INDEX(Calculations!$BQ$24:$BQ$36,MATCH(O$5,Calculations!$A$9:$A$21,0)),0)</f>
        <v>0</v>
      </c>
      <c r="Q12" s="12"/>
      <c r="S12" s="20" t="str">
        <f>IF($I$3=0," ",$I$3)</f>
        <v xml:space="preserve"> </v>
      </c>
      <c r="U12" s="91">
        <f>IFERROR(IF(U$4="Yes",0,INDEX(Calculations!AC$9:AC$21,MATCH(SiteE!$S13,Calculations!$A$9:$A$21,0))),0)</f>
        <v>0</v>
      </c>
      <c r="V12" s="91">
        <f>IFERROR(IF(V$4="Yes",0,INDEX(Calculations!AD$9:AD$21,MATCH(SiteE!$S13,Calculations!$A$9:$A$21,0))),0)</f>
        <v>0</v>
      </c>
      <c r="W12" s="91">
        <f>IFERROR(IF(W$4="Yes",0,INDEX(Calculations!AE$9:AE$21,MATCH(SiteE!$S13,Calculations!$A$9:$A$21,0))),0)</f>
        <v>0</v>
      </c>
      <c r="X12" s="91">
        <f>IFERROR(IF(X$4="Yes",0,INDEX(Calculations!AF$9:AF$21,MATCH(SiteE!$S13,Calculations!$A$9:$A$21,0))),0)</f>
        <v>0</v>
      </c>
      <c r="Y12" s="91">
        <f>IFERROR(IF(Y$4="Yes",0,INDEX(Calculations!AG$9:AG$21,MATCH(SiteE!$S13,Calculations!$A$9:$A$21,0))),0)</f>
        <v>0</v>
      </c>
      <c r="Z12" s="91">
        <f>IFERROR(IF(Z$4="Yes",0,INDEX(Calculations!AH$9:AH$21,MATCH(SiteE!$S13,Calculations!$A$9:$A$21,0))),0)</f>
        <v>0</v>
      </c>
      <c r="AA12" s="91">
        <f>IFERROR(IF(AA$4="Yes",0,INDEX(Calculations!AI$9:AI$21,MATCH(SiteE!$S13,Calculations!$A$9:$A$21,0))),0)</f>
        <v>0</v>
      </c>
      <c r="AB12" s="91">
        <f>IFERROR(IF(AB$4="Yes",0,INDEX(Calculations!AJ$9:AJ$21,MATCH(SiteE!$S13,Calculations!$A$9:$A$21,0))),0)</f>
        <v>0</v>
      </c>
      <c r="AC12" s="91">
        <f>IFERROR(IF(AC$4="Yes",0,INDEX(Calculations!AK$9:AK$21,MATCH(SiteE!$S13,Calculations!$A$9:$A$21,0))),0)</f>
        <v>0</v>
      </c>
      <c r="AD12" s="91">
        <f>IFERROR(IF(AD$4="Yes",0,INDEX(Calculations!AL$9:AL$21,MATCH(SiteE!$S13,Calculations!$A$9:$A$21,0))),0)</f>
        <v>0</v>
      </c>
      <c r="AE12" s="91">
        <f>IFERROR(IF(AE$4="Yes",0,INDEX(Calculations!AM$9:AM$21,MATCH(SiteE!$S13,Calculations!$A$9:$A$21,0))),0)</f>
        <v>0</v>
      </c>
      <c r="AF12" s="91">
        <f>IFERROR(IF(AF$4="Yes",0,INDEX(Calculations!AN$9:AN$21,MATCH(SiteE!$S13,Calculations!$A$9:$A$21,0))),0)</f>
        <v>0</v>
      </c>
      <c r="AG12" s="91">
        <f>IFERROR(IF(AG$4="Yes",0,INDEX(Calculations!AO$9:AO$21,MATCH(SiteE!$S13,Calculations!$A$9:$A$21,0))),0)</f>
        <v>0</v>
      </c>
      <c r="AH12" s="91">
        <f>IFERROR(IF(AH$4="Yes",0,INDEX(Calculations!AP$9:AP$21,MATCH(SiteE!$S13,Calculations!$A$9:$A$21,0))),0)</f>
        <v>0</v>
      </c>
      <c r="AI12" s="91">
        <f>IFERROR(IF(AI$4="Yes",0,INDEX(Calculations!AQ$9:AQ$21,MATCH(SiteE!$S13,Calculations!$A$9:$A$21,0))),0)</f>
        <v>0</v>
      </c>
      <c r="AJ12" s="91">
        <f>IFERROR(IF(AJ$4="Yes",0,INDEX(Calculations!AR$9:AR$21,MATCH(SiteE!$S13,Calculations!$A$9:$A$21,0))),0)</f>
        <v>0</v>
      </c>
      <c r="AK12" s="124">
        <f>IFERROR(SUM(U12:AI12)*'Project Info'!$D$28,0)</f>
        <v>0</v>
      </c>
      <c r="AL12" s="91">
        <f>IFERROR(INDEX(Calculations!BC$9:BC$21,MATCH(SiteE!$S13,Calculations!$A$9:$A$21,0))*-1,0)</f>
        <v>0</v>
      </c>
      <c r="AM12" s="91">
        <f>IFERROR(INDEX(Calculations!BD$9:BD$21,MATCH(SiteE!$S13,Calculations!$A$9:$A$21,0))*-1,0)</f>
        <v>0</v>
      </c>
      <c r="AN12" s="123">
        <f ca="1">IFERROR(SUM(OFFSET(Calculations!BE$9,MATCH($S13,Calculations!$A$9:$A$21,0)-1,0,1,4))*-1,0)</f>
        <v>0</v>
      </c>
      <c r="AO12" s="91">
        <f t="shared" ca="1" si="1"/>
        <v>0</v>
      </c>
      <c r="AP12" s="17"/>
      <c r="AQ12" s="4"/>
      <c r="AW12" s="91">
        <f>IFERROR(INDEX(Calculations!BL$9:BL$21,MATCH($S13,Calculations!$A$9:$A$21,0)),0)</f>
        <v>0</v>
      </c>
      <c r="AX12" s="91">
        <f>IFERROR(INDEX(Calculations!BM$9:BM$21,MATCH($S13,Calculations!$A$9:$A$21,0)),0)</f>
        <v>0</v>
      </c>
      <c r="AY12" s="91">
        <f>IFERROR(INDEX(Calculations!BN$9:BN$21,MATCH($S13,Calculations!$A$9:$A$21,0)),0)</f>
        <v>0</v>
      </c>
      <c r="AZ12" s="91">
        <f>IFERROR(INDEX(Calculations!BO$9:BO$21,MATCH($S13,Calculations!$A$9:$A$21,0)),0)</f>
        <v>0</v>
      </c>
      <c r="BA12" s="91">
        <f>IFERROR(INDEX(Calculations!BP$9:BP$21,MATCH($S13,Calculations!$A$9:$A$21,0)),0)</f>
        <v>0</v>
      </c>
    </row>
    <row r="13" spans="1:53">
      <c r="B13" s="64" t="str">
        <f>_xlfn.CONCAT(A1," Savings")</f>
        <v>Energy Use Savings</v>
      </c>
      <c r="C13" s="64" t="s">
        <v>209</v>
      </c>
      <c r="D13" s="69"/>
      <c r="E13" s="70" t="str">
        <f t="shared" ref="E13:O13" si="3">IFERROR(IF(E$5=" "," ",1-(E11/$D11)),"0%")</f>
        <v xml:space="preserve"> </v>
      </c>
      <c r="F13" s="70" t="str">
        <f t="shared" si="3"/>
        <v xml:space="preserve"> </v>
      </c>
      <c r="G13" s="70" t="str">
        <f t="shared" si="3"/>
        <v xml:space="preserve"> </v>
      </c>
      <c r="H13" s="70" t="str">
        <f t="shared" si="3"/>
        <v xml:space="preserve"> </v>
      </c>
      <c r="I13" s="70" t="str">
        <f t="shared" si="3"/>
        <v xml:space="preserve"> </v>
      </c>
      <c r="J13" s="70" t="str">
        <f t="shared" si="3"/>
        <v xml:space="preserve"> </v>
      </c>
      <c r="K13" s="70" t="str">
        <f t="shared" si="3"/>
        <v xml:space="preserve"> </v>
      </c>
      <c r="L13" s="70" t="str">
        <f t="shared" si="3"/>
        <v xml:space="preserve"> </v>
      </c>
      <c r="M13" s="70" t="str">
        <f t="shared" si="3"/>
        <v xml:space="preserve"> </v>
      </c>
      <c r="N13" s="70" t="str">
        <f t="shared" si="3"/>
        <v xml:space="preserve"> </v>
      </c>
      <c r="O13" s="70" t="str">
        <f t="shared" si="3"/>
        <v xml:space="preserve"> </v>
      </c>
      <c r="Q13" s="12"/>
      <c r="S13" s="20" t="str">
        <f>IF($J$3=0," ",$J$3)</f>
        <v xml:space="preserve"> </v>
      </c>
      <c r="U13" s="91">
        <f>IFERROR(IF(U$4="Yes",0,INDEX(Calculations!AC$9:AC$21,MATCH(SiteE!$S15,Calculations!$A$9:$A$21,0))),0)</f>
        <v>0</v>
      </c>
      <c r="V13" s="91">
        <f>IFERROR(IF(V$4="Yes",0,INDEX(Calculations!AD$9:AD$21,MATCH(SiteE!$S15,Calculations!$A$9:$A$21,0))),0)</f>
        <v>0</v>
      </c>
      <c r="W13" s="91">
        <f>IFERROR(IF(W$4="Yes",0,INDEX(Calculations!AE$9:AE$21,MATCH(SiteE!$S15,Calculations!$A$9:$A$21,0))),0)</f>
        <v>0</v>
      </c>
      <c r="X13" s="91">
        <f>IFERROR(IF(X$4="Yes",0,INDEX(Calculations!AF$9:AF$21,MATCH(SiteE!$S15,Calculations!$A$9:$A$21,0))),0)</f>
        <v>0</v>
      </c>
      <c r="Y13" s="91">
        <f>IFERROR(IF(Y$4="Yes",0,INDEX(Calculations!AG$9:AG$21,MATCH(SiteE!$S15,Calculations!$A$9:$A$21,0))),0)</f>
        <v>0</v>
      </c>
      <c r="Z13" s="91">
        <f>IFERROR(IF(Z$4="Yes",0,INDEX(Calculations!AH$9:AH$21,MATCH(SiteE!$S15,Calculations!$A$9:$A$21,0))),0)</f>
        <v>0</v>
      </c>
      <c r="AA13" s="91">
        <f>IFERROR(IF(AA$4="Yes",0,INDEX(Calculations!AI$9:AI$21,MATCH(SiteE!$S15,Calculations!$A$9:$A$21,0))),0)</f>
        <v>0</v>
      </c>
      <c r="AB13" s="91">
        <f>IFERROR(IF(AB$4="Yes",0,INDEX(Calculations!AJ$9:AJ$21,MATCH(SiteE!$S15,Calculations!$A$9:$A$21,0))),0)</f>
        <v>0</v>
      </c>
      <c r="AC13" s="91">
        <f>IFERROR(IF(AC$4="Yes",0,INDEX(Calculations!AK$9:AK$21,MATCH(SiteE!$S15,Calculations!$A$9:$A$21,0))),0)</f>
        <v>0</v>
      </c>
      <c r="AD13" s="91">
        <f>IFERROR(IF(AD$4="Yes",0,INDEX(Calculations!AL$9:AL$21,MATCH(SiteE!$S15,Calculations!$A$9:$A$21,0))),0)</f>
        <v>0</v>
      </c>
      <c r="AE13" s="91">
        <f>IFERROR(IF(AE$4="Yes",0,INDEX(Calculations!AM$9:AM$21,MATCH(SiteE!$S15,Calculations!$A$9:$A$21,0))),0)</f>
        <v>0</v>
      </c>
      <c r="AF13" s="91">
        <f>IFERROR(IF(AF$4="Yes",0,INDEX(Calculations!AN$9:AN$21,MATCH(SiteE!$S15,Calculations!$A$9:$A$21,0))),0)</f>
        <v>0</v>
      </c>
      <c r="AG13" s="91">
        <f>IFERROR(IF(AG$4="Yes",0,INDEX(Calculations!AO$9:AO$21,MATCH(SiteE!$S15,Calculations!$A$9:$A$21,0))),0)</f>
        <v>0</v>
      </c>
      <c r="AH13" s="91">
        <f>IFERROR(IF(AH$4="Yes",0,INDEX(Calculations!AP$9:AP$21,MATCH(SiteE!$S15,Calculations!$A$9:$A$21,0))),0)</f>
        <v>0</v>
      </c>
      <c r="AI13" s="91">
        <f>IFERROR(IF(AI$4="Yes",0,INDEX(Calculations!AQ$9:AQ$21,MATCH(SiteE!$S15,Calculations!$A$9:$A$21,0))),0)</f>
        <v>0</v>
      </c>
      <c r="AJ13" s="91">
        <f>IFERROR(IF(AJ$4="Yes",0,INDEX(Calculations!AR$9:AR$21,MATCH(SiteE!$S15,Calculations!$A$9:$A$21,0))),0)</f>
        <v>0</v>
      </c>
      <c r="AK13" s="124">
        <f>IFERROR(SUM(U13:AI13)*'Project Info'!$D$28,0)</f>
        <v>0</v>
      </c>
      <c r="AL13" s="91">
        <f>IFERROR(INDEX(Calculations!BC$9:BC$21,MATCH(SiteE!$S15,Calculations!$A$9:$A$21,0))*-1,0)</f>
        <v>0</v>
      </c>
      <c r="AM13" s="91">
        <f>IFERROR(INDEX(Calculations!BD$9:BD$21,MATCH(SiteE!$S15,Calculations!$A$9:$A$21,0))*-1,0)</f>
        <v>0</v>
      </c>
      <c r="AN13" s="123">
        <f ca="1">IFERROR(SUM(OFFSET(Calculations!BE$9,MATCH($S15,Calculations!$A$9:$A$21,0)-1,0,1,4))*-1,0)</f>
        <v>0</v>
      </c>
      <c r="AO13" s="91">
        <f t="shared" ca="1" si="1"/>
        <v>0</v>
      </c>
      <c r="AP13" s="17"/>
      <c r="AQ13" s="4"/>
      <c r="AW13" s="91">
        <f>IFERROR(INDEX(Calculations!BL$9:BL$21,MATCH($S15,Calculations!$A$9:$A$21,0)),0)</f>
        <v>0</v>
      </c>
      <c r="AX13" s="91">
        <f>IFERROR(INDEX(Calculations!BM$9:BM$21,MATCH($S15,Calculations!$A$9:$A$21,0)),0)</f>
        <v>0</v>
      </c>
      <c r="AY13" s="91">
        <f>IFERROR(INDEX(Calculations!BN$9:BN$21,MATCH($S15,Calculations!$A$9:$A$21,0)),0)</f>
        <v>0</v>
      </c>
      <c r="AZ13" s="91">
        <f>IFERROR(INDEX(Calculations!BO$9:BO$21,MATCH($S15,Calculations!$A$9:$A$21,0)),0)</f>
        <v>0</v>
      </c>
      <c r="BA13" s="91">
        <f>IFERROR(INDEX(Calculations!BP$9:BP$21,MATCH($S15,Calculations!$A$9:$A$21,0)),0)</f>
        <v>0</v>
      </c>
    </row>
    <row r="14" spans="1:53">
      <c r="C14" s="19"/>
      <c r="D14" s="4"/>
      <c r="E14" s="4"/>
      <c r="F14" s="4"/>
      <c r="G14" s="4"/>
      <c r="H14" s="4"/>
      <c r="I14" s="4"/>
      <c r="J14" s="4"/>
      <c r="K14" s="4"/>
      <c r="L14" s="4"/>
      <c r="M14" s="4"/>
      <c r="N14" s="4"/>
      <c r="O14" s="4"/>
      <c r="Q14" s="12"/>
      <c r="S14" s="20"/>
      <c r="U14" s="91">
        <f>IFERROR(IF(U$4="Yes",0,INDEX(Calculations!AC$9:AC$21,MATCH(SiteE!$S16,Calculations!$A$9:$A$21,0))),0)</f>
        <v>0</v>
      </c>
      <c r="V14" s="91">
        <f>IFERROR(IF(V$4="Yes",0,INDEX(Calculations!AD$9:AD$21,MATCH(SiteE!$S16,Calculations!$A$9:$A$21,0))),0)</f>
        <v>0</v>
      </c>
      <c r="W14" s="91">
        <f>IFERROR(IF(W$4="Yes",0,INDEX(Calculations!AE$9:AE$21,MATCH(SiteE!$S16,Calculations!$A$9:$A$21,0))),0)</f>
        <v>0</v>
      </c>
      <c r="X14" s="91">
        <f>IFERROR(IF(X$4="Yes",0,INDEX(Calculations!AF$9:AF$21,MATCH(SiteE!$S16,Calculations!$A$9:$A$21,0))),0)</f>
        <v>0</v>
      </c>
      <c r="Y14" s="91">
        <f>IFERROR(IF(Y$4="Yes",0,INDEX(Calculations!AG$9:AG$21,MATCH(SiteE!$S16,Calculations!$A$9:$A$21,0))),0)</f>
        <v>0</v>
      </c>
      <c r="Z14" s="91">
        <f>IFERROR(IF(Z$4="Yes",0,INDEX(Calculations!AH$9:AH$21,MATCH(SiteE!$S16,Calculations!$A$9:$A$21,0))),0)</f>
        <v>0</v>
      </c>
      <c r="AA14" s="91">
        <f>IFERROR(IF(AA$4="Yes",0,INDEX(Calculations!AI$9:AI$21,MATCH(SiteE!$S16,Calculations!$A$9:$A$21,0))),0)</f>
        <v>0</v>
      </c>
      <c r="AB14" s="91">
        <f>IFERROR(IF(AB$4="Yes",0,INDEX(Calculations!AJ$9:AJ$21,MATCH(SiteE!$S16,Calculations!$A$9:$A$21,0))),0)</f>
        <v>0</v>
      </c>
      <c r="AC14" s="91">
        <f>IFERROR(IF(AC$4="Yes",0,INDEX(Calculations!AK$9:AK$21,MATCH(SiteE!$S16,Calculations!$A$9:$A$21,0))),0)</f>
        <v>0</v>
      </c>
      <c r="AD14" s="91">
        <f>IFERROR(IF(AD$4="Yes",0,INDEX(Calculations!AL$9:AL$21,MATCH(SiteE!$S16,Calculations!$A$9:$A$21,0))),0)</f>
        <v>0</v>
      </c>
      <c r="AE14" s="91">
        <f>IFERROR(IF(AE$4="Yes",0,INDEX(Calculations!AM$9:AM$21,MATCH(SiteE!$S16,Calculations!$A$9:$A$21,0))),0)</f>
        <v>0</v>
      </c>
      <c r="AF14" s="91">
        <f>IFERROR(IF(AF$4="Yes",0,INDEX(Calculations!AN$9:AN$21,MATCH(SiteE!$S16,Calculations!$A$9:$A$21,0))),0)</f>
        <v>0</v>
      </c>
      <c r="AG14" s="91">
        <f>IFERROR(IF(AG$4="Yes",0,INDEX(Calculations!AO$9:AO$21,MATCH(SiteE!$S16,Calculations!$A$9:$A$21,0))),0)</f>
        <v>0</v>
      </c>
      <c r="AH14" s="91">
        <f>IFERROR(IF(AH$4="Yes",0,INDEX(Calculations!AP$9:AP$21,MATCH(SiteE!$S16,Calculations!$A$9:$A$21,0))),0)</f>
        <v>0</v>
      </c>
      <c r="AI14" s="91">
        <f>IFERROR(IF(AI$4="Yes",0,INDEX(Calculations!AQ$9:AQ$21,MATCH(SiteE!$S16,Calculations!$A$9:$A$21,0))),0)</f>
        <v>0</v>
      </c>
      <c r="AJ14" s="91">
        <f>IFERROR(IF(AJ$4="Yes",0,INDEX(Calculations!AR$9:AR$21,MATCH(SiteE!$S16,Calculations!$A$9:$A$21,0))),0)</f>
        <v>0</v>
      </c>
      <c r="AK14" s="124">
        <f>IFERROR(SUM(U14:AI14)*'Project Info'!$D$28,0)</f>
        <v>0</v>
      </c>
      <c r="AL14" s="91">
        <f>IFERROR(INDEX(Calculations!BC$9:BC$21,MATCH(SiteE!$S16,Calculations!$A$9:$A$21,0))*-1,0)</f>
        <v>0</v>
      </c>
      <c r="AM14" s="91">
        <f>IFERROR(INDEX(Calculations!BD$9:BD$21,MATCH(SiteE!$S16,Calculations!$A$9:$A$21,0))*-1,0)</f>
        <v>0</v>
      </c>
      <c r="AN14" s="123">
        <f ca="1">IFERROR(SUM(OFFSET(Calculations!BE$9,MATCH($S16,Calculations!$A$9:$A$21,0)-1,0,1,4))*-1,0)</f>
        <v>0</v>
      </c>
      <c r="AO14" s="91">
        <f t="shared" ca="1" si="1"/>
        <v>0</v>
      </c>
      <c r="AP14" s="17"/>
      <c r="AQ14" s="4"/>
      <c r="AW14" s="91">
        <f>IFERROR(INDEX(Calculations!BL$9:BL$21,MATCH($S16,Calculations!$A$9:$A$21,0)),0)</f>
        <v>0</v>
      </c>
      <c r="AX14" s="91">
        <f>IFERROR(INDEX(Calculations!BM$9:BM$21,MATCH($S16,Calculations!$A$9:$A$21,0)),0)</f>
        <v>0</v>
      </c>
      <c r="AY14" s="91">
        <f>IFERROR(INDEX(Calculations!BN$9:BN$21,MATCH($S16,Calculations!$A$9:$A$21,0)),0)</f>
        <v>0</v>
      </c>
      <c r="AZ14" s="91">
        <f>IFERROR(INDEX(Calculations!BO$9:BO$21,MATCH($S16,Calculations!$A$9:$A$21,0)),0)</f>
        <v>0</v>
      </c>
      <c r="BA14" s="91">
        <f>IFERROR(INDEX(Calculations!BP$9:BP$21,MATCH($S16,Calculations!$A$9:$A$21,0)),0)</f>
        <v>0</v>
      </c>
    </row>
    <row r="15" spans="1:53">
      <c r="C15" s="19"/>
      <c r="D15" s="4"/>
      <c r="E15" s="4"/>
      <c r="F15" s="4"/>
      <c r="G15" s="4"/>
      <c r="H15" s="4"/>
      <c r="I15" s="4"/>
      <c r="J15" s="4"/>
      <c r="K15" s="4"/>
      <c r="L15" s="4"/>
      <c r="M15" s="4"/>
      <c r="N15" s="4"/>
      <c r="O15" s="4"/>
      <c r="Q15" s="12"/>
      <c r="S15" s="20" t="str">
        <f>IF($K$3=0," ",$K$3)</f>
        <v xml:space="preserve"> </v>
      </c>
      <c r="U15" s="91">
        <f>IFERROR(IF(U$4="Yes",0,INDEX(Calculations!AC$9:AC$21,MATCH(SiteE!$S17,Calculations!$A$9:$A$21,0))),0)</f>
        <v>0</v>
      </c>
      <c r="V15" s="91">
        <f>IFERROR(IF(V$4="Yes",0,INDEX(Calculations!AD$9:AD$21,MATCH(SiteE!$S17,Calculations!$A$9:$A$21,0))),0)</f>
        <v>0</v>
      </c>
      <c r="W15" s="91">
        <f>IFERROR(IF(W$4="Yes",0,INDEX(Calculations!AE$9:AE$21,MATCH(SiteE!$S17,Calculations!$A$9:$A$21,0))),0)</f>
        <v>0</v>
      </c>
      <c r="X15" s="91">
        <f>IFERROR(IF(X$4="Yes",0,INDEX(Calculations!AF$9:AF$21,MATCH(SiteE!$S17,Calculations!$A$9:$A$21,0))),0)</f>
        <v>0</v>
      </c>
      <c r="Y15" s="91">
        <f>IFERROR(IF(Y$4="Yes",0,INDEX(Calculations!AG$9:AG$21,MATCH(SiteE!$S17,Calculations!$A$9:$A$21,0))),0)</f>
        <v>0</v>
      </c>
      <c r="Z15" s="91">
        <f>IFERROR(IF(Z$4="Yes",0,INDEX(Calculations!AH$9:AH$21,MATCH(SiteE!$S17,Calculations!$A$9:$A$21,0))),0)</f>
        <v>0</v>
      </c>
      <c r="AA15" s="91">
        <f>IFERROR(IF(AA$4="Yes",0,INDEX(Calculations!AI$9:AI$21,MATCH(SiteE!$S17,Calculations!$A$9:$A$21,0))),0)</f>
        <v>0</v>
      </c>
      <c r="AB15" s="91">
        <f>IFERROR(IF(AB$4="Yes",0,INDEX(Calculations!AJ$9:AJ$21,MATCH(SiteE!$S17,Calculations!$A$9:$A$21,0))),0)</f>
        <v>0</v>
      </c>
      <c r="AC15" s="91">
        <f>IFERROR(IF(AC$4="Yes",0,INDEX(Calculations!AK$9:AK$21,MATCH(SiteE!$S17,Calculations!$A$9:$A$21,0))),0)</f>
        <v>0</v>
      </c>
      <c r="AD15" s="91">
        <f>IFERROR(IF(AD$4="Yes",0,INDEX(Calculations!AL$9:AL$21,MATCH(SiteE!$S17,Calculations!$A$9:$A$21,0))),0)</f>
        <v>0</v>
      </c>
      <c r="AE15" s="91">
        <f>IFERROR(IF(AE$4="Yes",0,INDEX(Calculations!AM$9:AM$21,MATCH(SiteE!$S17,Calculations!$A$9:$A$21,0))),0)</f>
        <v>0</v>
      </c>
      <c r="AF15" s="91">
        <f>IFERROR(IF(AF$4="Yes",0,INDEX(Calculations!AN$9:AN$21,MATCH(SiteE!$S17,Calculations!$A$9:$A$21,0))),0)</f>
        <v>0</v>
      </c>
      <c r="AG15" s="91">
        <f>IFERROR(IF(AG$4="Yes",0,INDEX(Calculations!AO$9:AO$21,MATCH(SiteE!$S17,Calculations!$A$9:$A$21,0))),0)</f>
        <v>0</v>
      </c>
      <c r="AH15" s="91">
        <f>IFERROR(IF(AH$4="Yes",0,INDEX(Calculations!AP$9:AP$21,MATCH(SiteE!$S17,Calculations!$A$9:$A$21,0))),0)</f>
        <v>0</v>
      </c>
      <c r="AI15" s="91">
        <f>IFERROR(IF(AI$4="Yes",0,INDEX(Calculations!AQ$9:AQ$21,MATCH(SiteE!$S17,Calculations!$A$9:$A$21,0))),0)</f>
        <v>0</v>
      </c>
      <c r="AJ15" s="91">
        <f>IFERROR(IF(AJ$4="Yes",0,INDEX(Calculations!AR$9:AR$21,MATCH(SiteE!$S17,Calculations!$A$9:$A$21,0))),0)</f>
        <v>0</v>
      </c>
      <c r="AK15" s="124">
        <f>IFERROR(SUM(U15:AI15)*'Project Info'!$D$28,0)</f>
        <v>0</v>
      </c>
      <c r="AL15" s="91">
        <f>IFERROR(INDEX(Calculations!BC$9:BC$21,MATCH(SiteE!$S17,Calculations!$A$9:$A$21,0))*-1,0)</f>
        <v>0</v>
      </c>
      <c r="AM15" s="91">
        <f>IFERROR(INDEX(Calculations!BD$9:BD$21,MATCH(SiteE!$S17,Calculations!$A$9:$A$21,0))*-1,0)</f>
        <v>0</v>
      </c>
      <c r="AN15" s="123">
        <f ca="1">IFERROR(SUM(OFFSET(Calculations!BE$9,MATCH($S17,Calculations!$A$9:$A$21,0)-1,0,1,4))*-1,0)</f>
        <v>0</v>
      </c>
      <c r="AO15" s="91">
        <f t="shared" ca="1" si="1"/>
        <v>0</v>
      </c>
      <c r="AP15" s="17"/>
      <c r="AQ15" s="4"/>
      <c r="AW15" s="91">
        <f>IFERROR(INDEX(Calculations!BL$9:BL$21,MATCH($S17,Calculations!$A$9:$A$21,0)),0)</f>
        <v>0</v>
      </c>
      <c r="AX15" s="91">
        <f>IFERROR(INDEX(Calculations!BM$9:BM$21,MATCH($S17,Calculations!$A$9:$A$21,0)),0)</f>
        <v>0</v>
      </c>
      <c r="AY15" s="91">
        <f>IFERROR(INDEX(Calculations!BN$9:BN$21,MATCH($S17,Calculations!$A$9:$A$21,0)),0)</f>
        <v>0</v>
      </c>
      <c r="AZ15" s="91">
        <f>IFERROR(INDEX(Calculations!BO$9:BO$21,MATCH($S17,Calculations!$A$9:$A$21,0)),0)</f>
        <v>0</v>
      </c>
      <c r="BA15" s="91">
        <f>IFERROR(INDEX(Calculations!BP$9:BP$21,MATCH($S17,Calculations!$A$9:$A$21,0)),0)</f>
        <v>0</v>
      </c>
    </row>
    <row r="16" spans="1:53">
      <c r="Q16" s="12"/>
      <c r="S16" s="20" t="str">
        <f>IF($L$3=0," ",$L$3)</f>
        <v xml:space="preserve"> </v>
      </c>
      <c r="U16" s="91">
        <f>IFERROR(IF(U$4="Yes",0,INDEX(Calculations!AC$9:AC$21,MATCH(SiteE!#REF!,Calculations!$A$9:$A$21,0))),0)</f>
        <v>0</v>
      </c>
      <c r="V16" s="91">
        <f>IFERROR(IF(V$4="Yes",0,INDEX(Calculations!AD$9:AD$21,MATCH(SiteE!#REF!,Calculations!$A$9:$A$21,0))),0)</f>
        <v>0</v>
      </c>
      <c r="W16" s="91">
        <f>IFERROR(IF(W$4="Yes",0,INDEX(Calculations!AE$9:AE$21,MATCH(SiteE!#REF!,Calculations!$A$9:$A$21,0))),0)</f>
        <v>0</v>
      </c>
      <c r="X16" s="91">
        <f>IFERROR(IF(X$4="Yes",0,INDEX(Calculations!AF$9:AF$21,MATCH(SiteE!#REF!,Calculations!$A$9:$A$21,0))),0)</f>
        <v>0</v>
      </c>
      <c r="Y16" s="91">
        <f>IFERROR(IF(Y$4="Yes",0,INDEX(Calculations!AG$9:AG$21,MATCH(SiteE!#REF!,Calculations!$A$9:$A$21,0))),0)</f>
        <v>0</v>
      </c>
      <c r="Z16" s="91">
        <f>IFERROR(IF(Z$4="Yes",0,INDEX(Calculations!AH$9:AH$21,MATCH(SiteE!#REF!,Calculations!$A$9:$A$21,0))),0)</f>
        <v>0</v>
      </c>
      <c r="AA16" s="91">
        <f>IFERROR(IF(AA$4="Yes",0,INDEX(Calculations!AI$9:AI$21,MATCH(SiteE!#REF!,Calculations!$A$9:$A$21,0))),0)</f>
        <v>0</v>
      </c>
      <c r="AB16" s="91">
        <f>IFERROR(IF(AB$4="Yes",0,INDEX(Calculations!AJ$9:AJ$21,MATCH(SiteE!#REF!,Calculations!$A$9:$A$21,0))),0)</f>
        <v>0</v>
      </c>
      <c r="AC16" s="91">
        <f>IFERROR(IF(AC$4="Yes",0,INDEX(Calculations!AK$9:AK$21,MATCH(SiteE!#REF!,Calculations!$A$9:$A$21,0))),0)</f>
        <v>0</v>
      </c>
      <c r="AD16" s="91">
        <f>IFERROR(IF(AD$4="Yes",0,INDEX(Calculations!AL$9:AL$21,MATCH(SiteE!#REF!,Calculations!$A$9:$A$21,0))),0)</f>
        <v>0</v>
      </c>
      <c r="AE16" s="91">
        <f>IFERROR(IF(AE$4="Yes",0,INDEX(Calculations!AM$9:AM$21,MATCH(SiteE!#REF!,Calculations!$A$9:$A$21,0))),0)</f>
        <v>0</v>
      </c>
      <c r="AF16" s="91">
        <f>IFERROR(IF(AF$4="Yes",0,INDEX(Calculations!AN$9:AN$21,MATCH(SiteE!#REF!,Calculations!$A$9:$A$21,0))),0)</f>
        <v>0</v>
      </c>
      <c r="AG16" s="91">
        <f>IFERROR(IF(AG$4="Yes",0,INDEX(Calculations!AO$9:AO$21,MATCH(SiteE!#REF!,Calculations!$A$9:$A$21,0))),0)</f>
        <v>0</v>
      </c>
      <c r="AH16" s="91">
        <f>IFERROR(IF(AH$4="Yes",0,INDEX(Calculations!AP$9:AP$21,MATCH(SiteE!#REF!,Calculations!$A$9:$A$21,0))),0)</f>
        <v>0</v>
      </c>
      <c r="AI16" s="91">
        <f>IFERROR(IF(AI$4="Yes",0,INDEX(Calculations!AQ$9:AQ$21,MATCH(SiteE!#REF!,Calculations!$A$9:$A$21,0))),0)</f>
        <v>0</v>
      </c>
      <c r="AJ16" s="91">
        <f>IFERROR(IF(AJ$4="Yes",0,INDEX(Calculations!AR$9:AR$21,MATCH(SiteE!#REF!,Calculations!$A$9:$A$21,0))),0)</f>
        <v>0</v>
      </c>
      <c r="AK16" s="124">
        <f>IFERROR(SUM(U16:AI16)*'Project Info'!$D$28,0)</f>
        <v>0</v>
      </c>
      <c r="AL16" s="91">
        <f>IFERROR(INDEX(Calculations!BC$9:BC$21,MATCH(SiteE!#REF!,Calculations!$A$9:$A$21,0))*-1,0)</f>
        <v>0</v>
      </c>
      <c r="AM16" s="91">
        <f>IFERROR(INDEX(Calculations!BD$9:BD$21,MATCH(SiteE!#REF!,Calculations!$A$9:$A$21,0))*-1,0)</f>
        <v>0</v>
      </c>
      <c r="AN16" s="123">
        <f ca="1">IFERROR(SUM(OFFSET(Calculations!BE$9,MATCH(#REF!,Calculations!$A$9:$A$21,0)-1,0,1,4))*-1,0)</f>
        <v>0</v>
      </c>
      <c r="AO16" s="91">
        <f t="shared" ca="1" si="1"/>
        <v>0</v>
      </c>
      <c r="AP16" s="17"/>
      <c r="AQ16" s="4"/>
      <c r="AW16" s="91">
        <f>IFERROR(INDEX(Calculations!BL$9:BL$21,MATCH(#REF!,Calculations!$A$9:$A$21,0)),0)</f>
        <v>0</v>
      </c>
      <c r="AX16" s="91">
        <f>IFERROR(INDEX(Calculations!BM$9:BM$21,MATCH(#REF!,Calculations!$A$9:$A$21,0)),0)</f>
        <v>0</v>
      </c>
      <c r="AY16" s="91">
        <f>IFERROR(INDEX(Calculations!BN$9:BN$21,MATCH(#REF!,Calculations!$A$9:$A$21,0)),0)</f>
        <v>0</v>
      </c>
      <c r="AZ16" s="91">
        <f>IFERROR(INDEX(Calculations!BO$9:BO$21,MATCH(#REF!,Calculations!$A$9:$A$21,0)),0)</f>
        <v>0</v>
      </c>
      <c r="BA16" s="91">
        <f>IFERROR(INDEX(Calculations!BP$9:BP$21,MATCH(#REF!,Calculations!$A$9:$A$21,0)),0)</f>
        <v>0</v>
      </c>
    </row>
    <row r="17" spans="16:53">
      <c r="P17" s="1" t="str">
        <f ca="1">OFFSET(S6,$S$3,0)</f>
        <v xml:space="preserve"> </v>
      </c>
      <c r="Q17" s="12"/>
      <c r="S17" s="20" t="str">
        <f>IF($M$3=0," ",$M$3)</f>
        <v xml:space="preserve"> </v>
      </c>
      <c r="U17" s="91">
        <f>IFERROR(IF(U$4="Yes",0,INDEX(Calculations!AC$9:AC$21,MATCH(SiteE!#REF!,Calculations!$A$9:$A$21,0))),0)</f>
        <v>0</v>
      </c>
      <c r="V17" s="91">
        <f>IFERROR(IF(V$4="Yes",0,INDEX(Calculations!AD$9:AD$21,MATCH(SiteE!#REF!,Calculations!$A$9:$A$21,0))),0)</f>
        <v>0</v>
      </c>
      <c r="W17" s="91">
        <f>IFERROR(IF(W$4="Yes",0,INDEX(Calculations!AE$9:AE$21,MATCH(SiteE!#REF!,Calculations!$A$9:$A$21,0))),0)</f>
        <v>0</v>
      </c>
      <c r="X17" s="91">
        <f>IFERROR(IF(X$4="Yes",0,INDEX(Calculations!AF$9:AF$21,MATCH(SiteE!#REF!,Calculations!$A$9:$A$21,0))),0)</f>
        <v>0</v>
      </c>
      <c r="Y17" s="91">
        <f>IFERROR(IF(Y$4="Yes",0,INDEX(Calculations!AG$9:AG$21,MATCH(SiteE!#REF!,Calculations!$A$9:$A$21,0))),0)</f>
        <v>0</v>
      </c>
      <c r="Z17" s="91">
        <f>IFERROR(IF(Z$4="Yes",0,INDEX(Calculations!AH$9:AH$21,MATCH(SiteE!#REF!,Calculations!$A$9:$A$21,0))),0)</f>
        <v>0</v>
      </c>
      <c r="AA17" s="91">
        <f>IFERROR(IF(AA$4="Yes",0,INDEX(Calculations!AI$9:AI$21,MATCH(SiteE!#REF!,Calculations!$A$9:$A$21,0))),0)</f>
        <v>0</v>
      </c>
      <c r="AB17" s="91">
        <f>IFERROR(IF(AB$4="Yes",0,INDEX(Calculations!AJ$9:AJ$21,MATCH(SiteE!#REF!,Calculations!$A$9:$A$21,0))),0)</f>
        <v>0</v>
      </c>
      <c r="AC17" s="91">
        <f>IFERROR(IF(AC$4="Yes",0,INDEX(Calculations!AK$9:AK$21,MATCH(SiteE!#REF!,Calculations!$A$9:$A$21,0))),0)</f>
        <v>0</v>
      </c>
      <c r="AD17" s="91">
        <f>IFERROR(IF(AD$4="Yes",0,INDEX(Calculations!AL$9:AL$21,MATCH(SiteE!#REF!,Calculations!$A$9:$A$21,0))),0)</f>
        <v>0</v>
      </c>
      <c r="AE17" s="91">
        <f>IFERROR(IF(AE$4="Yes",0,INDEX(Calculations!AM$9:AM$21,MATCH(SiteE!#REF!,Calculations!$A$9:$A$21,0))),0)</f>
        <v>0</v>
      </c>
      <c r="AF17" s="91">
        <f>IFERROR(IF(AF$4="Yes",0,INDEX(Calculations!AN$9:AN$21,MATCH(SiteE!#REF!,Calculations!$A$9:$A$21,0))),0)</f>
        <v>0</v>
      </c>
      <c r="AG17" s="91">
        <f>IFERROR(IF(AG$4="Yes",0,INDEX(Calculations!AO$9:AO$21,MATCH(SiteE!#REF!,Calculations!$A$9:$A$21,0))),0)</f>
        <v>0</v>
      </c>
      <c r="AH17" s="91">
        <f>IFERROR(IF(AH$4="Yes",0,INDEX(Calculations!AP$9:AP$21,MATCH(SiteE!#REF!,Calculations!$A$9:$A$21,0))),0)</f>
        <v>0</v>
      </c>
      <c r="AI17" s="91">
        <f>IFERROR(IF(AI$4="Yes",0,INDEX(Calculations!AQ$9:AQ$21,MATCH(SiteE!#REF!,Calculations!$A$9:$A$21,0))),0)</f>
        <v>0</v>
      </c>
      <c r="AJ17" s="91">
        <f>IFERROR(IF(AJ$4="Yes",0,INDEX(Calculations!AR$9:AR$21,MATCH(SiteE!#REF!,Calculations!$A$9:$A$21,0))),0)</f>
        <v>0</v>
      </c>
      <c r="AK17" s="124">
        <f>IFERROR(SUM(U17:AI17)*'Project Info'!$D$28,0)</f>
        <v>0</v>
      </c>
      <c r="AL17" s="91">
        <f>IFERROR(INDEX(Calculations!BC$9:BC$21,MATCH(SiteE!#REF!,Calculations!$A$9:$A$21,0))*-1,0)</f>
        <v>0</v>
      </c>
      <c r="AM17" s="91">
        <f>IFERROR(INDEX(Calculations!BD$9:BD$21,MATCH(SiteE!#REF!,Calculations!$A$9:$A$21,0))*-1,0)</f>
        <v>0</v>
      </c>
      <c r="AN17" s="123">
        <f ca="1">IFERROR(SUM(OFFSET(Calculations!BE$9,MATCH(#REF!,Calculations!$A$9:$A$21,0)-1,0,1,4))*-1,0)</f>
        <v>0</v>
      </c>
      <c r="AO17" s="91">
        <f t="shared" ca="1" si="1"/>
        <v>0</v>
      </c>
      <c r="AP17" s="17"/>
      <c r="AQ17" s="4"/>
      <c r="AW17" s="91">
        <f>IFERROR(INDEX(Calculations!BL$9:BL$21,MATCH(#REF!,Calculations!$A$9:$A$21,0)),0)</f>
        <v>0</v>
      </c>
      <c r="AX17" s="91">
        <f>IFERROR(INDEX(Calculations!BM$9:BM$21,MATCH(#REF!,Calculations!$A$9:$A$21,0)),0)</f>
        <v>0</v>
      </c>
      <c r="AY17" s="91">
        <f>IFERROR(INDEX(Calculations!BN$9:BN$21,MATCH(#REF!,Calculations!$A$9:$A$21,0)),0)</f>
        <v>0</v>
      </c>
      <c r="AZ17" s="91">
        <f>IFERROR(INDEX(Calculations!BO$9:BO$21,MATCH(#REF!,Calculations!$A$9:$A$21,0)),0)</f>
        <v>0</v>
      </c>
      <c r="BA17" s="91">
        <f>IFERROR(INDEX(Calculations!BP$9:BP$21,MATCH(#REF!,Calculations!$A$9:$A$21,0)),0)</f>
        <v>0</v>
      </c>
    </row>
    <row r="18" spans="16:53">
      <c r="Q18" s="12"/>
      <c r="AK18" s="46"/>
      <c r="AN18" s="47"/>
    </row>
    <row r="19" spans="16:53" ht="15.6" thickBot="1">
      <c r="Q19" s="12"/>
      <c r="S19" s="61" t="str">
        <f>Calculations!A23</f>
        <v>Energy Use Intensity (kBtu/ft²)</v>
      </c>
      <c r="T19" s="193"/>
      <c r="U19" s="193"/>
      <c r="V19" s="193"/>
      <c r="W19" s="193"/>
      <c r="X19" s="193"/>
      <c r="Y19" s="193"/>
      <c r="Z19" s="193"/>
      <c r="AA19" s="193"/>
      <c r="AB19" s="193"/>
      <c r="AC19" s="193"/>
      <c r="AD19" s="193"/>
      <c r="AE19" s="193"/>
      <c r="AF19" s="193"/>
      <c r="AG19" s="193"/>
      <c r="AH19" s="193"/>
      <c r="AI19" s="193"/>
      <c r="AJ19" s="193"/>
      <c r="AK19" s="193"/>
      <c r="AL19" s="193"/>
      <c r="AM19" s="193"/>
      <c r="AN19" s="193"/>
      <c r="AO19" s="193"/>
      <c r="AP19" s="193"/>
      <c r="AQ19" s="193"/>
      <c r="AR19" s="193"/>
      <c r="AS19" s="193"/>
      <c r="AT19" s="193"/>
      <c r="AU19" s="193"/>
      <c r="AV19" s="193"/>
      <c r="AW19" s="193"/>
      <c r="AX19" s="193"/>
      <c r="AY19" s="193"/>
      <c r="AZ19" s="193"/>
      <c r="BA19" s="193"/>
    </row>
    <row r="20" spans="16:53">
      <c r="Q20" s="12"/>
      <c r="S20" s="20" t="str">
        <f>IF($D$3=0," ",$D$3)</f>
        <v>Proposed Design</v>
      </c>
      <c r="U20" s="103">
        <f>IFERROR(IF(U$4="Yes",0,INDEX(Calculations!AC$24:AC$36,MATCH(SiteE!$S20,Calculations!$A$9:$A$21,0))),0)</f>
        <v>2.8081769704072661</v>
      </c>
      <c r="V20" s="103">
        <f>IFERROR(IF(V$4="Yes",0,INDEX(Calculations!AD$24:AD$36,MATCH(SiteE!$S20,Calculations!$A$9:$A$21,0))),0)</f>
        <v>10.466057573981836</v>
      </c>
      <c r="W20" s="103">
        <f>IFERROR(IF(W$4="Yes",0,INDEX(Calculations!AE$24:AE$36,MATCH(SiteE!$S20,Calculations!$A$9:$A$21,0))),0)</f>
        <v>11.23445736888368</v>
      </c>
      <c r="X20" s="103">
        <f>IFERROR(IF(X$4="Yes",0,INDEX(Calculations!AF$24:AF$36,MATCH(SiteE!$S20,Calculations!$A$9:$A$21,0))),0)</f>
        <v>0</v>
      </c>
      <c r="Y20" s="103">
        <f>IFERROR(IF(Y$4="Yes",0,INDEX(Calculations!AG$24:AG$36,MATCH(SiteE!$S20,Calculations!$A$9:$A$21,0))),0)</f>
        <v>13.190883973044244</v>
      </c>
      <c r="Z20" s="103">
        <f>IFERROR(IF(Z$4="Yes",0,INDEX(Calculations!AH$24:AH$36,MATCH(SiteE!$S20,Calculations!$A$9:$A$21,0))),0)</f>
        <v>0</v>
      </c>
      <c r="AA20" s="103">
        <f>IFERROR(IF(AA$4="Yes",0,INDEX(Calculations!AI$24:AI$36,MATCH(SiteE!$S20,Calculations!$A$9:$A$21,0))),0)</f>
        <v>12.803684954585409</v>
      </c>
      <c r="AB20" s="103">
        <f>IFERROR(IF(AB$4="Yes",0,INDEX(Calculations!AJ$24:AJ$36,MATCH(SiteE!$S20,Calculations!$A$9:$A$21,0))),0)</f>
        <v>0</v>
      </c>
      <c r="AC20" s="103">
        <f>IFERROR(IF(AC$4="Yes",0,INDEX(Calculations!AK$24:AK$36,MATCH(SiteE!$S20,Calculations!$A$9:$A$21,0))),0)</f>
        <v>0</v>
      </c>
      <c r="AD20" s="103">
        <f>IFERROR(IF(AD$4="Yes",0,INDEX(Calculations!AL$24:AL$36,MATCH(SiteE!$S20,Calculations!$A$9:$A$21,0))),0)</f>
        <v>0</v>
      </c>
      <c r="AE20" s="103">
        <f>IFERROR(IF(AE$4="Yes",0,INDEX(Calculations!AM$24:AM$36,MATCH(SiteE!$S20,Calculations!$A$9:$A$21,0))),0)</f>
        <v>0</v>
      </c>
      <c r="AF20" s="103">
        <f>IFERROR(IF(AF$4="Yes",0,INDEX(Calculations!AN$24:AN$36,MATCH(SiteE!$S20,Calculations!$A$9:$A$21,0))),0)</f>
        <v>0</v>
      </c>
      <c r="AG20" s="103">
        <f>IFERROR(IF(AG$4="Yes",0,INDEX(Calculations!AO$24:AO$36,MATCH(SiteE!$S20,Calculations!$A$9:$A$21,0))),0)</f>
        <v>0</v>
      </c>
      <c r="AH20" s="103">
        <f>IFERROR(IF(AH$4="Yes",0,INDEX(Calculations!AP$24:AP$36,MATCH(SiteE!$S20,Calculations!$A$9:$A$21,0))),0)</f>
        <v>0</v>
      </c>
      <c r="AI20" s="103">
        <f>IFERROR(IF(AI$4="Yes",0,INDEX(Calculations!AQ$24:AQ$36,MATCH(SiteE!$S20,Calculations!$A$9:$A$21,0))),0)</f>
        <v>0</v>
      </c>
      <c r="AJ20" s="103">
        <f>IFERROR(IF(AJ$4="Yes",0,INDEX(Calculations!AR$24:AR$36,MATCH(SiteE!$S20,Calculations!$A$9:$A$21,0))),0)</f>
        <v>0</v>
      </c>
      <c r="AK20" s="126">
        <f>IFERROR(SUM(U20:AI20)*'Project Info'!$D$28,0)</f>
        <v>0</v>
      </c>
      <c r="AL20" s="103">
        <f>IFERROR(INDEX(Calculations!BC$24:BC$36,MATCH(SiteE!$S20,Calculations!$A$9:$A$21,0))*-1,0)</f>
        <v>0</v>
      </c>
      <c r="AM20" s="103">
        <f>IFERROR(INDEX(Calculations!BD$24:BD$36,MATCH(SiteE!$S20,Calculations!$A$9:$A$21,0))*-1,0)</f>
        <v>0</v>
      </c>
      <c r="AN20" s="125">
        <f ca="1">IFERROR(SUM(OFFSET(Calculations!BE$24,MATCH($S20,Calculations!$A$9:$A$21,0)-1,0,1,4))*-1,0)</f>
        <v>0</v>
      </c>
      <c r="AO20" s="103">
        <f t="shared" ref="AO20:AO31" ca="1" si="4">SUM(U20:AN20)</f>
        <v>50.503260840902435</v>
      </c>
      <c r="AP20" s="17"/>
      <c r="AQ20" s="4" t="str">
        <f>'Project Info'!D20</f>
        <v>NA</v>
      </c>
      <c r="AS20" s="4" t="e">
        <f>CONCATENATE(AQ20*100,"% LEED Target")</f>
        <v>#VALUE!</v>
      </c>
      <c r="AT20" s="103" t="e">
        <f>Calculations!BQ24*(1-AQ20)</f>
        <v>#VALUE!</v>
      </c>
      <c r="AU20" s="103" t="e">
        <f>AT20</f>
        <v>#VALUE!</v>
      </c>
      <c r="AW20" s="103">
        <f>IFERROR(INDEX(Calculations!BL$24:BL$36,MATCH($S20,Calculations!$A$24:$A$36,0)),0)</f>
        <v>50.503260840902435</v>
      </c>
      <c r="AX20" s="103">
        <f>IFERROR(INDEX(Calculations!BM$24:BM$36,MATCH($S20,Calculations!$A$24:$A$36,0)),0)</f>
        <v>0</v>
      </c>
      <c r="AY20" s="103">
        <f>IFERROR(INDEX(Calculations!BN$24:BN$36,MATCH($S20,Calculations!$A$24:$A$36,0)),0)</f>
        <v>0</v>
      </c>
      <c r="AZ20" s="103">
        <f>IFERROR(INDEX(Calculations!BO$24:BO$36,MATCH($S20,Calculations!$A$24:$A$36,0)),0)</f>
        <v>0</v>
      </c>
      <c r="BA20" s="103">
        <f>IFERROR(INDEX(Calculations!BP$24:BP$36,MATCH($S20,Calculations!$A$24:$A$36,0)),0)</f>
        <v>0</v>
      </c>
    </row>
    <row r="21" spans="16:53">
      <c r="Q21" s="12"/>
      <c r="S21" s="20" t="str">
        <f>IF($E$3=0," ",$E$3)</f>
        <v xml:space="preserve"> </v>
      </c>
      <c r="U21" s="103">
        <f>IFERROR(IF(U$4="Yes",0,INDEX(Calculations!AC$24:AC$36,MATCH(SiteE!$S21,Calculations!$A$9:$A$21,0))),0)</f>
        <v>0</v>
      </c>
      <c r="V21" s="103">
        <f>IFERROR(IF(V$4="Yes",0,INDEX(Calculations!AD$24:AD$36,MATCH(SiteE!$S21,Calculations!$A$9:$A$21,0))),0)</f>
        <v>0</v>
      </c>
      <c r="W21" s="103">
        <f>IFERROR(IF(W$4="Yes",0,INDEX(Calculations!AE$24:AE$36,MATCH(SiteE!$S21,Calculations!$A$9:$A$21,0))),0)</f>
        <v>0</v>
      </c>
      <c r="X21" s="103">
        <f>IFERROR(IF(X$4="Yes",0,INDEX(Calculations!AF$24:AF$36,MATCH(SiteE!$S21,Calculations!$A$9:$A$21,0))),0)</f>
        <v>0</v>
      </c>
      <c r="Y21" s="103">
        <f>IFERROR(IF(Y$4="Yes",0,INDEX(Calculations!AG$24:AG$36,MATCH(SiteE!$S21,Calculations!$A$9:$A$21,0))),0)</f>
        <v>0</v>
      </c>
      <c r="Z21" s="103">
        <f>IFERROR(IF(Z$4="Yes",0,INDEX(Calculations!AH$24:AH$36,MATCH(SiteE!$S21,Calculations!$A$9:$A$21,0))),0)</f>
        <v>0</v>
      </c>
      <c r="AA21" s="103">
        <f>IFERROR(IF(AA$4="Yes",0,INDEX(Calculations!AI$24:AI$36,MATCH(SiteE!$S21,Calculations!$A$9:$A$21,0))),0)</f>
        <v>0</v>
      </c>
      <c r="AB21" s="103">
        <f>IFERROR(IF(AB$4="Yes",0,INDEX(Calculations!AJ$24:AJ$36,MATCH(SiteE!$S21,Calculations!$A$9:$A$21,0))),0)</f>
        <v>0</v>
      </c>
      <c r="AC21" s="103">
        <f>IFERROR(IF(AC$4="Yes",0,INDEX(Calculations!AK$24:AK$36,MATCH(SiteE!$S21,Calculations!$A$9:$A$21,0))),0)</f>
        <v>0</v>
      </c>
      <c r="AD21" s="103">
        <f>IFERROR(IF(AD$4="Yes",0,INDEX(Calculations!AL$24:AL$36,MATCH(SiteE!$S21,Calculations!$A$9:$A$21,0))),0)</f>
        <v>0</v>
      </c>
      <c r="AE21" s="103">
        <f>IFERROR(IF(AE$4="Yes",0,INDEX(Calculations!AM$24:AM$36,MATCH(SiteE!$S21,Calculations!$A$9:$A$21,0))),0)</f>
        <v>0</v>
      </c>
      <c r="AF21" s="103">
        <f>IFERROR(IF(AF$4="Yes",0,INDEX(Calculations!AN$24:AN$36,MATCH(SiteE!$S21,Calculations!$A$9:$A$21,0))),0)</f>
        <v>0</v>
      </c>
      <c r="AG21" s="103">
        <f>IFERROR(IF(AG$4="Yes",0,INDEX(Calculations!AO$24:AO$36,MATCH(SiteE!$S21,Calculations!$A$9:$A$21,0))),0)</f>
        <v>0</v>
      </c>
      <c r="AH21" s="103">
        <f>IFERROR(IF(AH$4="Yes",0,INDEX(Calculations!AP$24:AP$36,MATCH(SiteE!$S21,Calculations!$A$9:$A$21,0))),0)</f>
        <v>0</v>
      </c>
      <c r="AI21" s="103">
        <f>IFERROR(IF(AI$4="Yes",0,INDEX(Calculations!AQ$24:AQ$36,MATCH(SiteE!$S21,Calculations!$A$9:$A$21,0))),0)</f>
        <v>0</v>
      </c>
      <c r="AJ21" s="103">
        <f>IFERROR(IF(AJ$4="Yes",0,INDEX(Calculations!AR$24:AR$36,MATCH(SiteE!$S21,Calculations!$A$9:$A$21,0))),0)</f>
        <v>0</v>
      </c>
      <c r="AK21" s="126">
        <f>IFERROR(SUM(U21:AI21)*'Project Info'!$D$28,0)</f>
        <v>0</v>
      </c>
      <c r="AL21" s="103">
        <f>IFERROR(INDEX(Calculations!BC$24:BC$36,MATCH(SiteE!$S21,Calculations!$A$9:$A$21,0))*-1,0)</f>
        <v>0</v>
      </c>
      <c r="AM21" s="103">
        <f>IFERROR(INDEX(Calculations!BD$24:BD$36,MATCH(SiteE!$S21,Calculations!$A$9:$A$21,0))*-1,0)</f>
        <v>0</v>
      </c>
      <c r="AN21" s="125">
        <f ca="1">IFERROR(SUM(OFFSET(Calculations!BE$24,MATCH($S21,Calculations!$A$9:$A$21,0)-1,0,1,4))*-1,0)</f>
        <v>0</v>
      </c>
      <c r="AO21" s="103">
        <f t="shared" ca="1" si="4"/>
        <v>0</v>
      </c>
      <c r="AP21" s="17"/>
      <c r="AQ21" s="4" t="str">
        <f>'Project Info'!E20</f>
        <v>NA</v>
      </c>
      <c r="AS21" s="4" t="e">
        <f>CONCATENATE(AQ21*100,"% Code Target")</f>
        <v>#VALUE!</v>
      </c>
      <c r="AT21" s="103" t="e">
        <f>Calculations!BQ25*(1-AQ21)</f>
        <v>#VALUE!</v>
      </c>
      <c r="AU21" s="103" t="e">
        <f>AT21</f>
        <v>#VALUE!</v>
      </c>
      <c r="AW21" s="103">
        <f>IFERROR(INDEX(Calculations!BL$24:BL$36,MATCH($S21,Calculations!$A$24:$A$36,0)),0)</f>
        <v>0</v>
      </c>
      <c r="AX21" s="103">
        <f>IFERROR(INDEX(Calculations!BM$24:BM$36,MATCH($S21,Calculations!$A$24:$A$36,0)),0)</f>
        <v>0</v>
      </c>
      <c r="AY21" s="103">
        <f>IFERROR(INDEX(Calculations!BN$24:BN$36,MATCH($S21,Calculations!$A$24:$A$36,0)),0)</f>
        <v>0</v>
      </c>
      <c r="AZ21" s="103">
        <f>IFERROR(INDEX(Calculations!BO$24:BO$36,MATCH($S21,Calculations!$A$24:$A$36,0)),0)</f>
        <v>0</v>
      </c>
      <c r="BA21" s="103">
        <f>IFERROR(INDEX(Calculations!BP$24:BP$36,MATCH($S21,Calculations!$A$24:$A$36,0)),0)</f>
        <v>0</v>
      </c>
    </row>
    <row r="22" spans="16:53">
      <c r="Q22" s="12"/>
      <c r="S22" s="20" t="str">
        <f>IF($F$3=0," ",$F$3)</f>
        <v xml:space="preserve"> </v>
      </c>
      <c r="U22" s="103">
        <f>IFERROR(IF(U$4="Yes",0,INDEX(Calculations!AC$24:AC$36,MATCH(SiteE!$S22,Calculations!$A$9:$A$21,0))),0)</f>
        <v>0</v>
      </c>
      <c r="V22" s="103">
        <f>IFERROR(IF(V$4="Yes",0,INDEX(Calculations!AD$24:AD$36,MATCH(SiteE!$S22,Calculations!$A$9:$A$21,0))),0)</f>
        <v>0</v>
      </c>
      <c r="W22" s="103">
        <f>IFERROR(IF(W$4="Yes",0,INDEX(Calculations!AE$24:AE$36,MATCH(SiteE!$S22,Calculations!$A$9:$A$21,0))),0)</f>
        <v>0</v>
      </c>
      <c r="X22" s="103">
        <f>IFERROR(IF(X$4="Yes",0,INDEX(Calculations!AF$24:AF$36,MATCH(SiteE!$S22,Calculations!$A$9:$A$21,0))),0)</f>
        <v>0</v>
      </c>
      <c r="Y22" s="103">
        <f>IFERROR(IF(Y$4="Yes",0,INDEX(Calculations!AG$24:AG$36,MATCH(SiteE!$S22,Calculations!$A$9:$A$21,0))),0)</f>
        <v>0</v>
      </c>
      <c r="Z22" s="103">
        <f>IFERROR(IF(Z$4="Yes",0,INDEX(Calculations!AH$24:AH$36,MATCH(SiteE!$S22,Calculations!$A$9:$A$21,0))),0)</f>
        <v>0</v>
      </c>
      <c r="AA22" s="103">
        <f>IFERROR(IF(AA$4="Yes",0,INDEX(Calculations!AI$24:AI$36,MATCH(SiteE!$S22,Calculations!$A$9:$A$21,0))),0)</f>
        <v>0</v>
      </c>
      <c r="AB22" s="103">
        <f>IFERROR(IF(AB$4="Yes",0,INDEX(Calculations!AJ$24:AJ$36,MATCH(SiteE!$S22,Calculations!$A$9:$A$21,0))),0)</f>
        <v>0</v>
      </c>
      <c r="AC22" s="103">
        <f>IFERROR(IF(AC$4="Yes",0,INDEX(Calculations!AK$24:AK$36,MATCH(SiteE!$S22,Calculations!$A$9:$A$21,0))),0)</f>
        <v>0</v>
      </c>
      <c r="AD22" s="103">
        <f>IFERROR(IF(AD$4="Yes",0,INDEX(Calculations!AL$24:AL$36,MATCH(SiteE!$S22,Calculations!$A$9:$A$21,0))),0)</f>
        <v>0</v>
      </c>
      <c r="AE22" s="103">
        <f>IFERROR(IF(AE$4="Yes",0,INDEX(Calculations!AM$24:AM$36,MATCH(SiteE!$S22,Calculations!$A$9:$A$21,0))),0)</f>
        <v>0</v>
      </c>
      <c r="AF22" s="103">
        <f>IFERROR(IF(AF$4="Yes",0,INDEX(Calculations!AN$24:AN$36,MATCH(SiteE!$S22,Calculations!$A$9:$A$21,0))),0)</f>
        <v>0</v>
      </c>
      <c r="AG22" s="103">
        <f>IFERROR(IF(AG$4="Yes",0,INDEX(Calculations!AO$24:AO$36,MATCH(SiteE!$S22,Calculations!$A$9:$A$21,0))),0)</f>
        <v>0</v>
      </c>
      <c r="AH22" s="103">
        <f>IFERROR(IF(AH$4="Yes",0,INDEX(Calculations!AP$24:AP$36,MATCH(SiteE!$S22,Calculations!$A$9:$A$21,0))),0)</f>
        <v>0</v>
      </c>
      <c r="AI22" s="103">
        <f>IFERROR(IF(AI$4="Yes",0,INDEX(Calculations!AQ$24:AQ$36,MATCH(SiteE!$S22,Calculations!$A$9:$A$21,0))),0)</f>
        <v>0</v>
      </c>
      <c r="AJ22" s="103">
        <f>IFERROR(IF(AJ$4="Yes",0,INDEX(Calculations!AR$24:AR$36,MATCH(SiteE!$S22,Calculations!$A$9:$A$21,0))),0)</f>
        <v>0</v>
      </c>
      <c r="AK22" s="126">
        <f>IFERROR(SUM(U22:AI22)*'Project Info'!$D$28,0)</f>
        <v>0</v>
      </c>
      <c r="AL22" s="103">
        <f>IFERROR(INDEX(Calculations!BC$24:BC$36,MATCH(SiteE!$S22,Calculations!$A$9:$A$21,0))*-1,0)</f>
        <v>0</v>
      </c>
      <c r="AM22" s="103">
        <f>IFERROR(INDEX(Calculations!BD$24:BD$36,MATCH(SiteE!$S22,Calculations!$A$9:$A$21,0))*-1,0)</f>
        <v>0</v>
      </c>
      <c r="AN22" s="125">
        <f ca="1">IFERROR(SUM(OFFSET(Calculations!BE$24,MATCH($S22,Calculations!$A$9:$A$21,0)-1,0,1,4))*-1,0)</f>
        <v>0</v>
      </c>
      <c r="AO22" s="103">
        <f t="shared" ca="1" si="4"/>
        <v>0</v>
      </c>
      <c r="AP22" s="17"/>
      <c r="AQ22" s="4"/>
      <c r="AW22" s="103">
        <f>IFERROR(INDEX(Calculations!BL$24:BL$36,MATCH($S22,Calculations!$A$24:$A$36,0)),0)</f>
        <v>0</v>
      </c>
      <c r="AX22" s="103">
        <f>IFERROR(INDEX(Calculations!BM$24:BM$36,MATCH($S22,Calculations!$A$24:$A$36,0)),0)</f>
        <v>0</v>
      </c>
      <c r="AY22" s="103">
        <f>IFERROR(INDEX(Calculations!BN$24:BN$36,MATCH($S22,Calculations!$A$24:$A$36,0)),0)</f>
        <v>0</v>
      </c>
      <c r="AZ22" s="103">
        <f>IFERROR(INDEX(Calculations!BO$24:BO$36,MATCH($S22,Calculations!$A$24:$A$36,0)),0)</f>
        <v>0</v>
      </c>
      <c r="BA22" s="103">
        <f>IFERROR(INDEX(Calculations!BP$24:BP$36,MATCH($S22,Calculations!$A$24:$A$36,0)),0)</f>
        <v>0</v>
      </c>
    </row>
    <row r="23" spans="16:53">
      <c r="Q23" s="12"/>
      <c r="S23" s="20" t="str">
        <f>IF($G$3=0," ",$G$3)</f>
        <v xml:space="preserve"> </v>
      </c>
      <c r="U23" s="103">
        <f>IFERROR(IF(U$4="Yes",0,INDEX(Calculations!AC$24:AC$36,MATCH(SiteE!$S23,Calculations!$A$9:$A$21,0))),0)</f>
        <v>0</v>
      </c>
      <c r="V23" s="103">
        <f>IFERROR(IF(V$4="Yes",0,INDEX(Calculations!AD$24:AD$36,MATCH(SiteE!$S23,Calculations!$A$9:$A$21,0))),0)</f>
        <v>0</v>
      </c>
      <c r="W23" s="103">
        <f>IFERROR(IF(W$4="Yes",0,INDEX(Calculations!AE$24:AE$36,MATCH(SiteE!$S23,Calculations!$A$9:$A$21,0))),0)</f>
        <v>0</v>
      </c>
      <c r="X23" s="103">
        <f>IFERROR(IF(X$4="Yes",0,INDEX(Calculations!AF$24:AF$36,MATCH(SiteE!$S23,Calculations!$A$9:$A$21,0))),0)</f>
        <v>0</v>
      </c>
      <c r="Y23" s="103">
        <f>IFERROR(IF(Y$4="Yes",0,INDEX(Calculations!AG$24:AG$36,MATCH(SiteE!$S23,Calculations!$A$9:$A$21,0))),0)</f>
        <v>0</v>
      </c>
      <c r="Z23" s="103">
        <f>IFERROR(IF(Z$4="Yes",0,INDEX(Calculations!AH$24:AH$36,MATCH(SiteE!$S23,Calculations!$A$9:$A$21,0))),0)</f>
        <v>0</v>
      </c>
      <c r="AA23" s="103">
        <f>IFERROR(IF(AA$4="Yes",0,INDEX(Calculations!AI$24:AI$36,MATCH(SiteE!$S23,Calculations!$A$9:$A$21,0))),0)</f>
        <v>0</v>
      </c>
      <c r="AB23" s="103">
        <f>IFERROR(IF(AB$4="Yes",0,INDEX(Calculations!AJ$24:AJ$36,MATCH(SiteE!$S23,Calculations!$A$9:$A$21,0))),0)</f>
        <v>0</v>
      </c>
      <c r="AC23" s="103">
        <f>IFERROR(IF(AC$4="Yes",0,INDEX(Calculations!AK$24:AK$36,MATCH(SiteE!$S23,Calculations!$A$9:$A$21,0))),0)</f>
        <v>0</v>
      </c>
      <c r="AD23" s="103">
        <f>IFERROR(IF(AD$4="Yes",0,INDEX(Calculations!AL$24:AL$36,MATCH(SiteE!$S23,Calculations!$A$9:$A$21,0))),0)</f>
        <v>0</v>
      </c>
      <c r="AE23" s="103">
        <f>IFERROR(IF(AE$4="Yes",0,INDEX(Calculations!AM$24:AM$36,MATCH(SiteE!$S23,Calculations!$A$9:$A$21,0))),0)</f>
        <v>0</v>
      </c>
      <c r="AF23" s="103">
        <f>IFERROR(IF(AF$4="Yes",0,INDEX(Calculations!AN$24:AN$36,MATCH(SiteE!$S23,Calculations!$A$9:$A$21,0))),0)</f>
        <v>0</v>
      </c>
      <c r="AG23" s="103">
        <f>IFERROR(IF(AG$4="Yes",0,INDEX(Calculations!AO$24:AO$36,MATCH(SiteE!$S23,Calculations!$A$9:$A$21,0))),0)</f>
        <v>0</v>
      </c>
      <c r="AH23" s="103">
        <f>IFERROR(IF(AH$4="Yes",0,INDEX(Calculations!AP$24:AP$36,MATCH(SiteE!$S23,Calculations!$A$9:$A$21,0))),0)</f>
        <v>0</v>
      </c>
      <c r="AI23" s="103">
        <f>IFERROR(IF(AI$4="Yes",0,INDEX(Calculations!AQ$24:AQ$36,MATCH(SiteE!$S23,Calculations!$A$9:$A$21,0))),0)</f>
        <v>0</v>
      </c>
      <c r="AJ23" s="103">
        <f>IFERROR(IF(AJ$4="Yes",0,INDEX(Calculations!AR$24:AR$36,MATCH(SiteE!$S23,Calculations!$A$9:$A$21,0))),0)</f>
        <v>0</v>
      </c>
      <c r="AK23" s="126">
        <f>IFERROR(SUM(U23:AI23)*'Project Info'!$D$28,0)</f>
        <v>0</v>
      </c>
      <c r="AL23" s="103">
        <f>IFERROR(INDEX(Calculations!BC$24:BC$36,MATCH(SiteE!$S23,Calculations!$A$9:$A$21,0))*-1,0)</f>
        <v>0</v>
      </c>
      <c r="AM23" s="103">
        <f>IFERROR(INDEX(Calculations!BD$24:BD$36,MATCH(SiteE!$S23,Calculations!$A$9:$A$21,0))*-1,0)</f>
        <v>0</v>
      </c>
      <c r="AN23" s="125">
        <f ca="1">IFERROR(SUM(OFFSET(Calculations!BE$24,MATCH($S23,Calculations!$A$9:$A$21,0)-1,0,1,4))*-1,0)</f>
        <v>0</v>
      </c>
      <c r="AO23" s="103">
        <f t="shared" ca="1" si="4"/>
        <v>0</v>
      </c>
      <c r="AP23" s="17"/>
      <c r="AQ23" s="4"/>
      <c r="AW23" s="103">
        <f>IFERROR(INDEX(Calculations!BL$24:BL$36,MATCH($S23,Calculations!$A$24:$A$36,0)),0)</f>
        <v>0</v>
      </c>
      <c r="AX23" s="103">
        <f>IFERROR(INDEX(Calculations!BM$24:BM$36,MATCH($S23,Calculations!$A$24:$A$36,0)),0)</f>
        <v>0</v>
      </c>
      <c r="AY23" s="103">
        <f>IFERROR(INDEX(Calculations!BN$24:BN$36,MATCH($S23,Calculations!$A$24:$A$36,0)),0)</f>
        <v>0</v>
      </c>
      <c r="AZ23" s="103">
        <f>IFERROR(INDEX(Calculations!BO$24:BO$36,MATCH($S23,Calculations!$A$24:$A$36,0)),0)</f>
        <v>0</v>
      </c>
      <c r="BA23" s="103">
        <f>IFERROR(INDEX(Calculations!BP$24:BP$36,MATCH($S23,Calculations!$A$24:$A$36,0)),0)</f>
        <v>0</v>
      </c>
    </row>
    <row r="24" spans="16:53">
      <c r="Q24" s="12"/>
      <c r="S24" s="20" t="str">
        <f>IF($H$3=0," ",$H$3)</f>
        <v xml:space="preserve"> </v>
      </c>
      <c r="U24" s="103">
        <f>IFERROR(IF(U$4="Yes",0,INDEX(Calculations!AC$24:AC$36,MATCH(SiteE!$S24,Calculations!$A$9:$A$21,0))),0)</f>
        <v>0</v>
      </c>
      <c r="V24" s="103">
        <f>IFERROR(IF(V$4="Yes",0,INDEX(Calculations!AD$24:AD$36,MATCH(SiteE!$S24,Calculations!$A$9:$A$21,0))),0)</f>
        <v>0</v>
      </c>
      <c r="W24" s="103">
        <f>IFERROR(IF(W$4="Yes",0,INDEX(Calculations!AE$24:AE$36,MATCH(SiteE!$S24,Calculations!$A$9:$A$21,0))),0)</f>
        <v>0</v>
      </c>
      <c r="X24" s="103">
        <f>IFERROR(IF(X$4="Yes",0,INDEX(Calculations!AF$24:AF$36,MATCH(SiteE!$S24,Calculations!$A$9:$A$21,0))),0)</f>
        <v>0</v>
      </c>
      <c r="Y24" s="103">
        <f>IFERROR(IF(Y$4="Yes",0,INDEX(Calculations!AG$24:AG$36,MATCH(SiteE!$S24,Calculations!$A$9:$A$21,0))),0)</f>
        <v>0</v>
      </c>
      <c r="Z24" s="103">
        <f>IFERROR(IF(Z$4="Yes",0,INDEX(Calculations!AH$24:AH$36,MATCH(SiteE!$S24,Calculations!$A$9:$A$21,0))),0)</f>
        <v>0</v>
      </c>
      <c r="AA24" s="103">
        <f>IFERROR(IF(AA$4="Yes",0,INDEX(Calculations!AI$24:AI$36,MATCH(SiteE!$S24,Calculations!$A$9:$A$21,0))),0)</f>
        <v>0</v>
      </c>
      <c r="AB24" s="103">
        <f>IFERROR(IF(AB$4="Yes",0,INDEX(Calculations!AJ$24:AJ$36,MATCH(SiteE!$S24,Calculations!$A$9:$A$21,0))),0)</f>
        <v>0</v>
      </c>
      <c r="AC24" s="103">
        <f>IFERROR(IF(AC$4="Yes",0,INDEX(Calculations!AK$24:AK$36,MATCH(SiteE!$S24,Calculations!$A$9:$A$21,0))),0)</f>
        <v>0</v>
      </c>
      <c r="AD24" s="103">
        <f>IFERROR(IF(AD$4="Yes",0,INDEX(Calculations!AL$24:AL$36,MATCH(SiteE!$S24,Calculations!$A$9:$A$21,0))),0)</f>
        <v>0</v>
      </c>
      <c r="AE24" s="103">
        <f>IFERROR(IF(AE$4="Yes",0,INDEX(Calculations!AM$24:AM$36,MATCH(SiteE!$S24,Calculations!$A$9:$A$21,0))),0)</f>
        <v>0</v>
      </c>
      <c r="AF24" s="103">
        <f>IFERROR(IF(AF$4="Yes",0,INDEX(Calculations!AN$24:AN$36,MATCH(SiteE!$S24,Calculations!$A$9:$A$21,0))),0)</f>
        <v>0</v>
      </c>
      <c r="AG24" s="103">
        <f>IFERROR(IF(AG$4="Yes",0,INDEX(Calculations!AO$24:AO$36,MATCH(SiteE!$S24,Calculations!$A$9:$A$21,0))),0)</f>
        <v>0</v>
      </c>
      <c r="AH24" s="103">
        <f>IFERROR(IF(AH$4="Yes",0,INDEX(Calculations!AP$24:AP$36,MATCH(SiteE!$S24,Calculations!$A$9:$A$21,0))),0)</f>
        <v>0</v>
      </c>
      <c r="AI24" s="103">
        <f>IFERROR(IF(AI$4="Yes",0,INDEX(Calculations!AQ$24:AQ$36,MATCH(SiteE!$S24,Calculations!$A$9:$A$21,0))),0)</f>
        <v>0</v>
      </c>
      <c r="AJ24" s="103">
        <f>IFERROR(IF(AJ$4="Yes",0,INDEX(Calculations!AR$24:AR$36,MATCH(SiteE!$S24,Calculations!$A$9:$A$21,0))),0)</f>
        <v>0</v>
      </c>
      <c r="AK24" s="126">
        <f>IFERROR(SUM(U24:AI24)*'Project Info'!$D$28,0)</f>
        <v>0</v>
      </c>
      <c r="AL24" s="103">
        <f>IFERROR(INDEX(Calculations!BC$24:BC$36,MATCH(SiteE!$S24,Calculations!$A$9:$A$21,0))*-1,0)</f>
        <v>0</v>
      </c>
      <c r="AM24" s="103">
        <f>IFERROR(INDEX(Calculations!BD$24:BD$36,MATCH(SiteE!$S24,Calculations!$A$9:$A$21,0))*-1,0)</f>
        <v>0</v>
      </c>
      <c r="AN24" s="125">
        <f ca="1">IFERROR(SUM(OFFSET(Calculations!BE$24,MATCH($S24,Calculations!$A$9:$A$21,0)-1,0,1,4))*-1,0)</f>
        <v>0</v>
      </c>
      <c r="AO24" s="103">
        <f t="shared" ca="1" si="4"/>
        <v>0</v>
      </c>
      <c r="AP24" s="17"/>
      <c r="AQ24" s="4"/>
      <c r="AW24" s="103">
        <f>IFERROR(INDEX(Calculations!BL$24:BL$36,MATCH($S24,Calculations!$A$24:$A$36,0)),0)</f>
        <v>0</v>
      </c>
      <c r="AX24" s="103">
        <f>IFERROR(INDEX(Calculations!BM$24:BM$36,MATCH($S24,Calculations!$A$24:$A$36,0)),0)</f>
        <v>0</v>
      </c>
      <c r="AY24" s="103">
        <f>IFERROR(INDEX(Calculations!BN$24:BN$36,MATCH($S24,Calculations!$A$24:$A$36,0)),0)</f>
        <v>0</v>
      </c>
      <c r="AZ24" s="103">
        <f>IFERROR(INDEX(Calculations!BO$24:BO$36,MATCH($S24,Calculations!$A$24:$A$36,0)),0)</f>
        <v>0</v>
      </c>
      <c r="BA24" s="103">
        <f>IFERROR(INDEX(Calculations!BP$24:BP$36,MATCH($S24,Calculations!$A$24:$A$36,0)),0)</f>
        <v>0</v>
      </c>
    </row>
    <row r="25" spans="16:53">
      <c r="Q25" s="12"/>
      <c r="S25" s="20" t="str">
        <f>IF($I$3=0," ",$I$3)</f>
        <v xml:space="preserve"> </v>
      </c>
      <c r="U25" s="103">
        <f>IFERROR(IF(U$4="Yes",0,INDEX(Calculations!AC$24:AC$36,MATCH(SiteE!$S25,Calculations!$A$9:$A$21,0))),0)</f>
        <v>0</v>
      </c>
      <c r="V25" s="103">
        <f>IFERROR(IF(V$4="Yes",0,INDEX(Calculations!AD$24:AD$36,MATCH(SiteE!$S25,Calculations!$A$9:$A$21,0))),0)</f>
        <v>0</v>
      </c>
      <c r="W25" s="103">
        <f>IFERROR(IF(W$4="Yes",0,INDEX(Calculations!AE$24:AE$36,MATCH(SiteE!$S25,Calculations!$A$9:$A$21,0))),0)</f>
        <v>0</v>
      </c>
      <c r="X25" s="103">
        <f>IFERROR(IF(X$4="Yes",0,INDEX(Calculations!AF$24:AF$36,MATCH(SiteE!$S25,Calculations!$A$9:$A$21,0))),0)</f>
        <v>0</v>
      </c>
      <c r="Y25" s="103">
        <f>IFERROR(IF(Y$4="Yes",0,INDEX(Calculations!AG$24:AG$36,MATCH(SiteE!$S25,Calculations!$A$9:$A$21,0))),0)</f>
        <v>0</v>
      </c>
      <c r="Z25" s="103">
        <f>IFERROR(IF(Z$4="Yes",0,INDEX(Calculations!AH$24:AH$36,MATCH(SiteE!$S25,Calculations!$A$9:$A$21,0))),0)</f>
        <v>0</v>
      </c>
      <c r="AA25" s="103">
        <f>IFERROR(IF(AA$4="Yes",0,INDEX(Calculations!AI$24:AI$36,MATCH(SiteE!$S25,Calculations!$A$9:$A$21,0))),0)</f>
        <v>0</v>
      </c>
      <c r="AB25" s="103">
        <f>IFERROR(IF(AB$4="Yes",0,INDEX(Calculations!AJ$24:AJ$36,MATCH(SiteE!$S25,Calculations!$A$9:$A$21,0))),0)</f>
        <v>0</v>
      </c>
      <c r="AC25" s="103">
        <f>IFERROR(IF(AC$4="Yes",0,INDEX(Calculations!AK$24:AK$36,MATCH(SiteE!$S25,Calculations!$A$9:$A$21,0))),0)</f>
        <v>0</v>
      </c>
      <c r="AD25" s="103">
        <f>IFERROR(IF(AD$4="Yes",0,INDEX(Calculations!AL$24:AL$36,MATCH(SiteE!$S25,Calculations!$A$9:$A$21,0))),0)</f>
        <v>0</v>
      </c>
      <c r="AE25" s="103">
        <f>IFERROR(IF(AE$4="Yes",0,INDEX(Calculations!AM$24:AM$36,MATCH(SiteE!$S25,Calculations!$A$9:$A$21,0))),0)</f>
        <v>0</v>
      </c>
      <c r="AF25" s="103">
        <f>IFERROR(IF(AF$4="Yes",0,INDEX(Calculations!AN$24:AN$36,MATCH(SiteE!$S25,Calculations!$A$9:$A$21,0))),0)</f>
        <v>0</v>
      </c>
      <c r="AG25" s="103">
        <f>IFERROR(IF(AG$4="Yes",0,INDEX(Calculations!AO$24:AO$36,MATCH(SiteE!$S25,Calculations!$A$9:$A$21,0))),0)</f>
        <v>0</v>
      </c>
      <c r="AH25" s="103">
        <f>IFERROR(IF(AH$4="Yes",0,INDEX(Calculations!AP$24:AP$36,MATCH(SiteE!$S25,Calculations!$A$9:$A$21,0))),0)</f>
        <v>0</v>
      </c>
      <c r="AI25" s="103">
        <f>IFERROR(IF(AI$4="Yes",0,INDEX(Calculations!AQ$24:AQ$36,MATCH(SiteE!$S25,Calculations!$A$9:$A$21,0))),0)</f>
        <v>0</v>
      </c>
      <c r="AJ25" s="103">
        <f>IFERROR(IF(AJ$4="Yes",0,INDEX(Calculations!AR$24:AR$36,MATCH(SiteE!$S25,Calculations!$A$9:$A$21,0))),0)</f>
        <v>0</v>
      </c>
      <c r="AK25" s="126">
        <f>IFERROR(SUM(U25:AI25)*'Project Info'!$D$28,0)</f>
        <v>0</v>
      </c>
      <c r="AL25" s="103">
        <f>IFERROR(INDEX(Calculations!BC$24:BC$36,MATCH(SiteE!$S25,Calculations!$A$9:$A$21,0))*-1,0)</f>
        <v>0</v>
      </c>
      <c r="AM25" s="103">
        <f>IFERROR(INDEX(Calculations!BD$24:BD$36,MATCH(SiteE!$S25,Calculations!$A$9:$A$21,0))*-1,0)</f>
        <v>0</v>
      </c>
      <c r="AN25" s="125">
        <f ca="1">IFERROR(SUM(OFFSET(Calculations!BE$24,MATCH($S25,Calculations!$A$9:$A$21,0)-1,0,1,4))*-1,0)</f>
        <v>0</v>
      </c>
      <c r="AO25" s="103">
        <f t="shared" ca="1" si="4"/>
        <v>0</v>
      </c>
      <c r="AP25" s="17"/>
      <c r="AQ25" s="4"/>
      <c r="AW25" s="103">
        <f>IFERROR(INDEX(Calculations!BL$24:BL$36,MATCH($S25,Calculations!$A$24:$A$36,0)),0)</f>
        <v>0</v>
      </c>
      <c r="AX25" s="103">
        <f>IFERROR(INDEX(Calculations!BM$24:BM$36,MATCH($S25,Calculations!$A$24:$A$36,0)),0)</f>
        <v>0</v>
      </c>
      <c r="AY25" s="103">
        <f>IFERROR(INDEX(Calculations!BN$24:BN$36,MATCH($S25,Calculations!$A$24:$A$36,0)),0)</f>
        <v>0</v>
      </c>
      <c r="AZ25" s="103">
        <f>IFERROR(INDEX(Calculations!BO$24:BO$36,MATCH($S25,Calculations!$A$24:$A$36,0)),0)</f>
        <v>0</v>
      </c>
      <c r="BA25" s="103">
        <f>IFERROR(INDEX(Calculations!BP$24:BP$36,MATCH($S25,Calculations!$A$24:$A$36,0)),0)</f>
        <v>0</v>
      </c>
    </row>
    <row r="26" spans="16:53">
      <c r="Q26" s="12"/>
      <c r="S26" s="20" t="str">
        <f>IF($J$3=0," ",$J$3)</f>
        <v xml:space="preserve"> </v>
      </c>
      <c r="U26" s="103">
        <f>IFERROR(IF(U$4="Yes",0,INDEX(Calculations!AC$24:AC$36,MATCH(SiteE!$S26,Calculations!$A$9:$A$21,0))),0)</f>
        <v>0</v>
      </c>
      <c r="V26" s="103">
        <f>IFERROR(IF(V$4="Yes",0,INDEX(Calculations!AD$24:AD$36,MATCH(SiteE!$S26,Calculations!$A$9:$A$21,0))),0)</f>
        <v>0</v>
      </c>
      <c r="W26" s="103">
        <f>IFERROR(IF(W$4="Yes",0,INDEX(Calculations!AE$24:AE$36,MATCH(SiteE!$S26,Calculations!$A$9:$A$21,0))),0)</f>
        <v>0</v>
      </c>
      <c r="X26" s="103">
        <f>IFERROR(IF(X$4="Yes",0,INDEX(Calculations!AF$24:AF$36,MATCH(SiteE!$S26,Calculations!$A$9:$A$21,0))),0)</f>
        <v>0</v>
      </c>
      <c r="Y26" s="103">
        <f>IFERROR(IF(Y$4="Yes",0,INDEX(Calculations!AG$24:AG$36,MATCH(SiteE!$S26,Calculations!$A$9:$A$21,0))),0)</f>
        <v>0</v>
      </c>
      <c r="Z26" s="103">
        <f>IFERROR(IF(Z$4="Yes",0,INDEX(Calculations!AH$24:AH$36,MATCH(SiteE!$S26,Calculations!$A$9:$A$21,0))),0)</f>
        <v>0</v>
      </c>
      <c r="AA26" s="103">
        <f>IFERROR(IF(AA$4="Yes",0,INDEX(Calculations!AI$24:AI$36,MATCH(SiteE!$S26,Calculations!$A$9:$A$21,0))),0)</f>
        <v>0</v>
      </c>
      <c r="AB26" s="103">
        <f>IFERROR(IF(AB$4="Yes",0,INDEX(Calculations!AJ$24:AJ$36,MATCH(SiteE!$S26,Calculations!$A$9:$A$21,0))),0)</f>
        <v>0</v>
      </c>
      <c r="AC26" s="103">
        <f>IFERROR(IF(AC$4="Yes",0,INDEX(Calculations!AK$24:AK$36,MATCH(SiteE!$S26,Calculations!$A$9:$A$21,0))),0)</f>
        <v>0</v>
      </c>
      <c r="AD26" s="103">
        <f>IFERROR(IF(AD$4="Yes",0,INDEX(Calculations!AL$24:AL$36,MATCH(SiteE!$S26,Calculations!$A$9:$A$21,0))),0)</f>
        <v>0</v>
      </c>
      <c r="AE26" s="103">
        <f>IFERROR(IF(AE$4="Yes",0,INDEX(Calculations!AM$24:AM$36,MATCH(SiteE!$S26,Calculations!$A$9:$A$21,0))),0)</f>
        <v>0</v>
      </c>
      <c r="AF26" s="103">
        <f>IFERROR(IF(AF$4="Yes",0,INDEX(Calculations!AN$24:AN$36,MATCH(SiteE!$S26,Calculations!$A$9:$A$21,0))),0)</f>
        <v>0</v>
      </c>
      <c r="AG26" s="103">
        <f>IFERROR(IF(AG$4="Yes",0,INDEX(Calculations!AO$24:AO$36,MATCH(SiteE!$S26,Calculations!$A$9:$A$21,0))),0)</f>
        <v>0</v>
      </c>
      <c r="AH26" s="103">
        <f>IFERROR(IF(AH$4="Yes",0,INDEX(Calculations!AP$24:AP$36,MATCH(SiteE!$S26,Calculations!$A$9:$A$21,0))),0)</f>
        <v>0</v>
      </c>
      <c r="AI26" s="103">
        <f>IFERROR(IF(AI$4="Yes",0,INDEX(Calculations!AQ$24:AQ$36,MATCH(SiteE!$S26,Calculations!$A$9:$A$21,0))),0)</f>
        <v>0</v>
      </c>
      <c r="AJ26" s="103">
        <f>IFERROR(IF(AJ$4="Yes",0,INDEX(Calculations!AR$24:AR$36,MATCH(SiteE!$S26,Calculations!$A$9:$A$21,0))),0)</f>
        <v>0</v>
      </c>
      <c r="AK26" s="126">
        <f>IFERROR(SUM(U26:AI26)*'Project Info'!$D$28,0)</f>
        <v>0</v>
      </c>
      <c r="AL26" s="103">
        <f>IFERROR(INDEX(Calculations!BC$24:BC$36,MATCH(SiteE!$S26,Calculations!$A$9:$A$21,0))*-1,0)</f>
        <v>0</v>
      </c>
      <c r="AM26" s="103">
        <f>IFERROR(INDEX(Calculations!BD$24:BD$36,MATCH(SiteE!$S26,Calculations!$A$9:$A$21,0))*-1,0)</f>
        <v>0</v>
      </c>
      <c r="AN26" s="125">
        <f ca="1">IFERROR(SUM(OFFSET(Calculations!BE$24,MATCH($S26,Calculations!$A$9:$A$21,0)-1,0,1,4))*-1,0)</f>
        <v>0</v>
      </c>
      <c r="AO26" s="103">
        <f t="shared" ca="1" si="4"/>
        <v>0</v>
      </c>
      <c r="AP26" s="17"/>
      <c r="AQ26" s="4"/>
      <c r="AW26" s="103">
        <f>IFERROR(INDEX(Calculations!BL$24:BL$36,MATCH($S26,Calculations!$A$24:$A$36,0)),0)</f>
        <v>0</v>
      </c>
      <c r="AX26" s="103">
        <f>IFERROR(INDEX(Calculations!BM$24:BM$36,MATCH($S26,Calculations!$A$24:$A$36,0)),0)</f>
        <v>0</v>
      </c>
      <c r="AY26" s="103">
        <f>IFERROR(INDEX(Calculations!BN$24:BN$36,MATCH($S26,Calculations!$A$24:$A$36,0)),0)</f>
        <v>0</v>
      </c>
      <c r="AZ26" s="103">
        <f>IFERROR(INDEX(Calculations!BO$24:BO$36,MATCH($S26,Calculations!$A$24:$A$36,0)),0)</f>
        <v>0</v>
      </c>
      <c r="BA26" s="103">
        <f>IFERROR(INDEX(Calculations!BP$24:BP$36,MATCH($S26,Calculations!$A$24:$A$36,0)),0)</f>
        <v>0</v>
      </c>
    </row>
    <row r="27" spans="16:53">
      <c r="Q27" s="12"/>
      <c r="S27" s="20" t="str">
        <f>IF($K$3=0," ",$K$3)</f>
        <v xml:space="preserve"> </v>
      </c>
      <c r="U27" s="103">
        <f>IFERROR(IF(U$4="Yes",0,INDEX(Calculations!AC$24:AC$36,MATCH(SiteE!$S27,Calculations!$A$9:$A$21,0))),0)</f>
        <v>0</v>
      </c>
      <c r="V27" s="103">
        <f>IFERROR(IF(V$4="Yes",0,INDEX(Calculations!AD$24:AD$36,MATCH(SiteE!$S27,Calculations!$A$9:$A$21,0))),0)</f>
        <v>0</v>
      </c>
      <c r="W27" s="103">
        <f>IFERROR(IF(W$4="Yes",0,INDEX(Calculations!AE$24:AE$36,MATCH(SiteE!$S27,Calculations!$A$9:$A$21,0))),0)</f>
        <v>0</v>
      </c>
      <c r="X27" s="103">
        <f>IFERROR(IF(X$4="Yes",0,INDEX(Calculations!AF$24:AF$36,MATCH(SiteE!$S27,Calculations!$A$9:$A$21,0))),0)</f>
        <v>0</v>
      </c>
      <c r="Y27" s="103">
        <f>IFERROR(IF(Y$4="Yes",0,INDEX(Calculations!AG$24:AG$36,MATCH(SiteE!$S27,Calculations!$A$9:$A$21,0))),0)</f>
        <v>0</v>
      </c>
      <c r="Z27" s="103">
        <f>IFERROR(IF(Z$4="Yes",0,INDEX(Calculations!AH$24:AH$36,MATCH(SiteE!$S27,Calculations!$A$9:$A$21,0))),0)</f>
        <v>0</v>
      </c>
      <c r="AA27" s="103">
        <f>IFERROR(IF(AA$4="Yes",0,INDEX(Calculations!AI$24:AI$36,MATCH(SiteE!$S27,Calculations!$A$9:$A$21,0))),0)</f>
        <v>0</v>
      </c>
      <c r="AB27" s="103">
        <f>IFERROR(IF(AB$4="Yes",0,INDEX(Calculations!AJ$24:AJ$36,MATCH(SiteE!$S27,Calculations!$A$9:$A$21,0))),0)</f>
        <v>0</v>
      </c>
      <c r="AC27" s="103">
        <f>IFERROR(IF(AC$4="Yes",0,INDEX(Calculations!AK$24:AK$36,MATCH(SiteE!$S27,Calculations!$A$9:$A$21,0))),0)</f>
        <v>0</v>
      </c>
      <c r="AD27" s="103">
        <f>IFERROR(IF(AD$4="Yes",0,INDEX(Calculations!AL$24:AL$36,MATCH(SiteE!$S27,Calculations!$A$9:$A$21,0))),0)</f>
        <v>0</v>
      </c>
      <c r="AE27" s="103">
        <f>IFERROR(IF(AE$4="Yes",0,INDEX(Calculations!AM$24:AM$36,MATCH(SiteE!$S27,Calculations!$A$9:$A$21,0))),0)</f>
        <v>0</v>
      </c>
      <c r="AF27" s="103">
        <f>IFERROR(IF(AF$4="Yes",0,INDEX(Calculations!AN$24:AN$36,MATCH(SiteE!$S27,Calculations!$A$9:$A$21,0))),0)</f>
        <v>0</v>
      </c>
      <c r="AG27" s="103">
        <f>IFERROR(IF(AG$4="Yes",0,INDEX(Calculations!AO$24:AO$36,MATCH(SiteE!$S27,Calculations!$A$9:$A$21,0))),0)</f>
        <v>0</v>
      </c>
      <c r="AH27" s="103">
        <f>IFERROR(IF(AH$4="Yes",0,INDEX(Calculations!AP$24:AP$36,MATCH(SiteE!$S27,Calculations!$A$9:$A$21,0))),0)</f>
        <v>0</v>
      </c>
      <c r="AI27" s="103">
        <f>IFERROR(IF(AI$4="Yes",0,INDEX(Calculations!AQ$24:AQ$36,MATCH(SiteE!$S27,Calculations!$A$9:$A$21,0))),0)</f>
        <v>0</v>
      </c>
      <c r="AJ27" s="103">
        <f>IFERROR(IF(AJ$4="Yes",0,INDEX(Calculations!AR$24:AR$36,MATCH(SiteE!$S27,Calculations!$A$9:$A$21,0))),0)</f>
        <v>0</v>
      </c>
      <c r="AK27" s="126">
        <f>IFERROR(SUM(U27:AI27)*'Project Info'!$D$28,0)</f>
        <v>0</v>
      </c>
      <c r="AL27" s="103">
        <f>IFERROR(INDEX(Calculations!BC$24:BC$36,MATCH(SiteE!$S27,Calculations!$A$9:$A$21,0))*-1,0)</f>
        <v>0</v>
      </c>
      <c r="AM27" s="103">
        <f>IFERROR(INDEX(Calculations!BD$24:BD$36,MATCH(SiteE!$S27,Calculations!$A$9:$A$21,0))*-1,0)</f>
        <v>0</v>
      </c>
      <c r="AN27" s="125">
        <f ca="1">IFERROR(SUM(OFFSET(Calculations!BE$24,MATCH($S27,Calculations!$A$9:$A$21,0)-1,0,1,4))*-1,0)</f>
        <v>0</v>
      </c>
      <c r="AO27" s="103">
        <f t="shared" ca="1" si="4"/>
        <v>0</v>
      </c>
      <c r="AP27" s="17"/>
      <c r="AQ27" s="4"/>
      <c r="AW27" s="103">
        <f>IFERROR(INDEX(Calculations!BL$24:BL$36,MATCH($S27,Calculations!$A$24:$A$36,0)),0)</f>
        <v>0</v>
      </c>
      <c r="AX27" s="103">
        <f>IFERROR(INDEX(Calculations!BM$24:BM$36,MATCH($S27,Calculations!$A$24:$A$36,0)),0)</f>
        <v>0</v>
      </c>
      <c r="AY27" s="103">
        <f>IFERROR(INDEX(Calculations!BN$24:BN$36,MATCH($S27,Calculations!$A$24:$A$36,0)),0)</f>
        <v>0</v>
      </c>
      <c r="AZ27" s="103">
        <f>IFERROR(INDEX(Calculations!BO$24:BO$36,MATCH($S27,Calculations!$A$24:$A$36,0)),0)</f>
        <v>0</v>
      </c>
      <c r="BA27" s="103">
        <f>IFERROR(INDEX(Calculations!BP$24:BP$36,MATCH($S27,Calculations!$A$24:$A$36,0)),0)</f>
        <v>0</v>
      </c>
    </row>
    <row r="28" spans="16:53">
      <c r="Q28" s="12"/>
      <c r="S28" s="20" t="str">
        <f>IF($L$3=0," ",$L$3)</f>
        <v xml:space="preserve"> </v>
      </c>
      <c r="U28" s="103">
        <f>IFERROR(IF(U$4="Yes",0,INDEX(Calculations!AC$24:AC$36,MATCH(SiteE!$S28,Calculations!$A$9:$A$21,0))),0)</f>
        <v>0</v>
      </c>
      <c r="V28" s="103">
        <f>IFERROR(IF(V$4="Yes",0,INDEX(Calculations!AD$24:AD$36,MATCH(SiteE!$S28,Calculations!$A$9:$A$21,0))),0)</f>
        <v>0</v>
      </c>
      <c r="W28" s="103">
        <f>IFERROR(IF(W$4="Yes",0,INDEX(Calculations!AE$24:AE$36,MATCH(SiteE!$S28,Calculations!$A$9:$A$21,0))),0)</f>
        <v>0</v>
      </c>
      <c r="X28" s="103">
        <f>IFERROR(IF(X$4="Yes",0,INDEX(Calculations!AF$24:AF$36,MATCH(SiteE!$S28,Calculations!$A$9:$A$21,0))),0)</f>
        <v>0</v>
      </c>
      <c r="Y28" s="103">
        <f>IFERROR(IF(Y$4="Yes",0,INDEX(Calculations!AG$24:AG$36,MATCH(SiteE!$S28,Calculations!$A$9:$A$21,0))),0)</f>
        <v>0</v>
      </c>
      <c r="Z28" s="103">
        <f>IFERROR(IF(Z$4="Yes",0,INDEX(Calculations!AH$24:AH$36,MATCH(SiteE!$S28,Calculations!$A$9:$A$21,0))),0)</f>
        <v>0</v>
      </c>
      <c r="AA28" s="103">
        <f>IFERROR(IF(AA$4="Yes",0,INDEX(Calculations!AI$24:AI$36,MATCH(SiteE!$S28,Calculations!$A$9:$A$21,0))),0)</f>
        <v>0</v>
      </c>
      <c r="AB28" s="103">
        <f>IFERROR(IF(AB$4="Yes",0,INDEX(Calculations!AJ$24:AJ$36,MATCH(SiteE!$S28,Calculations!$A$9:$A$21,0))),0)</f>
        <v>0</v>
      </c>
      <c r="AC28" s="103">
        <f>IFERROR(IF(AC$4="Yes",0,INDEX(Calculations!AK$24:AK$36,MATCH(SiteE!$S28,Calculations!$A$9:$A$21,0))),0)</f>
        <v>0</v>
      </c>
      <c r="AD28" s="103">
        <f>IFERROR(IF(AD$4="Yes",0,INDEX(Calculations!AL$24:AL$36,MATCH(SiteE!$S28,Calculations!$A$9:$A$21,0))),0)</f>
        <v>0</v>
      </c>
      <c r="AE28" s="103">
        <f>IFERROR(IF(AE$4="Yes",0,INDEX(Calculations!AM$24:AM$36,MATCH(SiteE!$S28,Calculations!$A$9:$A$21,0))),0)</f>
        <v>0</v>
      </c>
      <c r="AF28" s="103">
        <f>IFERROR(IF(AF$4="Yes",0,INDEX(Calculations!AN$24:AN$36,MATCH(SiteE!$S28,Calculations!$A$9:$A$21,0))),0)</f>
        <v>0</v>
      </c>
      <c r="AG28" s="103">
        <f>IFERROR(IF(AG$4="Yes",0,INDEX(Calculations!AO$24:AO$36,MATCH(SiteE!$S28,Calculations!$A$9:$A$21,0))),0)</f>
        <v>0</v>
      </c>
      <c r="AH28" s="103">
        <f>IFERROR(IF(AH$4="Yes",0,INDEX(Calculations!AP$24:AP$36,MATCH(SiteE!$S28,Calculations!$A$9:$A$21,0))),0)</f>
        <v>0</v>
      </c>
      <c r="AI28" s="103">
        <f>IFERROR(IF(AI$4="Yes",0,INDEX(Calculations!AQ$24:AQ$36,MATCH(SiteE!$S28,Calculations!$A$9:$A$21,0))),0)</f>
        <v>0</v>
      </c>
      <c r="AJ28" s="103">
        <f>IFERROR(IF(AJ$4="Yes",0,INDEX(Calculations!AR$24:AR$36,MATCH(SiteE!$S28,Calculations!$A$9:$A$21,0))),0)</f>
        <v>0</v>
      </c>
      <c r="AK28" s="126">
        <f>IFERROR(SUM(U28:AI28)*'Project Info'!$D$28,0)</f>
        <v>0</v>
      </c>
      <c r="AL28" s="103">
        <f>IFERROR(INDEX(Calculations!BC$24:BC$36,MATCH(SiteE!$S31,Calculations!$A$9:$A$21,0))*-1,0)</f>
        <v>0</v>
      </c>
      <c r="AM28" s="103">
        <f>IFERROR(INDEX(Calculations!BD$24:BD$36,MATCH(SiteE!$S31,Calculations!$A$9:$A$21,0))*-1,0)</f>
        <v>0</v>
      </c>
      <c r="AN28" s="125">
        <f ca="1">IFERROR(SUM(OFFSET(Calculations!BE$24,MATCH($S28,Calculations!$A$9:$A$21,0)-1,0,1,4))*-1,0)</f>
        <v>0</v>
      </c>
      <c r="AO28" s="103">
        <f t="shared" ca="1" si="4"/>
        <v>0</v>
      </c>
      <c r="AP28" s="17"/>
      <c r="AQ28" s="4"/>
      <c r="AW28" s="103">
        <f>IFERROR(INDEX(Calculations!BL$24:BL$36,MATCH($S28,Calculations!$A$24:$A$36,0)),0)</f>
        <v>0</v>
      </c>
      <c r="AX28" s="103">
        <f>IFERROR(INDEX(Calculations!BM$24:BM$36,MATCH($S28,Calculations!$A$24:$A$36,0)),0)</f>
        <v>0</v>
      </c>
      <c r="AY28" s="103">
        <f>IFERROR(INDEX(Calculations!BN$24:BN$36,MATCH($S28,Calculations!$A$24:$A$36,0)),0)</f>
        <v>0</v>
      </c>
      <c r="AZ28" s="103">
        <f>IFERROR(INDEX(Calculations!BO$24:BO$36,MATCH($S28,Calculations!$A$24:$A$36,0)),0)</f>
        <v>0</v>
      </c>
      <c r="BA28" s="103">
        <f>IFERROR(INDEX(Calculations!BP$24:BP$36,MATCH($S28,Calculations!$A$24:$A$36,0)),0)</f>
        <v>0</v>
      </c>
    </row>
    <row r="29" spans="16:53">
      <c r="Q29" s="12"/>
      <c r="S29" s="20" t="str">
        <f>IF($M$3=0," ",$M$3)</f>
        <v xml:space="preserve"> </v>
      </c>
      <c r="U29" s="103">
        <f>IFERROR(IF(U$4="Yes",0,INDEX(Calculations!AC$24:AC$36,MATCH(SiteE!$S29,Calculations!$A$9:$A$21,0))),0)</f>
        <v>0</v>
      </c>
      <c r="V29" s="103">
        <f>IFERROR(IF(V$4="Yes",0,INDEX(Calculations!AD$24:AD$36,MATCH(SiteE!$S29,Calculations!$A$9:$A$21,0))),0)</f>
        <v>0</v>
      </c>
      <c r="W29" s="103">
        <f>IFERROR(IF(W$4="Yes",0,INDEX(Calculations!AE$24:AE$36,MATCH(SiteE!$S29,Calculations!$A$9:$A$21,0))),0)</f>
        <v>0</v>
      </c>
      <c r="X29" s="103">
        <f>IFERROR(IF(X$4="Yes",0,INDEX(Calculations!AF$24:AF$36,MATCH(SiteE!$S29,Calculations!$A$9:$A$21,0))),0)</f>
        <v>0</v>
      </c>
      <c r="Y29" s="103">
        <f>IFERROR(IF(Y$4="Yes",0,INDEX(Calculations!AG$24:AG$36,MATCH(SiteE!$S29,Calculations!$A$9:$A$21,0))),0)</f>
        <v>0</v>
      </c>
      <c r="Z29" s="103">
        <f>IFERROR(IF(Z$4="Yes",0,INDEX(Calculations!AH$24:AH$36,MATCH(SiteE!$S29,Calculations!$A$9:$A$21,0))),0)</f>
        <v>0</v>
      </c>
      <c r="AA29" s="103">
        <f>IFERROR(IF(AA$4="Yes",0,INDEX(Calculations!AI$24:AI$36,MATCH(SiteE!$S29,Calculations!$A$9:$A$21,0))),0)</f>
        <v>0</v>
      </c>
      <c r="AB29" s="103">
        <f>IFERROR(IF(AB$4="Yes",0,INDEX(Calculations!AJ$24:AJ$36,MATCH(SiteE!$S29,Calculations!$A$9:$A$21,0))),0)</f>
        <v>0</v>
      </c>
      <c r="AC29" s="103">
        <f>IFERROR(IF(AC$4="Yes",0,INDEX(Calculations!AK$24:AK$36,MATCH(SiteE!$S29,Calculations!$A$9:$A$21,0))),0)</f>
        <v>0</v>
      </c>
      <c r="AD29" s="103">
        <f>IFERROR(IF(AD$4="Yes",0,INDEX(Calculations!AL$24:AL$36,MATCH(SiteE!$S29,Calculations!$A$9:$A$21,0))),0)</f>
        <v>0</v>
      </c>
      <c r="AE29" s="103">
        <f>IFERROR(IF(AE$4="Yes",0,INDEX(Calculations!AM$24:AM$36,MATCH(SiteE!$S29,Calculations!$A$9:$A$21,0))),0)</f>
        <v>0</v>
      </c>
      <c r="AF29" s="103">
        <f>IFERROR(IF(AF$4="Yes",0,INDEX(Calculations!AN$24:AN$36,MATCH(SiteE!$S29,Calculations!$A$9:$A$21,0))),0)</f>
        <v>0</v>
      </c>
      <c r="AG29" s="103">
        <f>IFERROR(IF(AG$4="Yes",0,INDEX(Calculations!AO$24:AO$36,MATCH(SiteE!$S29,Calculations!$A$9:$A$21,0))),0)</f>
        <v>0</v>
      </c>
      <c r="AH29" s="103">
        <f>IFERROR(IF(AH$4="Yes",0,INDEX(Calculations!AP$24:AP$36,MATCH(SiteE!$S29,Calculations!$A$9:$A$21,0))),0)</f>
        <v>0</v>
      </c>
      <c r="AI29" s="103">
        <f>IFERROR(IF(AI$4="Yes",0,INDEX(Calculations!AQ$24:AQ$36,MATCH(SiteE!$S29,Calculations!$A$9:$A$21,0))),0)</f>
        <v>0</v>
      </c>
      <c r="AJ29" s="103">
        <f>IFERROR(IF(AJ$4="Yes",0,INDEX(Calculations!AR$24:AR$36,MATCH(SiteE!$S29,Calculations!$A$9:$A$21,0))),0)</f>
        <v>0</v>
      </c>
      <c r="AK29" s="126">
        <f>IFERROR(SUM(U29:AI29)*'Project Info'!$D$28,0)</f>
        <v>0</v>
      </c>
      <c r="AL29" s="103">
        <f>IFERROR(INDEX(Calculations!BC$24:BC$36,MATCH(SiteE!$S29,Calculations!$A$9:$A$21,0))*-1,0)</f>
        <v>0</v>
      </c>
      <c r="AM29" s="103">
        <f>IFERROR(INDEX(Calculations!BD$24:BD$36,MATCH(SiteE!$S29,Calculations!$A$9:$A$21,0))*-1,0)</f>
        <v>0</v>
      </c>
      <c r="AN29" s="125">
        <f ca="1">IFERROR(SUM(OFFSET(Calculations!BE$24,MATCH($S29,Calculations!$A$9:$A$21,0)-1,0,1,4))*-1,0)</f>
        <v>0</v>
      </c>
      <c r="AO29" s="103">
        <f t="shared" ca="1" si="4"/>
        <v>0</v>
      </c>
      <c r="AP29" s="17"/>
      <c r="AQ29" s="4"/>
      <c r="AW29" s="103">
        <f>IFERROR(INDEX(Calculations!BL$24:BL$36,MATCH($S29,Calculations!$A$24:$A$36,0)),0)</f>
        <v>0</v>
      </c>
      <c r="AX29" s="103">
        <f>IFERROR(INDEX(Calculations!BM$24:BM$36,MATCH($S29,Calculations!$A$24:$A$36,0)),0)</f>
        <v>0</v>
      </c>
      <c r="AY29" s="103">
        <f>IFERROR(INDEX(Calculations!BN$24:BN$36,MATCH($S29,Calculations!$A$24:$A$36,0)),0)</f>
        <v>0</v>
      </c>
      <c r="AZ29" s="103">
        <f>IFERROR(INDEX(Calculations!BO$24:BO$36,MATCH($S29,Calculations!$A$24:$A$36,0)),0)</f>
        <v>0</v>
      </c>
      <c r="BA29" s="103">
        <f>IFERROR(INDEX(Calculations!BP$24:BP$36,MATCH($S29,Calculations!$A$24:$A$36,0)),0)</f>
        <v>0</v>
      </c>
    </row>
    <row r="30" spans="16:53">
      <c r="Q30" s="12"/>
      <c r="S30" s="20" t="str">
        <f t="shared" ref="S30:S33" si="5">IF($M$3=0," ",$M$3)</f>
        <v xml:space="preserve"> </v>
      </c>
      <c r="U30" s="103">
        <f>IFERROR(IF(U$4="Yes",0,INDEX(Calculations!AC$24:AC$36,MATCH(SiteE!$S30,Calculations!$A$9:$A$21,0))),0)</f>
        <v>0</v>
      </c>
      <c r="V30" s="103">
        <f>IFERROR(IF(V$4="Yes",0,INDEX(Calculations!AD$24:AD$36,MATCH(SiteE!$S30,Calculations!$A$9:$A$21,0))),0)</f>
        <v>0</v>
      </c>
      <c r="W30" s="103">
        <f>IFERROR(IF(W$4="Yes",0,INDEX(Calculations!AE$24:AE$36,MATCH(SiteE!$S30,Calculations!$A$9:$A$21,0))),0)</f>
        <v>0</v>
      </c>
      <c r="X30" s="103">
        <f>IFERROR(IF(X$4="Yes",0,INDEX(Calculations!AF$24:AF$36,MATCH(SiteE!$S30,Calculations!$A$9:$A$21,0))),0)</f>
        <v>0</v>
      </c>
      <c r="Y30" s="103">
        <f>IFERROR(IF(Y$4="Yes",0,INDEX(Calculations!AG$24:AG$36,MATCH(SiteE!$S30,Calculations!$A$9:$A$21,0))),0)</f>
        <v>0</v>
      </c>
      <c r="Z30" s="103">
        <f>IFERROR(IF(Z$4="Yes",0,INDEX(Calculations!AH$24:AH$36,MATCH(SiteE!$S30,Calculations!$A$9:$A$21,0))),0)</f>
        <v>0</v>
      </c>
      <c r="AA30" s="103">
        <f>IFERROR(IF(AA$4="Yes",0,INDEX(Calculations!AI$24:AI$36,MATCH(SiteE!$S30,Calculations!$A$9:$A$21,0))),0)</f>
        <v>0</v>
      </c>
      <c r="AB30" s="103">
        <f>IFERROR(IF(AB$4="Yes",0,INDEX(Calculations!AJ$24:AJ$36,MATCH(SiteE!$S30,Calculations!$A$9:$A$21,0))),0)</f>
        <v>0</v>
      </c>
      <c r="AC30" s="103">
        <f>IFERROR(IF(AC$4="Yes",0,INDEX(Calculations!AK$24:AK$36,MATCH(SiteE!$S30,Calculations!$A$9:$A$21,0))),0)</f>
        <v>0</v>
      </c>
      <c r="AD30" s="103">
        <f>IFERROR(IF(AD$4="Yes",0,INDEX(Calculations!AL$24:AL$36,MATCH(SiteE!$S30,Calculations!$A$9:$A$21,0))),0)</f>
        <v>0</v>
      </c>
      <c r="AE30" s="103">
        <f>IFERROR(IF(AE$4="Yes",0,INDEX(Calculations!AM$24:AM$36,MATCH(SiteE!$S30,Calculations!$A$9:$A$21,0))),0)</f>
        <v>0</v>
      </c>
      <c r="AF30" s="103">
        <f>IFERROR(IF(AF$4="Yes",0,INDEX(Calculations!AN$24:AN$36,MATCH(SiteE!$S30,Calculations!$A$9:$A$21,0))),0)</f>
        <v>0</v>
      </c>
      <c r="AG30" s="103">
        <f>IFERROR(IF(AG$4="Yes",0,INDEX(Calculations!AO$24:AO$36,MATCH(SiteE!$S30,Calculations!$A$9:$A$21,0))),0)</f>
        <v>0</v>
      </c>
      <c r="AH30" s="103">
        <f>IFERROR(IF(AH$4="Yes",0,INDEX(Calculations!AP$24:AP$36,MATCH(SiteE!$S30,Calculations!$A$9:$A$21,0))),0)</f>
        <v>0</v>
      </c>
      <c r="AI30" s="103">
        <f>IFERROR(IF(AI$4="Yes",0,INDEX(Calculations!AQ$24:AQ$36,MATCH(SiteE!$S30,Calculations!$A$9:$A$21,0))),0)</f>
        <v>0</v>
      </c>
      <c r="AJ30" s="103">
        <f>IFERROR(IF(AJ$4="Yes",0,INDEX(Calculations!AR$24:AR$36,MATCH(SiteE!$S30,Calculations!$A$9:$A$21,0))),0)</f>
        <v>0</v>
      </c>
      <c r="AK30" s="126">
        <f>IFERROR(SUM(U30:AI30)*'Project Info'!$D$28,0)</f>
        <v>0</v>
      </c>
      <c r="AL30" s="103">
        <f>IFERROR(INDEX(Calculations!BC$24:BC$36,MATCH(SiteE!$S30,Calculations!$A$9:$A$21,0))*-1,0)</f>
        <v>0</v>
      </c>
      <c r="AM30" s="103">
        <f>IFERROR(INDEX(Calculations!BD$24:BD$36,MATCH(SiteE!$S30,Calculations!$A$9:$A$21,0))*-1,0)</f>
        <v>0</v>
      </c>
      <c r="AN30" s="125">
        <f ca="1">IFERROR(SUM(OFFSET(Calculations!BE$24,MATCH($S30,Calculations!$A$9:$A$21,0)-1,0,1,4))*-1,0)</f>
        <v>0</v>
      </c>
      <c r="AO30" s="103">
        <f t="shared" ca="1" si="4"/>
        <v>0</v>
      </c>
      <c r="AP30" s="17"/>
      <c r="AQ30" s="4"/>
      <c r="AW30" s="103">
        <f>IFERROR(INDEX(Calculations!BL$24:BL$36,MATCH($S30,Calculations!$A$24:$A$36,0)),0)</f>
        <v>0</v>
      </c>
      <c r="AX30" s="103">
        <f>IFERROR(INDEX(Calculations!BM$24:BM$36,MATCH($S30,Calculations!$A$24:$A$36,0)),0)</f>
        <v>0</v>
      </c>
      <c r="AY30" s="103">
        <f>IFERROR(INDEX(Calculations!BN$24:BN$36,MATCH($S30,Calculations!$A$24:$A$36,0)),0)</f>
        <v>0</v>
      </c>
      <c r="AZ30" s="103">
        <f>IFERROR(INDEX(Calculations!BO$24:BO$36,MATCH($S30,Calculations!$A$24:$A$36,0)),0)</f>
        <v>0</v>
      </c>
      <c r="BA30" s="103">
        <f>IFERROR(INDEX(Calculations!BP$24:BP$36,MATCH($S30,Calculations!$A$24:$A$36,0)),0)</f>
        <v>0</v>
      </c>
    </row>
    <row r="31" spans="16:53">
      <c r="Q31" s="12"/>
      <c r="S31" s="20" t="str">
        <f t="shared" si="5"/>
        <v xml:space="preserve"> </v>
      </c>
      <c r="U31" s="103">
        <f>IFERROR(IF(U$4="Yes",0,INDEX(Calculations!AC$24:AC$36,MATCH(SiteE!$S31,Calculations!$A$9:$A$21,0))),0)</f>
        <v>0</v>
      </c>
      <c r="V31" s="103">
        <f>IFERROR(IF(V$4="Yes",0,INDEX(Calculations!AD$24:AD$36,MATCH(SiteE!$S31,Calculations!$A$9:$A$21,0))),0)</f>
        <v>0</v>
      </c>
      <c r="W31" s="103">
        <f>IFERROR(IF(W$4="Yes",0,INDEX(Calculations!AE$24:AE$36,MATCH(SiteE!$S31,Calculations!$A$9:$A$21,0))),0)</f>
        <v>0</v>
      </c>
      <c r="X31" s="103">
        <f>IFERROR(IF(X$4="Yes",0,INDEX(Calculations!AF$24:AF$36,MATCH(SiteE!$S31,Calculations!$A$9:$A$21,0))),0)</f>
        <v>0</v>
      </c>
      <c r="Y31" s="103">
        <f>IFERROR(IF(Y$4="Yes",0,INDEX(Calculations!AG$24:AG$36,MATCH(SiteE!$S31,Calculations!$A$9:$A$21,0))),0)</f>
        <v>0</v>
      </c>
      <c r="Z31" s="103">
        <f>IFERROR(IF(Z$4="Yes",0,INDEX(Calculations!AH$24:AH$36,MATCH(SiteE!$S31,Calculations!$A$9:$A$21,0))),0)</f>
        <v>0</v>
      </c>
      <c r="AA31" s="103">
        <f>IFERROR(IF(AA$4="Yes",0,INDEX(Calculations!AI$24:AI$36,MATCH(SiteE!$S31,Calculations!$A$9:$A$21,0))),0)</f>
        <v>0</v>
      </c>
      <c r="AB31" s="103">
        <f>IFERROR(IF(AB$4="Yes",0,INDEX(Calculations!AJ$24:AJ$36,MATCH(SiteE!$S31,Calculations!$A$9:$A$21,0))),0)</f>
        <v>0</v>
      </c>
      <c r="AC31" s="103">
        <f>IFERROR(IF(AC$4="Yes",0,INDEX(Calculations!AK$24:AK$36,MATCH(SiteE!$S31,Calculations!$A$9:$A$21,0))),0)</f>
        <v>0</v>
      </c>
      <c r="AD31" s="103">
        <f>IFERROR(IF(AD$4="Yes",0,INDEX(Calculations!AL$24:AL$36,MATCH(SiteE!$S31,Calculations!$A$9:$A$21,0))),0)</f>
        <v>0</v>
      </c>
      <c r="AE31" s="103">
        <f>IFERROR(IF(AE$4="Yes",0,INDEX(Calculations!AM$24:AM$36,MATCH(SiteE!$S31,Calculations!$A$9:$A$21,0))),0)</f>
        <v>0</v>
      </c>
      <c r="AF31" s="103">
        <f>IFERROR(IF(AF$4="Yes",0,INDEX(Calculations!AN$24:AN$36,MATCH(SiteE!$S31,Calculations!$A$9:$A$21,0))),0)</f>
        <v>0</v>
      </c>
      <c r="AG31" s="103">
        <f>IFERROR(IF(AG$4="Yes",0,INDEX(Calculations!AO$24:AO$36,MATCH(SiteE!$S31,Calculations!$A$9:$A$21,0))),0)</f>
        <v>0</v>
      </c>
      <c r="AH31" s="103">
        <f>IFERROR(IF(AH$4="Yes",0,INDEX(Calculations!AP$24:AP$36,MATCH(SiteE!$S31,Calculations!$A$9:$A$21,0))),0)</f>
        <v>0</v>
      </c>
      <c r="AI31" s="103">
        <f>IFERROR(IF(AI$4="Yes",0,INDEX(Calculations!AQ$24:AQ$36,MATCH(SiteE!$S31,Calculations!$A$9:$A$21,0))),0)</f>
        <v>0</v>
      </c>
      <c r="AJ31" s="103">
        <f>IFERROR(IF(AJ$4="Yes",0,INDEX(Calculations!AR$24:AR$36,MATCH(SiteE!$S31,Calculations!$A$9:$A$21,0))),0)</f>
        <v>0</v>
      </c>
      <c r="AK31" s="126">
        <f>IFERROR(SUM(U31:AI31)*'Project Info'!$D$28,0)</f>
        <v>0</v>
      </c>
      <c r="AL31" s="103">
        <f>IFERROR(INDEX(Calculations!BC$24:BC$36,MATCH(SiteE!$S31,Calculations!$A$9:$A$21,0))*-1,0)</f>
        <v>0</v>
      </c>
      <c r="AM31" s="103">
        <f>IFERROR(INDEX(Calculations!BD$24:BD$36,MATCH(SiteE!$S31,Calculations!$A$9:$A$21,0))*-1,0)</f>
        <v>0</v>
      </c>
      <c r="AN31" s="125">
        <f ca="1">IFERROR(SUM(OFFSET(Calculations!BE$24,MATCH($S31,Calculations!$A$9:$A$21,0)-1,0,1,4))*-1,0)</f>
        <v>0</v>
      </c>
      <c r="AO31" s="103">
        <f t="shared" ca="1" si="4"/>
        <v>0</v>
      </c>
      <c r="AP31" s="17"/>
      <c r="AQ31" s="4"/>
      <c r="AW31" s="103">
        <f>IFERROR(INDEX(Calculations!BL$24:BL$36,MATCH($S31,Calculations!$A$24:$A$36,0)),0)</f>
        <v>0</v>
      </c>
      <c r="AX31" s="103">
        <f>IFERROR(INDEX(Calculations!BM$24:BM$36,MATCH($S31,Calculations!$A$24:$A$36,0)),0)</f>
        <v>0</v>
      </c>
      <c r="AY31" s="103">
        <f>IFERROR(INDEX(Calculations!BN$24:BN$36,MATCH($S31,Calculations!$A$24:$A$36,0)),0)</f>
        <v>0</v>
      </c>
      <c r="AZ31" s="103">
        <f>IFERROR(INDEX(Calculations!BO$24:BO$36,MATCH($S31,Calculations!$A$24:$A$36,0)),0)</f>
        <v>0</v>
      </c>
      <c r="BA31" s="103">
        <f>IFERROR(INDEX(Calculations!BP$24:BP$36,MATCH($S31,Calculations!$A$24:$A$36,0)),0)</f>
        <v>0</v>
      </c>
    </row>
    <row r="32" spans="16:53">
      <c r="Q32" s="12"/>
      <c r="S32" s="20" t="str">
        <f t="shared" si="5"/>
        <v xml:space="preserve"> </v>
      </c>
    </row>
    <row r="33" spans="17:19">
      <c r="Q33" s="12"/>
      <c r="S33" s="20" t="str">
        <f t="shared" si="5"/>
        <v xml:space="preserve"> </v>
      </c>
    </row>
    <row r="34" spans="17:19">
      <c r="Q34" s="12"/>
    </row>
    <row r="35" spans="17:19">
      <c r="Q35" s="12"/>
    </row>
    <row r="36" spans="17:19">
      <c r="Q36" s="12"/>
    </row>
    <row r="37" spans="17:19">
      <c r="Q37" s="12"/>
    </row>
    <row r="38" spans="17:19">
      <c r="Q38" s="12"/>
    </row>
    <row r="39" spans="17:19">
      <c r="Q39" s="12"/>
    </row>
    <row r="40" spans="17:19">
      <c r="Q40" s="12"/>
    </row>
    <row r="41" spans="17:19">
      <c r="Q41" s="12"/>
    </row>
    <row r="42" spans="17:19">
      <c r="Q42" s="12"/>
    </row>
    <row r="43" spans="17:19">
      <c r="Q43" s="12"/>
    </row>
    <row r="44" spans="17:19">
      <c r="Q44" s="12"/>
    </row>
    <row r="45" spans="17:19">
      <c r="Q45" s="12"/>
    </row>
    <row r="46" spans="17:19">
      <c r="Q46" s="12"/>
    </row>
    <row r="47" spans="17:19">
      <c r="Q47" s="12"/>
    </row>
    <row r="48" spans="17:19">
      <c r="Q48" s="12"/>
    </row>
    <row r="49" spans="11:17">
      <c r="Q49" s="12"/>
    </row>
    <row r="50" spans="11:17">
      <c r="Q50" s="12"/>
    </row>
    <row r="51" spans="11:17">
      <c r="Q51" s="12"/>
    </row>
    <row r="52" spans="11:17">
      <c r="Q52" s="12"/>
    </row>
    <row r="53" spans="11:17">
      <c r="Q53" s="12"/>
    </row>
    <row r="54" spans="11:17">
      <c r="Q54" s="12"/>
    </row>
    <row r="55" spans="11:17">
      <c r="Q55" s="12"/>
    </row>
    <row r="56" spans="11:17">
      <c r="Q56" s="12"/>
    </row>
    <row r="57" spans="11:17">
      <c r="Q57" s="12"/>
    </row>
    <row r="58" spans="11:17">
      <c r="Q58" s="12"/>
    </row>
    <row r="59" spans="11:17">
      <c r="Q59" s="12"/>
    </row>
    <row r="60" spans="11:17">
      <c r="K60" s="1" t="s">
        <v>210</v>
      </c>
      <c r="Q60" s="12"/>
    </row>
    <row r="61" spans="11:17">
      <c r="Q61" s="12"/>
    </row>
    <row r="62" spans="11:17">
      <c r="Q62" s="12"/>
    </row>
    <row r="63" spans="11:17">
      <c r="Q63" s="12"/>
    </row>
    <row r="64" spans="11:17">
      <c r="Q64" s="12"/>
    </row>
    <row r="65" spans="17:17">
      <c r="Q65" s="12"/>
    </row>
    <row r="66" spans="17:17">
      <c r="Q66" s="12"/>
    </row>
  </sheetData>
  <dataValidations count="1">
    <dataValidation type="list" allowBlank="1" showInputMessage="1" showErrorMessage="1" sqref="D3:O3 B4" xr:uid="{06E5CF13-65C8-44EE-9AA9-20D6A09F0000}">
      <formula1>Result_Set</formula1>
    </dataValidation>
  </dataValidations>
  <pageMargins left="0.7" right="0.7" top="0.75" bottom="0.75" header="0.3" footer="0.3"/>
  <pageSetup paperSize="258" orientation="portrait" horizontalDpi="30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D3F1F-3A00-4A02-A1DE-92F5B0841380}">
  <sheetPr>
    <tabColor theme="0" tint="-0.249977111117893"/>
  </sheetPr>
  <dimension ref="A1:BA64"/>
  <sheetViews>
    <sheetView showGridLines="0" topLeftCell="A7" zoomScaleNormal="100" workbookViewId="0">
      <selection activeCell="H15" sqref="H15"/>
    </sheetView>
  </sheetViews>
  <sheetFormatPr defaultColWidth="9.109375" defaultRowHeight="15"/>
  <cols>
    <col min="1" max="1" width="3.5546875" style="1" customWidth="1"/>
    <col min="2" max="2" width="27.5546875" style="1" customWidth="1"/>
    <col min="3" max="3" width="10.5546875" style="1" customWidth="1"/>
    <col min="4" max="15" width="18.5546875" style="1" customWidth="1"/>
    <col min="16" max="16" width="3.5546875" style="1" customWidth="1"/>
    <col min="17" max="17" width="9.109375" style="1"/>
    <col min="18" max="18" width="3.5546875" style="1" customWidth="1"/>
    <col min="19" max="37" width="10.5546875" style="1" customWidth="1"/>
    <col min="38" max="40" width="9.109375" style="1"/>
    <col min="41" max="41" width="15.5546875" style="1" customWidth="1"/>
    <col min="42" max="42" width="3.5546875" style="1" customWidth="1"/>
    <col min="43" max="43" width="10.5546875" style="1" bestFit="1" customWidth="1"/>
    <col min="44" max="44" width="3.5546875" style="1" customWidth="1"/>
    <col min="45" max="47" width="15.5546875" style="1" customWidth="1"/>
    <col min="48" max="48" width="9.109375" style="1"/>
    <col min="49" max="53" width="12.5546875" style="1" customWidth="1"/>
    <col min="54" max="16384" width="9.109375" style="1"/>
  </cols>
  <sheetData>
    <row r="1" spans="1:53">
      <c r="A1" s="76" t="str">
        <f>Menus!C25</f>
        <v>Source Energy Use</v>
      </c>
      <c r="B1" s="77"/>
      <c r="C1" s="77"/>
      <c r="D1" s="77"/>
      <c r="E1" s="77"/>
      <c r="F1" s="77"/>
      <c r="G1" s="77"/>
      <c r="H1" s="77"/>
      <c r="I1" s="77"/>
      <c r="J1" s="77"/>
      <c r="K1" s="77"/>
      <c r="L1" s="77"/>
      <c r="M1" s="77"/>
      <c r="N1" s="77"/>
      <c r="O1" s="77"/>
      <c r="P1" s="77"/>
      <c r="Q1" s="77"/>
      <c r="R1" s="77"/>
      <c r="S1" s="77"/>
      <c r="T1" s="77"/>
      <c r="U1" s="77"/>
      <c r="V1" s="77"/>
      <c r="W1" s="77"/>
      <c r="X1" s="77"/>
      <c r="Y1" s="77"/>
      <c r="Z1" s="77"/>
      <c r="AA1" s="77"/>
      <c r="AB1" s="77"/>
      <c r="AC1" s="77"/>
      <c r="AD1" s="77"/>
      <c r="AE1" s="77"/>
      <c r="AF1" s="77"/>
      <c r="AG1" s="77"/>
      <c r="AH1" s="77"/>
      <c r="AI1" s="77"/>
      <c r="AJ1" s="77"/>
      <c r="AK1" s="77"/>
      <c r="AL1" s="77"/>
      <c r="AM1" s="77"/>
      <c r="AN1" s="77"/>
      <c r="AO1" s="77"/>
      <c r="AP1" s="77"/>
      <c r="AQ1" s="77"/>
      <c r="AR1" s="77"/>
      <c r="AS1" s="77"/>
      <c r="AT1" s="77"/>
      <c r="AU1" s="77"/>
      <c r="AV1" s="77"/>
      <c r="AW1" s="77"/>
      <c r="AX1" s="77"/>
      <c r="AY1" s="77"/>
      <c r="AZ1" s="77"/>
      <c r="BA1" s="77"/>
    </row>
    <row r="2" spans="1:53">
      <c r="D2" s="7"/>
      <c r="Q2" s="12"/>
      <c r="S2" s="4" t="str">
        <f>SiteE!S2</f>
        <v>LEED</v>
      </c>
      <c r="U2" s="4" t="str">
        <f>IF(AND(S2=Menus!I7,'Project Info'!D16="No"),"No","Yes")</f>
        <v>Yes</v>
      </c>
    </row>
    <row r="3" spans="1:53" s="15" customFormat="1" ht="28.2">
      <c r="B3" s="41"/>
      <c r="D3" s="17"/>
      <c r="E3" s="17"/>
      <c r="F3" s="17"/>
      <c r="G3" s="17"/>
      <c r="H3" s="17"/>
      <c r="I3" s="17"/>
      <c r="J3" s="17"/>
      <c r="K3" s="17"/>
      <c r="L3" s="17"/>
      <c r="M3" s="17"/>
      <c r="N3" s="17"/>
      <c r="O3" s="17"/>
      <c r="Q3" s="16"/>
      <c r="S3" s="17">
        <f>SiteE!S3</f>
        <v>1</v>
      </c>
      <c r="U3" s="17" t="str">
        <f>Calculations!AC4</f>
        <v>Heating</v>
      </c>
      <c r="V3" s="17" t="str">
        <f>Calculations!AD4</f>
        <v>Cooling</v>
      </c>
      <c r="W3" s="17" t="str">
        <f>Calculations!AE4</f>
        <v>Lighting</v>
      </c>
      <c r="X3" s="17" t="str">
        <f>Calculations!AF4</f>
        <v>Exterior Lighting</v>
      </c>
      <c r="Y3" s="17" t="str">
        <f>Calculations!AG4</f>
        <v>Equipment</v>
      </c>
      <c r="Z3" s="17" t="str">
        <f>Calculations!AH4</f>
        <v>Exterior Equipment</v>
      </c>
      <c r="AA3" s="17" t="str">
        <f>Calculations!AI4</f>
        <v>Fans</v>
      </c>
      <c r="AB3" s="17" t="str">
        <f>Calculations!AJ4</f>
        <v>Pumps</v>
      </c>
      <c r="AC3" s="17" t="str">
        <f>Calculations!AK4</f>
        <v>Heat Rejection</v>
      </c>
      <c r="AD3" s="17" t="str">
        <f>Calculations!AL4</f>
        <v>Humidification</v>
      </c>
      <c r="AE3" s="17" t="str">
        <f>Calculations!AM4</f>
        <v>Heat Recovery</v>
      </c>
      <c r="AF3" s="17" t="str">
        <f>Calculations!AN4</f>
        <v>Water Systems</v>
      </c>
      <c r="AG3" s="17" t="str">
        <f>Calculations!AO4</f>
        <v>Refrigeration</v>
      </c>
      <c r="AH3" s="17" t="str">
        <f>Calculations!AP4</f>
        <v>Generators</v>
      </c>
      <c r="AI3" s="17" t="str">
        <f>IF(ISBLANK('Project Info'!I10)," ",'Project Info'!I10)</f>
        <v xml:space="preserve"> </v>
      </c>
      <c r="AJ3" s="17" t="str">
        <f>IF(ISBLANK('Project Info'!J10)," ",'Project Info'!J10)</f>
        <v xml:space="preserve"> </v>
      </c>
      <c r="AK3" s="43" t="s">
        <v>206</v>
      </c>
      <c r="AL3" s="17" t="s">
        <v>201</v>
      </c>
      <c r="AM3" s="17" t="s">
        <v>202</v>
      </c>
      <c r="AN3" s="44" t="s">
        <v>207</v>
      </c>
      <c r="AO3" s="17" t="s">
        <v>174</v>
      </c>
      <c r="AP3" s="17"/>
      <c r="AQ3" s="17" t="s">
        <v>208</v>
      </c>
      <c r="AR3" s="17"/>
    </row>
    <row r="4" spans="1:53">
      <c r="B4" s="35"/>
      <c r="C4" s="19"/>
      <c r="E4" s="4"/>
      <c r="F4" s="4"/>
      <c r="G4" s="4"/>
      <c r="H4" s="4"/>
      <c r="I4" s="4"/>
      <c r="J4" s="4"/>
      <c r="K4" s="4"/>
      <c r="L4" s="4"/>
      <c r="M4" s="4"/>
      <c r="N4" s="4"/>
      <c r="O4" s="4"/>
      <c r="Q4" s="16"/>
      <c r="R4" s="15"/>
      <c r="S4" s="17"/>
      <c r="T4" s="15"/>
      <c r="U4" s="17" t="str">
        <f>IF(AND($S$2=Menus!$I$7,'Project Info'!$D$16="No"),Calculations!AC$6,"No")</f>
        <v>No</v>
      </c>
      <c r="V4" s="17" t="str">
        <f>IF(AND($S$2=Menus!$I$7,'Project Info'!$D$16="No"),Calculations!AD$6,"No")</f>
        <v>No</v>
      </c>
      <c r="W4" s="17" t="str">
        <f>IF(AND($S$2=Menus!$I$7,'Project Info'!$D$16="No"),Calculations!AE$6,"No")</f>
        <v>No</v>
      </c>
      <c r="X4" s="17" t="str">
        <f>IF(AND($S$2=Menus!$I$7,'Project Info'!$D$16="No"),Calculations!AF$6,"No")</f>
        <v>No</v>
      </c>
      <c r="Y4" s="17" t="str">
        <f>IF(AND($S$2=Menus!$I$7,'Project Info'!$D$16="No"),Calculations!AG$6,"No")</f>
        <v>No</v>
      </c>
      <c r="Z4" s="17" t="str">
        <f>IF(AND($S$2=Menus!$I$7,'Project Info'!$D$16="No"),Calculations!AH$6,"No")</f>
        <v>No</v>
      </c>
      <c r="AA4" s="17" t="str">
        <f>IF(AND($S$2=Menus!$I$7,'Project Info'!$D$16="No"),Calculations!AI$6,"No")</f>
        <v>No</v>
      </c>
      <c r="AB4" s="17" t="str">
        <f>IF(AND($S$2=Menus!$I$7,'Project Info'!$D$16="No"),Calculations!AJ$6,"No")</f>
        <v>No</v>
      </c>
      <c r="AC4" s="17" t="str">
        <f>IF(AND($S$2=Menus!$I$7,'Project Info'!$D$16="No"),Calculations!AK$6,"No")</f>
        <v>No</v>
      </c>
      <c r="AD4" s="17" t="str">
        <f>IF(AND($S$2=Menus!$I$7,'Project Info'!$D$16="No"),Calculations!AL$6,"No")</f>
        <v>No</v>
      </c>
      <c r="AE4" s="17" t="str">
        <f>IF(AND($S$2=Menus!$I$7,'Project Info'!$D$16="No"),Calculations!AM$6,"No")</f>
        <v>No</v>
      </c>
      <c r="AF4" s="17" t="str">
        <f>IF(AND($S$2=Menus!$I$7,'Project Info'!$D$16="No"),Calculations!AN$6,"No")</f>
        <v>No</v>
      </c>
      <c r="AG4" s="17" t="str">
        <f>IF(AND($S$2=Menus!$I$7,'Project Info'!$D$16="No"),Calculations!AO$6,"No")</f>
        <v>No</v>
      </c>
      <c r="AH4" s="17" t="str">
        <f>IF(AND($S$2=Menus!$I$7,'Project Info'!$D$16="No"),Calculations!AP$6,"No")</f>
        <v>No</v>
      </c>
      <c r="AI4" s="17" t="str">
        <f>IF(AND($S$2=Menus!$I$7,'Project Info'!$D$16="No"),Calculations!AQ$6,"No")</f>
        <v>No</v>
      </c>
      <c r="AJ4" s="17" t="str">
        <f>IF(AND($S$2=Menus!$I$7,'Project Info'!$D$16="No"),Calculations!AR$6,"No")</f>
        <v>No</v>
      </c>
      <c r="AK4" s="43"/>
      <c r="AL4" s="17"/>
      <c r="AM4" s="17"/>
      <c r="AN4" s="44"/>
      <c r="AO4" s="17"/>
      <c r="AP4" s="17"/>
      <c r="AQ4" s="17"/>
      <c r="AR4" s="17"/>
      <c r="AS4" s="15"/>
      <c r="AT4" s="15"/>
      <c r="AU4" s="15"/>
      <c r="AW4" s="18" t="s">
        <v>59</v>
      </c>
      <c r="AX4" s="18" t="s">
        <v>60</v>
      </c>
      <c r="AY4" s="18" t="s">
        <v>194</v>
      </c>
      <c r="AZ4" s="18" t="s">
        <v>102</v>
      </c>
      <c r="BA4" s="18" t="s">
        <v>103</v>
      </c>
    </row>
    <row r="5" spans="1:53" ht="28.8" thickBot="1">
      <c r="B5" s="62" t="str">
        <f>_xlfn.CONCAT(A1," Summary")</f>
        <v>Source Energy Use Summary</v>
      </c>
      <c r="C5" s="61"/>
      <c r="D5" s="193" t="str">
        <f>SiteE!D5</f>
        <v>Proposed Design</v>
      </c>
      <c r="E5" s="193" t="str">
        <f>SiteE!E5</f>
        <v xml:space="preserve"> </v>
      </c>
      <c r="F5" s="193" t="str">
        <f>SiteE!F5</f>
        <v xml:space="preserve"> </v>
      </c>
      <c r="G5" s="193" t="str">
        <f>SiteE!G5</f>
        <v xml:space="preserve"> </v>
      </c>
      <c r="H5" s="193" t="str">
        <f>SiteE!H5</f>
        <v xml:space="preserve"> </v>
      </c>
      <c r="I5" s="193" t="str">
        <f>SiteE!I5</f>
        <v xml:space="preserve"> </v>
      </c>
      <c r="J5" s="193" t="str">
        <f>SiteE!J5</f>
        <v xml:space="preserve"> </v>
      </c>
      <c r="K5" s="193" t="str">
        <f>SiteE!K5</f>
        <v xml:space="preserve"> </v>
      </c>
      <c r="L5" s="193" t="str">
        <f>SiteE!L5</f>
        <v xml:space="preserve"> </v>
      </c>
      <c r="M5" s="193" t="str">
        <f>SiteE!M5</f>
        <v xml:space="preserve"> </v>
      </c>
      <c r="N5" s="193" t="str">
        <f>SiteE!N5</f>
        <v xml:space="preserve"> </v>
      </c>
      <c r="O5" s="193" t="str">
        <f>SiteE!O5</f>
        <v xml:space="preserve"> </v>
      </c>
      <c r="Q5" s="16"/>
      <c r="R5" s="15"/>
      <c r="S5" s="61" t="str">
        <f>Calculations!A38</f>
        <v>Source Energy Use (kBtu)</v>
      </c>
      <c r="T5" s="193"/>
      <c r="U5" s="193"/>
      <c r="V5" s="193"/>
      <c r="W5" s="193"/>
      <c r="X5" s="193"/>
      <c r="Y5" s="193"/>
      <c r="Z5" s="193"/>
      <c r="AA5" s="193"/>
      <c r="AB5" s="193"/>
      <c r="AC5" s="193"/>
      <c r="AD5" s="193"/>
      <c r="AE5" s="193"/>
      <c r="AF5" s="193"/>
      <c r="AG5" s="193"/>
      <c r="AH5" s="193"/>
      <c r="AI5" s="193"/>
      <c r="AJ5" s="193"/>
      <c r="AK5" s="193"/>
      <c r="AL5" s="193"/>
      <c r="AM5" s="193"/>
      <c r="AN5" s="193"/>
      <c r="AO5" s="193"/>
      <c r="AP5" s="193"/>
      <c r="AQ5" s="193"/>
      <c r="AR5" s="193"/>
      <c r="AS5" s="193"/>
      <c r="AT5" s="193"/>
      <c r="AU5" s="193"/>
      <c r="AV5" s="193"/>
      <c r="AW5" s="193"/>
      <c r="AX5" s="193"/>
      <c r="AY5" s="193"/>
      <c r="AZ5" s="193"/>
      <c r="BA5" s="193"/>
    </row>
    <row r="6" spans="1:53">
      <c r="B6" s="59" t="s">
        <v>59</v>
      </c>
      <c r="C6" s="172" t="str">
        <f>'Project Info'!$I$6</f>
        <v>kBtu</v>
      </c>
      <c r="D6" s="71">
        <f>IFERROR(INDEX(Calculations!$BL$39:$BQ$51,MATCH(D$5,Calculations!$A$39:$A$51,0),MATCH($B6,Calculations!$BL$5:$BQ$5,0)),0)</f>
        <v>1930517.4476000001</v>
      </c>
      <c r="E6" s="71">
        <f>IFERROR(INDEX(Calculations!$BL$39:$BQ$51,MATCH(E$5,Calculations!$A$39:$A$51,0),MATCH($B6,Calculations!$BL$5:$BQ$5,0)),0)</f>
        <v>0</v>
      </c>
      <c r="F6" s="71">
        <f>IFERROR(INDEX(Calculations!$BL$39:$BQ$51,MATCH(F$5,Calculations!$A$39:$A$51,0),MATCH($B6,Calculations!$BL$5:$BQ$5,0)),0)</f>
        <v>0</v>
      </c>
      <c r="G6" s="71">
        <f>IFERROR(INDEX(Calculations!$BL$39:$BQ$51,MATCH(G$5,Calculations!$A$39:$A$51,0),MATCH($B6,Calculations!$BL$5:$BQ$5,0)),0)</f>
        <v>0</v>
      </c>
      <c r="H6" s="71">
        <f>IFERROR(INDEX(Calculations!$BL$39:$BQ$51,MATCH(H$5,Calculations!$A$39:$A$51,0),MATCH($B6,Calculations!$BL$5:$BQ$5,0)),0)</f>
        <v>0</v>
      </c>
      <c r="I6" s="71">
        <f>IFERROR(INDEX(Calculations!$BL$39:$BQ$51,MATCH(I$5,Calculations!$A$39:$A$51,0),MATCH($B6,Calculations!$BL$5:$BQ$5,0)),0)</f>
        <v>0</v>
      </c>
      <c r="J6" s="71">
        <f>IFERROR(INDEX(Calculations!$BL$39:$BQ$51,MATCH(J$5,Calculations!$A$39:$A$51,0),MATCH($B6,Calculations!$BL$5:$BQ$5,0)),0)</f>
        <v>0</v>
      </c>
      <c r="K6" s="71">
        <f>IFERROR(INDEX(Calculations!$BL$39:$BQ$51,MATCH(K$5,Calculations!$A$39:$A$51,0),MATCH($B6,Calculations!$BL$5:$BQ$5,0)),0)</f>
        <v>0</v>
      </c>
      <c r="L6" s="71">
        <f>IFERROR(INDEX(Calculations!$BL$39:$BQ$51,MATCH(L$5,Calculations!$A$39:$A$51,0),MATCH($B6,Calculations!$BL$5:$BQ$5,0)),0)</f>
        <v>0</v>
      </c>
      <c r="M6" s="71">
        <f>IFERROR(INDEX(Calculations!$BL$39:$BQ$51,MATCH(M$5,Calculations!$A$39:$A$51,0),MATCH($B6,Calculations!$BL$5:$BQ$5,0)),0)</f>
        <v>0</v>
      </c>
      <c r="N6" s="71">
        <f>IFERROR(INDEX(Calculations!$BL$39:$BQ$51,MATCH(N$5,Calculations!$A$39:$A$51,0),MATCH($B6,Calculations!$BL$5:$BQ$5,0)),0)</f>
        <v>0</v>
      </c>
      <c r="O6" s="71">
        <f>IFERROR(INDEX(Calculations!$BL$39:$BQ$51,MATCH(O$5,Calculations!$A$39:$A$51,0),MATCH($B6,Calculations!$BL$5:$BQ$5,0)),0)</f>
        <v>0</v>
      </c>
      <c r="Q6" s="12"/>
      <c r="S6" s="20" t="str">
        <f>SiteE!S6</f>
        <v>Proposed Design</v>
      </c>
      <c r="U6" s="91">
        <f>IFERROR(IF(U$4="Yes",0,INDEX(Calculations!AC$39:AC$51,MATCH(SourceE!$S6,Calculations!$A$39:$A$51,0))),0)</f>
        <v>107344.24959999998</v>
      </c>
      <c r="V6" s="91">
        <f>IFERROR(IF(V$4="Yes",0,INDEX(Calculations!AD$39:AD$51,MATCH(SourceE!$S6,Calculations!$A$39:$A$51,0))),0)</f>
        <v>400071.33040000004</v>
      </c>
      <c r="W6" s="91">
        <f>IFERROR(IF(W$4="Yes",0,INDEX(Calculations!AE$39:AE$51,MATCH(SourceE!$S6,Calculations!$A$39:$A$51,0))),0)</f>
        <v>429443.87359999999</v>
      </c>
      <c r="X6" s="91">
        <f>IFERROR(IF(X$4="Yes",0,INDEX(Calculations!AF$39:AF$51,MATCH(SourceE!$S6,Calculations!$A$39:$A$51,0))),0)</f>
        <v>0</v>
      </c>
      <c r="Y6" s="91">
        <f>IFERROR(IF(Y$4="Yes",0,INDEX(Calculations!AG$39:AG$51,MATCH(SourceE!$S6,Calculations!$A$39:$A$51,0))),0)</f>
        <v>504229.45439999999</v>
      </c>
      <c r="Z6" s="91">
        <f>IFERROR(IF(Z$4="Yes",0,INDEX(Calculations!AH$39:AH$51,MATCH(SourceE!$S6,Calculations!$A$39:$A$51,0))),0)</f>
        <v>0</v>
      </c>
      <c r="AA6" s="91">
        <f>IFERROR(IF(AA$4="Yes",0,INDEX(Calculations!AI$39:AI$51,MATCH(SourceE!$S6,Calculations!$A$39:$A$51,0))),0)</f>
        <v>489428.53959999996</v>
      </c>
      <c r="AB6" s="91">
        <f>IFERROR(IF(AB$4="Yes",0,INDEX(Calculations!AJ$39:AJ$51,MATCH(SourceE!$S6,Calculations!$A$39:$A$51,0))),0)</f>
        <v>0</v>
      </c>
      <c r="AC6" s="91">
        <f>IFERROR(IF(AC$4="Yes",0,INDEX(Calculations!AK$39:AK$51,MATCH(SourceE!$S6,Calculations!$A$39:$A$51,0))),0)</f>
        <v>0</v>
      </c>
      <c r="AD6" s="91">
        <f>IFERROR(IF(AD$4="Yes",0,INDEX(Calculations!AL$39:AL$51,MATCH(SourceE!$S6,Calculations!$A$39:$A$51,0))),0)</f>
        <v>0</v>
      </c>
      <c r="AE6" s="91">
        <f>IFERROR(IF(AE$4="Yes",0,INDEX(Calculations!AM$39:AM$51,MATCH(SourceE!$S6,Calculations!$A$39:$A$51,0))),0)</f>
        <v>0</v>
      </c>
      <c r="AF6" s="91">
        <f>IFERROR(IF(AF$4="Yes",0,INDEX(Calculations!AN$39:AN$51,MATCH(SourceE!$S6,Calculations!$A$39:$A$51,0))),0)</f>
        <v>0</v>
      </c>
      <c r="AG6" s="91">
        <f>IFERROR(IF(AG$4="Yes",0,INDEX(Calculations!AO$39:AO$51,MATCH(SourceE!$S6,Calculations!$A$39:$A$51,0))),0)</f>
        <v>0</v>
      </c>
      <c r="AH6" s="91">
        <f>IFERROR(IF(AH$4="Yes",0,INDEX(Calculations!AP$39:AP$51,MATCH(SourceE!$S6,Calculations!$A$39:$A$51,0))),0)</f>
        <v>0</v>
      </c>
      <c r="AI6" s="91">
        <f>IFERROR(IF(AI$4="Yes",0,INDEX(Calculations!AQ$39:AQ$51,MATCH(SourceE!$S6,Calculations!$A$39:$A$51,0))),0)</f>
        <v>0</v>
      </c>
      <c r="AJ6" s="91">
        <f>IFERROR(IF(AJ$4="Yes",0,INDEX(Calculations!AR$39:AR$51,MATCH(SourceE!$S6,Calculations!$A$39:$A$51,0))),0)</f>
        <v>0</v>
      </c>
      <c r="AK6" s="124">
        <f>IFERROR(SUM(U6:AI6)*'Project Info'!$D$28,0)</f>
        <v>0</v>
      </c>
      <c r="AL6" s="91">
        <f>IFERROR(INDEX(Calculations!BC$39:BC$51,MATCH(SourceE!$S6,Calculations!$A$39:$A$51,0))*-1,0)</f>
        <v>0</v>
      </c>
      <c r="AM6" s="91">
        <f>IFERROR(INDEX(Calculations!BD$39:BD$51,MATCH(SourceE!$S6,Calculations!$A$39:$A$51,0))*-1,0)</f>
        <v>0</v>
      </c>
      <c r="AN6" s="123">
        <f ca="1">IFERROR(SUM(OFFSET(Calculations!BE$39,MATCH($S6,Calculations!$A$39:$A$51,0)-1,0,1,4))*-1,0)</f>
        <v>0</v>
      </c>
      <c r="AO6" s="91">
        <f t="shared" ref="AO6:AO17" ca="1" si="0">SUM(U6:AN6)</f>
        <v>1930517.4476000001</v>
      </c>
      <c r="AP6" s="17"/>
      <c r="AQ6" s="4" t="str">
        <f>'Project Info'!D20</f>
        <v>NA</v>
      </c>
      <c r="AS6" s="4" t="e">
        <f>CONCATENATE(AQ6*100,"% LEED Target")</f>
        <v>#VALUE!</v>
      </c>
      <c r="AT6" s="91" t="e">
        <f>Calculations!BQ9*(1-AQ6)</f>
        <v>#VALUE!</v>
      </c>
      <c r="AU6" s="91" t="e">
        <f>AT6</f>
        <v>#VALUE!</v>
      </c>
      <c r="AW6" s="91">
        <f>IFERROR(INDEX(Calculations!BL$9:BL$21,MATCH($S6,Calculations!$A$9:$A$21,0)),0)</f>
        <v>689470.51699999999</v>
      </c>
      <c r="AX6" s="91">
        <f>IFERROR(INDEX(Calculations!BM$9:BM$21,MATCH($S6,Calculations!$A$9:$A$21,0)),0)</f>
        <v>0</v>
      </c>
      <c r="AY6" s="91">
        <f>IFERROR(INDEX(Calculations!BN$9:BN$21,MATCH($S6,Calculations!$A$9:$A$21,0)),0)</f>
        <v>0</v>
      </c>
      <c r="AZ6" s="91">
        <f>IFERROR(INDEX(Calculations!BO$9:BO$21,MATCH($S6,Calculations!$A$9:$A$21,0)),0)</f>
        <v>0</v>
      </c>
      <c r="BA6" s="91">
        <f>IFERROR(INDEX(Calculations!BP$9:BP$21,MATCH($S6,Calculations!$A$9:$A$21,0)),0)</f>
        <v>0</v>
      </c>
    </row>
    <row r="7" spans="1:53">
      <c r="B7" s="59" t="s">
        <v>60</v>
      </c>
      <c r="C7" s="172" t="str">
        <f>'Project Info'!$I$6</f>
        <v>kBtu</v>
      </c>
      <c r="D7" s="71">
        <f>IFERROR(INDEX(Calculations!$BL$39:$BQ$51,MATCH(D$5,Calculations!$A$39:$A$51,0),MATCH($B7,Calculations!$BL$5:$BQ$5,0)),0)</f>
        <v>0</v>
      </c>
      <c r="E7" s="71">
        <f>IFERROR(INDEX(Calculations!$BL$39:$BQ$51,MATCH(E$5,Calculations!$A$39:$A$51,0),MATCH($B7,Calculations!$BL$5:$BQ$5,0)),0)</f>
        <v>0</v>
      </c>
      <c r="F7" s="71">
        <f>IFERROR(INDEX(Calculations!$BL$39:$BQ$51,MATCH(F$5,Calculations!$A$39:$A$51,0),MATCH($B7,Calculations!$BL$5:$BQ$5,0)),0)</f>
        <v>0</v>
      </c>
      <c r="G7" s="71">
        <f>IFERROR(INDEX(Calculations!$BL$39:$BQ$51,MATCH(G$5,Calculations!$A$39:$A$51,0),MATCH($B7,Calculations!$BL$5:$BQ$5,0)),0)</f>
        <v>0</v>
      </c>
      <c r="H7" s="71">
        <f>IFERROR(INDEX(Calculations!$BL$39:$BQ$51,MATCH(H$5,Calculations!$A$39:$A$51,0),MATCH($B7,Calculations!$BL$5:$BQ$5,0)),0)</f>
        <v>0</v>
      </c>
      <c r="I7" s="71">
        <f>IFERROR(INDEX(Calculations!$BL$39:$BQ$51,MATCH(I$5,Calculations!$A$39:$A$51,0),MATCH($B7,Calculations!$BL$5:$BQ$5,0)),0)</f>
        <v>0</v>
      </c>
      <c r="J7" s="71">
        <f>IFERROR(INDEX(Calculations!$BL$39:$BQ$51,MATCH(J$5,Calculations!$A$39:$A$51,0),MATCH($B7,Calculations!$BL$5:$BQ$5,0)),0)</f>
        <v>0</v>
      </c>
      <c r="K7" s="71">
        <f>IFERROR(INDEX(Calculations!$BL$39:$BQ$51,MATCH(K$5,Calculations!$A$39:$A$51,0),MATCH($B7,Calculations!$BL$5:$BQ$5,0)),0)</f>
        <v>0</v>
      </c>
      <c r="L7" s="71">
        <f>IFERROR(INDEX(Calculations!$BL$39:$BQ$51,MATCH(L$5,Calculations!$A$39:$A$51,0),MATCH($B7,Calculations!$BL$5:$BQ$5,0)),0)</f>
        <v>0</v>
      </c>
      <c r="M7" s="71">
        <f>IFERROR(INDEX(Calculations!$BL$39:$BQ$51,MATCH(M$5,Calculations!$A$39:$A$51,0),MATCH($B7,Calculations!$BL$5:$BQ$5,0)),0)</f>
        <v>0</v>
      </c>
      <c r="N7" s="71">
        <f>IFERROR(INDEX(Calculations!$BL$39:$BQ$51,MATCH(N$5,Calculations!$A$39:$A$51,0),MATCH($B7,Calculations!$BL$5:$BQ$5,0)),0)</f>
        <v>0</v>
      </c>
      <c r="O7" s="71">
        <f>IFERROR(INDEX(Calculations!$BL$39:$BQ$51,MATCH(O$5,Calculations!$A$39:$A$51,0),MATCH($B7,Calculations!$BL$5:$BQ$5,0)),0)</f>
        <v>0</v>
      </c>
      <c r="Q7" s="12"/>
      <c r="S7" s="20" t="str">
        <f>SiteE!S7</f>
        <v xml:space="preserve"> </v>
      </c>
      <c r="U7" s="91">
        <f>IFERROR(IF(U$4="Yes",0,INDEX(Calculations!AC$39:AC$51,MATCH(SourceE!$S7,Calculations!$A$39:$A$51,0))),0)</f>
        <v>0</v>
      </c>
      <c r="V7" s="91">
        <f>IFERROR(IF(V$4="Yes",0,INDEX(Calculations!AD$39:AD$51,MATCH(SourceE!$S7,Calculations!$A$39:$A$51,0))),0)</f>
        <v>0</v>
      </c>
      <c r="W7" s="91">
        <f>IFERROR(IF(W$4="Yes",0,INDEX(Calculations!AE$39:AE$51,MATCH(SourceE!$S7,Calculations!$A$39:$A$51,0))),0)</f>
        <v>0</v>
      </c>
      <c r="X7" s="91">
        <f>IFERROR(IF(X$4="Yes",0,INDEX(Calculations!AF$39:AF$51,MATCH(SourceE!$S7,Calculations!$A$39:$A$51,0))),0)</f>
        <v>0</v>
      </c>
      <c r="Y7" s="91">
        <f>IFERROR(IF(Y$4="Yes",0,INDEX(Calculations!AG$39:AG$51,MATCH(SourceE!$S7,Calculations!$A$39:$A$51,0))),0)</f>
        <v>0</v>
      </c>
      <c r="Z7" s="91">
        <f>IFERROR(IF(Z$4="Yes",0,INDEX(Calculations!AH$39:AH$51,MATCH(SourceE!$S7,Calculations!$A$39:$A$51,0))),0)</f>
        <v>0</v>
      </c>
      <c r="AA7" s="91">
        <f>IFERROR(IF(AA$4="Yes",0,INDEX(Calculations!AI$39:AI$51,MATCH(SourceE!$S7,Calculations!$A$39:$A$51,0))),0)</f>
        <v>0</v>
      </c>
      <c r="AB7" s="91">
        <f>IFERROR(IF(AB$4="Yes",0,INDEX(Calculations!AJ$39:AJ$51,MATCH(SourceE!$S7,Calculations!$A$39:$A$51,0))),0)</f>
        <v>0</v>
      </c>
      <c r="AC7" s="91">
        <f>IFERROR(IF(AC$4="Yes",0,INDEX(Calculations!AK$39:AK$51,MATCH(SourceE!$S7,Calculations!$A$39:$A$51,0))),0)</f>
        <v>0</v>
      </c>
      <c r="AD7" s="91">
        <f>IFERROR(IF(AD$4="Yes",0,INDEX(Calculations!AL$39:AL$51,MATCH(SourceE!$S7,Calculations!$A$39:$A$51,0))),0)</f>
        <v>0</v>
      </c>
      <c r="AE7" s="91">
        <f>IFERROR(IF(AE$4="Yes",0,INDEX(Calculations!AM$39:AM$51,MATCH(SourceE!$S7,Calculations!$A$39:$A$51,0))),0)</f>
        <v>0</v>
      </c>
      <c r="AF7" s="91">
        <f>IFERROR(IF(AF$4="Yes",0,INDEX(Calculations!AN$39:AN$51,MATCH(SourceE!$S7,Calculations!$A$39:$A$51,0))),0)</f>
        <v>0</v>
      </c>
      <c r="AG7" s="91">
        <f>IFERROR(IF(AG$4="Yes",0,INDEX(Calculations!AO$39:AO$51,MATCH(SourceE!$S7,Calculations!$A$39:$A$51,0))),0)</f>
        <v>0</v>
      </c>
      <c r="AH7" s="91">
        <f>IFERROR(IF(AH$4="Yes",0,INDEX(Calculations!AP$39:AP$51,MATCH(SourceE!$S7,Calculations!$A$39:$A$51,0))),0)</f>
        <v>0</v>
      </c>
      <c r="AI7" s="91">
        <f>IFERROR(IF(AI$4="Yes",0,INDEX(Calculations!AQ$39:AQ$51,MATCH(SourceE!$S7,Calculations!$A$39:$A$51,0))),0)</f>
        <v>0</v>
      </c>
      <c r="AJ7" s="91">
        <f>IFERROR(IF(AJ$4="Yes",0,INDEX(Calculations!AR$39:AR$51,MATCH(SourceE!$S7,Calculations!$A$39:$A$51,0))),0)</f>
        <v>0</v>
      </c>
      <c r="AK7" s="124">
        <f>IFERROR(SUM(U7:AI7)*'Project Info'!$D$28,0)</f>
        <v>0</v>
      </c>
      <c r="AL7" s="91">
        <f>IFERROR(INDEX(Calculations!BC$39:BC$51,MATCH(SourceE!$S7,Calculations!$A$39:$A$51,0))*-1,0)</f>
        <v>0</v>
      </c>
      <c r="AM7" s="91">
        <f>IFERROR(INDEX(Calculations!BD$39:BD$51,MATCH(SourceE!$S7,Calculations!$A$39:$A$51,0))*-1,0)</f>
        <v>0</v>
      </c>
      <c r="AN7" s="123">
        <f ca="1">IFERROR(SUM(OFFSET(Calculations!BE$39,MATCH($S7,Calculations!$A$39:$A$51,0)-1,0,1,4))*-1,0)</f>
        <v>0</v>
      </c>
      <c r="AO7" s="91">
        <f t="shared" ca="1" si="0"/>
        <v>0</v>
      </c>
      <c r="AP7" s="17"/>
      <c r="AQ7" s="4" t="str">
        <f>'Project Info'!E20</f>
        <v>NA</v>
      </c>
      <c r="AS7" s="4" t="e">
        <f>CONCATENATE(AQ7*100,"% Code Target")</f>
        <v>#VALUE!</v>
      </c>
      <c r="AT7" s="91" t="e">
        <f>Calculations!BQ10*(1-AQ7)</f>
        <v>#VALUE!</v>
      </c>
      <c r="AU7" s="91" t="e">
        <f>AT7</f>
        <v>#VALUE!</v>
      </c>
      <c r="AW7" s="91">
        <f>IFERROR(INDEX(Calculations!BL$9:BL$21,MATCH($S7,Calculations!$A$9:$A$21,0)),0)</f>
        <v>0</v>
      </c>
      <c r="AX7" s="91">
        <f>IFERROR(INDEX(Calculations!BM$9:BM$21,MATCH($S7,Calculations!$A$9:$A$21,0)),0)</f>
        <v>0</v>
      </c>
      <c r="AY7" s="91">
        <f>IFERROR(INDEX(Calculations!BN$9:BN$21,MATCH($S7,Calculations!$A$9:$A$21,0)),0)</f>
        <v>0</v>
      </c>
      <c r="AZ7" s="91">
        <f>IFERROR(INDEX(Calculations!BO$9:BO$21,MATCH($S7,Calculations!$A$9:$A$21,0)),0)</f>
        <v>0</v>
      </c>
      <c r="BA7" s="91">
        <f>IFERROR(INDEX(Calculations!BP$9:BP$21,MATCH($S7,Calculations!$A$9:$A$21,0)),0)</f>
        <v>0</v>
      </c>
    </row>
    <row r="8" spans="1:53">
      <c r="B8" s="59" t="s">
        <v>194</v>
      </c>
      <c r="C8" s="172" t="str">
        <f>'Project Info'!$I$6</f>
        <v>kBtu</v>
      </c>
      <c r="D8" s="71">
        <f>IFERROR(INDEX(Calculations!$BL$39:$BQ$51,MATCH(D$5,Calculations!$A$39:$A$51,0),MATCH($B8,Calculations!$BL$5:$BQ$5,0)),0)</f>
        <v>0</v>
      </c>
      <c r="E8" s="71">
        <f>IFERROR(INDEX(Calculations!$BL$39:$BQ$51,MATCH(E$5,Calculations!$A$39:$A$51,0),MATCH($B8,Calculations!$BL$5:$BQ$5,0)),0)</f>
        <v>0</v>
      </c>
      <c r="F8" s="71">
        <f>IFERROR(INDEX(Calculations!$BL$39:$BQ$51,MATCH(F$5,Calculations!$A$39:$A$51,0),MATCH($B8,Calculations!$BL$5:$BQ$5,0)),0)</f>
        <v>0</v>
      </c>
      <c r="G8" s="71">
        <f>IFERROR(INDEX(Calculations!$BL$39:$BQ$51,MATCH(G$5,Calculations!$A$39:$A$51,0),MATCH($B8,Calculations!$BL$5:$BQ$5,0)),0)</f>
        <v>0</v>
      </c>
      <c r="H8" s="71">
        <f>IFERROR(INDEX(Calculations!$BL$39:$BQ$51,MATCH(H$5,Calculations!$A$39:$A$51,0),MATCH($B8,Calculations!$BL$5:$BQ$5,0)),0)</f>
        <v>0</v>
      </c>
      <c r="I8" s="71">
        <f>IFERROR(INDEX(Calculations!$BL$39:$BQ$51,MATCH(I$5,Calculations!$A$39:$A$51,0),MATCH($B8,Calculations!$BL$5:$BQ$5,0)),0)</f>
        <v>0</v>
      </c>
      <c r="J8" s="71">
        <f>IFERROR(INDEX(Calculations!$BL$39:$BQ$51,MATCH(J$5,Calculations!$A$39:$A$51,0),MATCH($B8,Calculations!$BL$5:$BQ$5,0)),0)</f>
        <v>0</v>
      </c>
      <c r="K8" s="71">
        <f>IFERROR(INDEX(Calculations!$BL$39:$BQ$51,MATCH(K$5,Calculations!$A$39:$A$51,0),MATCH($B8,Calculations!$BL$5:$BQ$5,0)),0)</f>
        <v>0</v>
      </c>
      <c r="L8" s="71">
        <f>IFERROR(INDEX(Calculations!$BL$39:$BQ$51,MATCH(L$5,Calculations!$A$39:$A$51,0),MATCH($B8,Calculations!$BL$5:$BQ$5,0)),0)</f>
        <v>0</v>
      </c>
      <c r="M8" s="71">
        <f>IFERROR(INDEX(Calculations!$BL$39:$BQ$51,MATCH(M$5,Calculations!$A$39:$A$51,0),MATCH($B8,Calculations!$BL$5:$BQ$5,0)),0)</f>
        <v>0</v>
      </c>
      <c r="N8" s="71">
        <f>IFERROR(INDEX(Calculations!$BL$39:$BQ$51,MATCH(N$5,Calculations!$A$39:$A$51,0),MATCH($B8,Calculations!$BL$5:$BQ$5,0)),0)</f>
        <v>0</v>
      </c>
      <c r="O8" s="71">
        <f>IFERROR(INDEX(Calculations!$BL$39:$BQ$51,MATCH(O$5,Calculations!$A$39:$A$51,0),MATCH($B8,Calculations!$BL$5:$BQ$5,0)),0)</f>
        <v>0</v>
      </c>
      <c r="Q8" s="12"/>
      <c r="S8" s="20" t="str">
        <f>SiteE!S8</f>
        <v xml:space="preserve"> </v>
      </c>
      <c r="U8" s="91">
        <f>IFERROR(IF(U$4="Yes",0,INDEX(Calculations!AC$39:AC$51,MATCH(SourceE!$S8,Calculations!$A$39:$A$51,0))),0)</f>
        <v>0</v>
      </c>
      <c r="V8" s="91">
        <f>IFERROR(IF(V$4="Yes",0,INDEX(Calculations!AD$39:AD$51,MATCH(SourceE!$S8,Calculations!$A$39:$A$51,0))),0)</f>
        <v>0</v>
      </c>
      <c r="W8" s="91">
        <f>IFERROR(IF(W$4="Yes",0,INDEX(Calculations!AE$39:AE$51,MATCH(SourceE!$S8,Calculations!$A$39:$A$51,0))),0)</f>
        <v>0</v>
      </c>
      <c r="X8" s="91">
        <f>IFERROR(IF(X$4="Yes",0,INDEX(Calculations!AF$39:AF$51,MATCH(SourceE!$S8,Calculations!$A$39:$A$51,0))),0)</f>
        <v>0</v>
      </c>
      <c r="Y8" s="91">
        <f>IFERROR(IF(Y$4="Yes",0,INDEX(Calculations!AG$39:AG$51,MATCH(SourceE!$S8,Calculations!$A$39:$A$51,0))),0)</f>
        <v>0</v>
      </c>
      <c r="Z8" s="91">
        <f>IFERROR(IF(Z$4="Yes",0,INDEX(Calculations!AH$39:AH$51,MATCH(SourceE!$S8,Calculations!$A$39:$A$51,0))),0)</f>
        <v>0</v>
      </c>
      <c r="AA8" s="91">
        <f>IFERROR(IF(AA$4="Yes",0,INDEX(Calculations!AI$39:AI$51,MATCH(SourceE!$S8,Calculations!$A$39:$A$51,0))),0)</f>
        <v>0</v>
      </c>
      <c r="AB8" s="91">
        <f>IFERROR(IF(AB$4="Yes",0,INDEX(Calculations!AJ$39:AJ$51,MATCH(SourceE!$S8,Calculations!$A$39:$A$51,0))),0)</f>
        <v>0</v>
      </c>
      <c r="AC8" s="91">
        <f>IFERROR(IF(AC$4="Yes",0,INDEX(Calculations!AK$39:AK$51,MATCH(SourceE!$S8,Calculations!$A$39:$A$51,0))),0)</f>
        <v>0</v>
      </c>
      <c r="AD8" s="91">
        <f>IFERROR(IF(AD$4="Yes",0,INDEX(Calculations!AL$39:AL$51,MATCH(SourceE!$S8,Calculations!$A$39:$A$51,0))),0)</f>
        <v>0</v>
      </c>
      <c r="AE8" s="91">
        <f>IFERROR(IF(AE$4="Yes",0,INDEX(Calculations!AM$39:AM$51,MATCH(SourceE!$S8,Calculations!$A$39:$A$51,0))),0)</f>
        <v>0</v>
      </c>
      <c r="AF8" s="91">
        <f>IFERROR(IF(AF$4="Yes",0,INDEX(Calculations!AN$39:AN$51,MATCH(SourceE!$S8,Calculations!$A$39:$A$51,0))),0)</f>
        <v>0</v>
      </c>
      <c r="AG8" s="91">
        <f>IFERROR(IF(AG$4="Yes",0,INDEX(Calculations!AO$39:AO$51,MATCH(SourceE!$S8,Calculations!$A$39:$A$51,0))),0)</f>
        <v>0</v>
      </c>
      <c r="AH8" s="91">
        <f>IFERROR(IF(AH$4="Yes",0,INDEX(Calculations!AP$39:AP$51,MATCH(SourceE!$S8,Calculations!$A$39:$A$51,0))),0)</f>
        <v>0</v>
      </c>
      <c r="AI8" s="91">
        <f>IFERROR(IF(AI$4="Yes",0,INDEX(Calculations!AQ$39:AQ$51,MATCH(SourceE!$S8,Calculations!$A$39:$A$51,0))),0)</f>
        <v>0</v>
      </c>
      <c r="AJ8" s="91">
        <f>IFERROR(IF(AJ$4="Yes",0,INDEX(Calculations!AR$39:AR$51,MATCH(SourceE!$S8,Calculations!$A$39:$A$51,0))),0)</f>
        <v>0</v>
      </c>
      <c r="AK8" s="124">
        <f>IFERROR(SUM(U8:AI8)*'Project Info'!$D$28,0)</f>
        <v>0</v>
      </c>
      <c r="AL8" s="91">
        <f>IFERROR(INDEX(Calculations!BC$39:BC$51,MATCH(SourceE!$S8,Calculations!$A$39:$A$51,0))*-1,0)</f>
        <v>0</v>
      </c>
      <c r="AM8" s="91">
        <f>IFERROR(INDEX(Calculations!BD$39:BD$51,MATCH(SourceE!$S8,Calculations!$A$39:$A$51,0))*-1,0)</f>
        <v>0</v>
      </c>
      <c r="AN8" s="123">
        <f ca="1">IFERROR(SUM(OFFSET(Calculations!BE$39,MATCH($S8,Calculations!$A$39:$A$51,0)-1,0,1,4))*-1,0)</f>
        <v>0</v>
      </c>
      <c r="AO8" s="91">
        <f t="shared" ca="1" si="0"/>
        <v>0</v>
      </c>
      <c r="AP8" s="17"/>
      <c r="AQ8" s="4"/>
      <c r="AW8" s="91">
        <f>IFERROR(INDEX(Calculations!BL$9:BL$21,MATCH($S8,Calculations!$A$9:$A$21,0)),0)</f>
        <v>0</v>
      </c>
      <c r="AX8" s="91">
        <f>IFERROR(INDEX(Calculations!BM$9:BM$21,MATCH($S8,Calculations!$A$9:$A$21,0)),0)</f>
        <v>0</v>
      </c>
      <c r="AY8" s="91">
        <f>IFERROR(INDEX(Calculations!BN$9:BN$21,MATCH($S8,Calculations!$A$9:$A$21,0)),0)</f>
        <v>0</v>
      </c>
      <c r="AZ8" s="91">
        <f>IFERROR(INDEX(Calculations!BO$9:BO$21,MATCH($S8,Calculations!$A$9:$A$21,0)),0)</f>
        <v>0</v>
      </c>
      <c r="BA8" s="91">
        <f>IFERROR(INDEX(Calculations!BP$9:BP$21,MATCH($S8,Calculations!$A$9:$A$21,0)),0)</f>
        <v>0</v>
      </c>
    </row>
    <row r="9" spans="1:53">
      <c r="B9" s="59" t="s">
        <v>102</v>
      </c>
      <c r="C9" s="172" t="str">
        <f>'Project Info'!$I$6</f>
        <v>kBtu</v>
      </c>
      <c r="D9" s="71">
        <f>IFERROR(INDEX(Calculations!$BL$39:$BQ$51,MATCH(D$5,Calculations!$A$39:$A$51,0),MATCH($B9,Calculations!$BL$5:$BQ$5,0)),0)</f>
        <v>0</v>
      </c>
      <c r="E9" s="71">
        <f>IFERROR(INDEX(Calculations!$BL$39:$BQ$51,MATCH(E$5,Calculations!$A$39:$A$51,0),MATCH($B9,Calculations!$BL$5:$BQ$5,0)),0)</f>
        <v>0</v>
      </c>
      <c r="F9" s="71">
        <f>IFERROR(INDEX(Calculations!$BL$39:$BQ$51,MATCH(F$5,Calculations!$A$39:$A$51,0),MATCH($B9,Calculations!$BL$5:$BQ$5,0)),0)</f>
        <v>0</v>
      </c>
      <c r="G9" s="71">
        <f>IFERROR(INDEX(Calculations!$BL$39:$BQ$51,MATCH(G$5,Calculations!$A$39:$A$51,0),MATCH($B9,Calculations!$BL$5:$BQ$5,0)),0)</f>
        <v>0</v>
      </c>
      <c r="H9" s="71">
        <f>IFERROR(INDEX(Calculations!$BL$39:$BQ$51,MATCH(H$5,Calculations!$A$39:$A$51,0),MATCH($B9,Calculations!$BL$5:$BQ$5,0)),0)</f>
        <v>0</v>
      </c>
      <c r="I9" s="71">
        <f>IFERROR(INDEX(Calculations!$BL$39:$BQ$51,MATCH(I$5,Calculations!$A$39:$A$51,0),MATCH($B9,Calculations!$BL$5:$BQ$5,0)),0)</f>
        <v>0</v>
      </c>
      <c r="J9" s="71">
        <f>IFERROR(INDEX(Calculations!$BL$39:$BQ$51,MATCH(J$5,Calculations!$A$39:$A$51,0),MATCH($B9,Calculations!$BL$5:$BQ$5,0)),0)</f>
        <v>0</v>
      </c>
      <c r="K9" s="71">
        <f>IFERROR(INDEX(Calculations!$BL$39:$BQ$51,MATCH(K$5,Calculations!$A$39:$A$51,0),MATCH($B9,Calculations!$BL$5:$BQ$5,0)),0)</f>
        <v>0</v>
      </c>
      <c r="L9" s="71">
        <f>IFERROR(INDEX(Calculations!$BL$39:$BQ$51,MATCH(L$5,Calculations!$A$39:$A$51,0),MATCH($B9,Calculations!$BL$5:$BQ$5,0)),0)</f>
        <v>0</v>
      </c>
      <c r="M9" s="71">
        <f>IFERROR(INDEX(Calculations!$BL$39:$BQ$51,MATCH(M$5,Calculations!$A$39:$A$51,0),MATCH($B9,Calculations!$BL$5:$BQ$5,0)),0)</f>
        <v>0</v>
      </c>
      <c r="N9" s="71">
        <f>IFERROR(INDEX(Calculations!$BL$39:$BQ$51,MATCH(N$5,Calculations!$A$39:$A$51,0),MATCH($B9,Calculations!$BL$5:$BQ$5,0)),0)</f>
        <v>0</v>
      </c>
      <c r="O9" s="71">
        <f>IFERROR(INDEX(Calculations!$BL$39:$BQ$51,MATCH(O$5,Calculations!$A$39:$A$51,0),MATCH($B9,Calculations!$BL$5:$BQ$5,0)),0)</f>
        <v>0</v>
      </c>
      <c r="Q9" s="12"/>
      <c r="S9" s="20" t="str">
        <f>SiteE!S9</f>
        <v xml:space="preserve"> </v>
      </c>
      <c r="U9" s="91">
        <f>IFERROR(IF(U$4="Yes",0,INDEX(Calculations!AC$39:AC$51,MATCH(SourceE!$S9,Calculations!$A$39:$A$51,0))),0)</f>
        <v>0</v>
      </c>
      <c r="V9" s="91">
        <f>IFERROR(IF(V$4="Yes",0,INDEX(Calculations!AD$39:AD$51,MATCH(SourceE!$S9,Calculations!$A$39:$A$51,0))),0)</f>
        <v>0</v>
      </c>
      <c r="W9" s="91">
        <f>IFERROR(IF(W$4="Yes",0,INDEX(Calculations!AE$39:AE$51,MATCH(SourceE!$S9,Calculations!$A$39:$A$51,0))),0)</f>
        <v>0</v>
      </c>
      <c r="X9" s="91">
        <f>IFERROR(IF(X$4="Yes",0,INDEX(Calculations!AF$39:AF$51,MATCH(SourceE!$S9,Calculations!$A$39:$A$51,0))),0)</f>
        <v>0</v>
      </c>
      <c r="Y9" s="91">
        <f>IFERROR(IF(Y$4="Yes",0,INDEX(Calculations!AG$39:AG$51,MATCH(SourceE!$S9,Calculations!$A$39:$A$51,0))),0)</f>
        <v>0</v>
      </c>
      <c r="Z9" s="91">
        <f>IFERROR(IF(Z$4="Yes",0,INDEX(Calculations!AH$39:AH$51,MATCH(SourceE!$S9,Calculations!$A$39:$A$51,0))),0)</f>
        <v>0</v>
      </c>
      <c r="AA9" s="91">
        <f>IFERROR(IF(AA$4="Yes",0,INDEX(Calculations!AI$39:AI$51,MATCH(SourceE!$S9,Calculations!$A$39:$A$51,0))),0)</f>
        <v>0</v>
      </c>
      <c r="AB9" s="91">
        <f>IFERROR(IF(AB$4="Yes",0,INDEX(Calculations!AJ$39:AJ$51,MATCH(SourceE!$S9,Calculations!$A$39:$A$51,0))),0)</f>
        <v>0</v>
      </c>
      <c r="AC9" s="91">
        <f>IFERROR(IF(AC$4="Yes",0,INDEX(Calculations!AK$39:AK$51,MATCH(SourceE!$S9,Calculations!$A$39:$A$51,0))),0)</f>
        <v>0</v>
      </c>
      <c r="AD9" s="91">
        <f>IFERROR(IF(AD$4="Yes",0,INDEX(Calculations!AL$39:AL$51,MATCH(SourceE!$S9,Calculations!$A$39:$A$51,0))),0)</f>
        <v>0</v>
      </c>
      <c r="AE9" s="91">
        <f>IFERROR(IF(AE$4="Yes",0,INDEX(Calculations!AM$39:AM$51,MATCH(SourceE!$S9,Calculations!$A$39:$A$51,0))),0)</f>
        <v>0</v>
      </c>
      <c r="AF9" s="91">
        <f>IFERROR(IF(AF$4="Yes",0,INDEX(Calculations!AN$39:AN$51,MATCH(SourceE!$S9,Calculations!$A$39:$A$51,0))),0)</f>
        <v>0</v>
      </c>
      <c r="AG9" s="91">
        <f>IFERROR(IF(AG$4="Yes",0,INDEX(Calculations!AO$39:AO$51,MATCH(SourceE!$S9,Calculations!$A$39:$A$51,0))),0)</f>
        <v>0</v>
      </c>
      <c r="AH9" s="91">
        <f>IFERROR(IF(AH$4="Yes",0,INDEX(Calculations!AP$39:AP$51,MATCH(SourceE!$S9,Calculations!$A$39:$A$51,0))),0)</f>
        <v>0</v>
      </c>
      <c r="AI9" s="91">
        <f>IFERROR(IF(AI$4="Yes",0,INDEX(Calculations!AQ$39:AQ$51,MATCH(SourceE!$S9,Calculations!$A$39:$A$51,0))),0)</f>
        <v>0</v>
      </c>
      <c r="AJ9" s="91">
        <f>IFERROR(IF(AJ$4="Yes",0,INDEX(Calculations!AR$39:AR$51,MATCH(SourceE!$S9,Calculations!$A$39:$A$51,0))),0)</f>
        <v>0</v>
      </c>
      <c r="AK9" s="124">
        <f>IFERROR(SUM(U9:AI9)*'Project Info'!$D$28,0)</f>
        <v>0</v>
      </c>
      <c r="AL9" s="91">
        <f>IFERROR(INDEX(Calculations!BC$39:BC$51,MATCH(SourceE!$S9,Calculations!$A$39:$A$51,0))*-1,0)</f>
        <v>0</v>
      </c>
      <c r="AM9" s="91">
        <f>IFERROR(INDEX(Calculations!BD$39:BD$51,MATCH(SourceE!$S9,Calculations!$A$39:$A$51,0))*-1,0)</f>
        <v>0</v>
      </c>
      <c r="AN9" s="123">
        <f ca="1">IFERROR(SUM(OFFSET(Calculations!BE$39,MATCH($S9,Calculations!$A$39:$A$51,0)-1,0,1,4))*-1,0)</f>
        <v>0</v>
      </c>
      <c r="AO9" s="91">
        <f t="shared" ca="1" si="0"/>
        <v>0</v>
      </c>
      <c r="AP9" s="17"/>
      <c r="AQ9" s="4"/>
      <c r="AW9" s="91">
        <f>IFERROR(INDEX(Calculations!BL$9:BL$21,MATCH($S9,Calculations!$A$9:$A$21,0)),0)</f>
        <v>0</v>
      </c>
      <c r="AX9" s="91">
        <f>IFERROR(INDEX(Calculations!BM$9:BM$21,MATCH($S9,Calculations!$A$9:$A$21,0)),0)</f>
        <v>0</v>
      </c>
      <c r="AY9" s="91">
        <f>IFERROR(INDEX(Calculations!BN$9:BN$21,MATCH($S9,Calculations!$A$9:$A$21,0)),0)</f>
        <v>0</v>
      </c>
      <c r="AZ9" s="91">
        <f>IFERROR(INDEX(Calculations!BO$9:BO$21,MATCH($S9,Calculations!$A$9:$A$21,0)),0)</f>
        <v>0</v>
      </c>
      <c r="BA9" s="91">
        <f>IFERROR(INDEX(Calculations!BP$9:BP$21,MATCH($S9,Calculations!$A$9:$A$21,0)),0)</f>
        <v>0</v>
      </c>
    </row>
    <row r="10" spans="1:53">
      <c r="B10" s="59" t="s">
        <v>103</v>
      </c>
      <c r="C10" s="172" t="str">
        <f>'Project Info'!$I$6</f>
        <v>kBtu</v>
      </c>
      <c r="D10" s="71">
        <f>IFERROR(INDEX(Calculations!$BL$39:$BQ$51,MATCH(D$5,Calculations!$A$39:$A$51,0),MATCH($B10,Calculations!$BL$5:$BQ$5,0)),0)</f>
        <v>0</v>
      </c>
      <c r="E10" s="71">
        <f>IFERROR(INDEX(Calculations!$BL$39:$BQ$51,MATCH(E$5,Calculations!$A$39:$A$51,0),MATCH($B10,Calculations!$BL$5:$BQ$5,0)),0)</f>
        <v>0</v>
      </c>
      <c r="F10" s="71">
        <f>IFERROR(INDEX(Calculations!$BL$39:$BQ$51,MATCH(F$5,Calculations!$A$39:$A$51,0),MATCH($B10,Calculations!$BL$5:$BQ$5,0)),0)</f>
        <v>0</v>
      </c>
      <c r="G10" s="71">
        <f>IFERROR(INDEX(Calculations!$BL$39:$BQ$51,MATCH(G$5,Calculations!$A$39:$A$51,0),MATCH($B10,Calculations!$BL$5:$BQ$5,0)),0)</f>
        <v>0</v>
      </c>
      <c r="H10" s="71">
        <f>IFERROR(INDEX(Calculations!$BL$39:$BQ$51,MATCH(H$5,Calculations!$A$39:$A$51,0),MATCH($B10,Calculations!$BL$5:$BQ$5,0)),0)</f>
        <v>0</v>
      </c>
      <c r="I10" s="71">
        <f>IFERROR(INDEX(Calculations!$BL$39:$BQ$51,MATCH(I$5,Calculations!$A$39:$A$51,0),MATCH($B10,Calculations!$BL$5:$BQ$5,0)),0)</f>
        <v>0</v>
      </c>
      <c r="J10" s="71">
        <f>IFERROR(INDEX(Calculations!$BL$39:$BQ$51,MATCH(J$5,Calculations!$A$39:$A$51,0),MATCH($B10,Calculations!$BL$5:$BQ$5,0)),0)</f>
        <v>0</v>
      </c>
      <c r="K10" s="71">
        <f>IFERROR(INDEX(Calculations!$BL$39:$BQ$51,MATCH(K$5,Calculations!$A$39:$A$51,0),MATCH($B10,Calculations!$BL$5:$BQ$5,0)),0)</f>
        <v>0</v>
      </c>
      <c r="L10" s="71">
        <f>IFERROR(INDEX(Calculations!$BL$39:$BQ$51,MATCH(L$5,Calculations!$A$39:$A$51,0),MATCH($B10,Calculations!$BL$5:$BQ$5,0)),0)</f>
        <v>0</v>
      </c>
      <c r="M10" s="71">
        <f>IFERROR(INDEX(Calculations!$BL$39:$BQ$51,MATCH(M$5,Calculations!$A$39:$A$51,0),MATCH($B10,Calculations!$BL$5:$BQ$5,0)),0)</f>
        <v>0</v>
      </c>
      <c r="N10" s="71">
        <f>IFERROR(INDEX(Calculations!$BL$39:$BQ$51,MATCH(N$5,Calculations!$A$39:$A$51,0),MATCH($B10,Calculations!$BL$5:$BQ$5,0)),0)</f>
        <v>0</v>
      </c>
      <c r="O10" s="71">
        <f>IFERROR(INDEX(Calculations!$BL$39:$BQ$51,MATCH(O$5,Calculations!$A$39:$A$51,0),MATCH($B10,Calculations!$BL$5:$BQ$5,0)),0)</f>
        <v>0</v>
      </c>
      <c r="Q10" s="12"/>
      <c r="S10" s="20" t="str">
        <f>SiteE!S10</f>
        <v xml:space="preserve"> </v>
      </c>
      <c r="U10" s="91">
        <f>IFERROR(IF(U$4="Yes",0,INDEX(Calculations!AC$39:AC$51,MATCH(SourceE!$S10,Calculations!$A$39:$A$51,0))),0)</f>
        <v>0</v>
      </c>
      <c r="V10" s="91">
        <f>IFERROR(IF(V$4="Yes",0,INDEX(Calculations!AD$39:AD$51,MATCH(SourceE!$S10,Calculations!$A$39:$A$51,0))),0)</f>
        <v>0</v>
      </c>
      <c r="W10" s="91">
        <f>IFERROR(IF(W$4="Yes",0,INDEX(Calculations!AE$39:AE$51,MATCH(SourceE!$S10,Calculations!$A$39:$A$51,0))),0)</f>
        <v>0</v>
      </c>
      <c r="X10" s="91">
        <f>IFERROR(IF(X$4="Yes",0,INDEX(Calculations!AF$39:AF$51,MATCH(SourceE!$S10,Calculations!$A$39:$A$51,0))),0)</f>
        <v>0</v>
      </c>
      <c r="Y10" s="91">
        <f>IFERROR(IF(Y$4="Yes",0,INDEX(Calculations!AG$39:AG$51,MATCH(SourceE!$S10,Calculations!$A$39:$A$51,0))),0)</f>
        <v>0</v>
      </c>
      <c r="Z10" s="91">
        <f>IFERROR(IF(Z$4="Yes",0,INDEX(Calculations!AH$39:AH$51,MATCH(SourceE!$S10,Calculations!$A$39:$A$51,0))),0)</f>
        <v>0</v>
      </c>
      <c r="AA10" s="91">
        <f>IFERROR(IF(AA$4="Yes",0,INDEX(Calculations!AI$39:AI$51,MATCH(SourceE!$S10,Calculations!$A$39:$A$51,0))),0)</f>
        <v>0</v>
      </c>
      <c r="AB10" s="91">
        <f>IFERROR(IF(AB$4="Yes",0,INDEX(Calculations!AJ$39:AJ$51,MATCH(SourceE!$S10,Calculations!$A$39:$A$51,0))),0)</f>
        <v>0</v>
      </c>
      <c r="AC10" s="91">
        <f>IFERROR(IF(AC$4="Yes",0,INDEX(Calculations!AK$39:AK$51,MATCH(SourceE!$S10,Calculations!$A$39:$A$51,0))),0)</f>
        <v>0</v>
      </c>
      <c r="AD10" s="91">
        <f>IFERROR(IF(AD$4="Yes",0,INDEX(Calculations!AL$39:AL$51,MATCH(SourceE!$S10,Calculations!$A$39:$A$51,0))),0)</f>
        <v>0</v>
      </c>
      <c r="AE10" s="91">
        <f>IFERROR(IF(AE$4="Yes",0,INDEX(Calculations!AM$39:AM$51,MATCH(SourceE!$S10,Calculations!$A$39:$A$51,0))),0)</f>
        <v>0</v>
      </c>
      <c r="AF10" s="91">
        <f>IFERROR(IF(AF$4="Yes",0,INDEX(Calculations!AN$39:AN$51,MATCH(SourceE!$S10,Calculations!$A$39:$A$51,0))),0)</f>
        <v>0</v>
      </c>
      <c r="AG10" s="91">
        <f>IFERROR(IF(AG$4="Yes",0,INDEX(Calculations!AO$39:AO$51,MATCH(SourceE!$S10,Calculations!$A$39:$A$51,0))),0)</f>
        <v>0</v>
      </c>
      <c r="AH10" s="91">
        <f>IFERROR(IF(AH$4="Yes",0,INDEX(Calculations!AP$39:AP$51,MATCH(SourceE!$S10,Calculations!$A$39:$A$51,0))),0)</f>
        <v>0</v>
      </c>
      <c r="AI10" s="91">
        <f>IFERROR(IF(AI$4="Yes",0,INDEX(Calculations!AQ$39:AQ$51,MATCH(SourceE!$S10,Calculations!$A$39:$A$51,0))),0)</f>
        <v>0</v>
      </c>
      <c r="AJ10" s="91">
        <f>IFERROR(IF(AJ$4="Yes",0,INDEX(Calculations!AR$39:AR$51,MATCH(SourceE!$S10,Calculations!$A$39:$A$51,0))),0)</f>
        <v>0</v>
      </c>
      <c r="AK10" s="124">
        <f>IFERROR(SUM(U10:AI10)*'Project Info'!$D$28,0)</f>
        <v>0</v>
      </c>
      <c r="AL10" s="91">
        <f>IFERROR(INDEX(Calculations!BC$39:BC$51,MATCH(SourceE!$S10,Calculations!$A$39:$A$51,0))*-1,0)</f>
        <v>0</v>
      </c>
      <c r="AM10" s="91">
        <f>IFERROR(INDEX(Calculations!BD$39:BD$51,MATCH(SourceE!$S10,Calculations!$A$39:$A$51,0))*-1,0)</f>
        <v>0</v>
      </c>
      <c r="AN10" s="123">
        <f ca="1">IFERROR(SUM(OFFSET(Calculations!BE$39,MATCH($S10,Calculations!$A$39:$A$51,0)-1,0,1,4))*-1,0)</f>
        <v>0</v>
      </c>
      <c r="AO10" s="91">
        <f t="shared" ca="1" si="0"/>
        <v>0</v>
      </c>
      <c r="AP10" s="17"/>
      <c r="AQ10" s="4"/>
      <c r="AW10" s="91">
        <f>IFERROR(INDEX(Calculations!BL$9:BL$21,MATCH($S10,Calculations!$A$9:$A$21,0)),0)</f>
        <v>0</v>
      </c>
      <c r="AX10" s="91">
        <f>IFERROR(INDEX(Calculations!BM$9:BM$21,MATCH($S10,Calculations!$A$9:$A$21,0)),0)</f>
        <v>0</v>
      </c>
      <c r="AY10" s="91">
        <f>IFERROR(INDEX(Calculations!BN$9:BN$21,MATCH($S10,Calculations!$A$9:$A$21,0)),0)</f>
        <v>0</v>
      </c>
      <c r="AZ10" s="91">
        <f>IFERROR(INDEX(Calculations!BO$9:BO$21,MATCH($S10,Calculations!$A$9:$A$21,0)),0)</f>
        <v>0</v>
      </c>
      <c r="BA10" s="91">
        <f>IFERROR(INDEX(Calculations!BP$9:BP$21,MATCH($S10,Calculations!$A$9:$A$21,0)),0)</f>
        <v>0</v>
      </c>
    </row>
    <row r="11" spans="1:53">
      <c r="B11" s="60" t="s">
        <v>174</v>
      </c>
      <c r="C11" s="172" t="str">
        <f>'Project Info'!$I$6</f>
        <v>kBtu</v>
      </c>
      <c r="D11" s="71">
        <f>SUM(D6:D10)</f>
        <v>1930517.4476000001</v>
      </c>
      <c r="E11" s="71">
        <f t="shared" ref="E11:O11" si="1">SUM(E6:E10)</f>
        <v>0</v>
      </c>
      <c r="F11" s="71">
        <f t="shared" si="1"/>
        <v>0</v>
      </c>
      <c r="G11" s="71">
        <f t="shared" si="1"/>
        <v>0</v>
      </c>
      <c r="H11" s="71">
        <f t="shared" si="1"/>
        <v>0</v>
      </c>
      <c r="I11" s="71">
        <f t="shared" si="1"/>
        <v>0</v>
      </c>
      <c r="J11" s="71">
        <f t="shared" si="1"/>
        <v>0</v>
      </c>
      <c r="K11" s="71">
        <f t="shared" si="1"/>
        <v>0</v>
      </c>
      <c r="L11" s="71">
        <f t="shared" si="1"/>
        <v>0</v>
      </c>
      <c r="M11" s="71">
        <f t="shared" si="1"/>
        <v>0</v>
      </c>
      <c r="N11" s="71">
        <f t="shared" si="1"/>
        <v>0</v>
      </c>
      <c r="O11" s="71">
        <f t="shared" si="1"/>
        <v>0</v>
      </c>
      <c r="Q11" s="12"/>
      <c r="S11" s="20" t="str">
        <f>SiteE!S12</f>
        <v xml:space="preserve"> </v>
      </c>
      <c r="U11" s="91">
        <f>IFERROR(IF(U$4="Yes",0,INDEX(Calculations!AC$39:AC$51,MATCH(SourceE!$S11,Calculations!$A$39:$A$51,0))),0)</f>
        <v>0</v>
      </c>
      <c r="V11" s="91">
        <f>IFERROR(IF(V$4="Yes",0,INDEX(Calculations!AD$39:AD$51,MATCH(SourceE!$S11,Calculations!$A$39:$A$51,0))),0)</f>
        <v>0</v>
      </c>
      <c r="W11" s="91">
        <f>IFERROR(IF(W$4="Yes",0,INDEX(Calculations!AE$39:AE$51,MATCH(SourceE!$S11,Calculations!$A$39:$A$51,0))),0)</f>
        <v>0</v>
      </c>
      <c r="X11" s="91">
        <f>IFERROR(IF(X$4="Yes",0,INDEX(Calculations!AF$39:AF$51,MATCH(SourceE!$S11,Calculations!$A$39:$A$51,0))),0)</f>
        <v>0</v>
      </c>
      <c r="Y11" s="91">
        <f>IFERROR(IF(Y$4="Yes",0,INDEX(Calculations!AG$39:AG$51,MATCH(SourceE!$S11,Calculations!$A$39:$A$51,0))),0)</f>
        <v>0</v>
      </c>
      <c r="Z11" s="91">
        <f>IFERROR(IF(Z$4="Yes",0,INDEX(Calculations!AH$39:AH$51,MATCH(SourceE!$S11,Calculations!$A$39:$A$51,0))),0)</f>
        <v>0</v>
      </c>
      <c r="AA11" s="91">
        <f>IFERROR(IF(AA$4="Yes",0,INDEX(Calculations!AI$39:AI$51,MATCH(SourceE!$S11,Calculations!$A$39:$A$51,0))),0)</f>
        <v>0</v>
      </c>
      <c r="AB11" s="91">
        <f>IFERROR(IF(AB$4="Yes",0,INDEX(Calculations!AJ$39:AJ$51,MATCH(SourceE!$S11,Calculations!$A$39:$A$51,0))),0)</f>
        <v>0</v>
      </c>
      <c r="AC11" s="91">
        <f>IFERROR(IF(AC$4="Yes",0,INDEX(Calculations!AK$39:AK$51,MATCH(SourceE!$S11,Calculations!$A$39:$A$51,0))),0)</f>
        <v>0</v>
      </c>
      <c r="AD11" s="91">
        <f>IFERROR(IF(AD$4="Yes",0,INDEX(Calculations!AL$39:AL$51,MATCH(SourceE!$S11,Calculations!$A$39:$A$51,0))),0)</f>
        <v>0</v>
      </c>
      <c r="AE11" s="91">
        <f>IFERROR(IF(AE$4="Yes",0,INDEX(Calculations!AM$39:AM$51,MATCH(SourceE!$S11,Calculations!$A$39:$A$51,0))),0)</f>
        <v>0</v>
      </c>
      <c r="AF11" s="91">
        <f>IFERROR(IF(AF$4="Yes",0,INDEX(Calculations!AN$39:AN$51,MATCH(SourceE!$S11,Calculations!$A$39:$A$51,0))),0)</f>
        <v>0</v>
      </c>
      <c r="AG11" s="91">
        <f>IFERROR(IF(AG$4="Yes",0,INDEX(Calculations!AO$39:AO$51,MATCH(SourceE!$S11,Calculations!$A$39:$A$51,0))),0)</f>
        <v>0</v>
      </c>
      <c r="AH11" s="91">
        <f>IFERROR(IF(AH$4="Yes",0,INDEX(Calculations!AP$39:AP$51,MATCH(SourceE!$S11,Calculations!$A$39:$A$51,0))),0)</f>
        <v>0</v>
      </c>
      <c r="AI11" s="91">
        <f>IFERROR(IF(AI$4="Yes",0,INDEX(Calculations!AQ$39:AQ$51,MATCH(SourceE!$S11,Calculations!$A$39:$A$51,0))),0)</f>
        <v>0</v>
      </c>
      <c r="AJ11" s="91">
        <f>IFERROR(IF(AJ$4="Yes",0,INDEX(Calculations!AR$39:AR$51,MATCH(SourceE!$S11,Calculations!$A$39:$A$51,0))),0)</f>
        <v>0</v>
      </c>
      <c r="AK11" s="124">
        <f>IFERROR(SUM(U11:AI11)*'Project Info'!$D$28,0)</f>
        <v>0</v>
      </c>
      <c r="AL11" s="91">
        <f>IFERROR(INDEX(Calculations!BC$39:BC$51,MATCH(SourceE!$S11,Calculations!$A$39:$A$51,0))*-1,0)</f>
        <v>0</v>
      </c>
      <c r="AM11" s="91">
        <f>IFERROR(INDEX(Calculations!BD$39:BD$51,MATCH(SourceE!$S11,Calculations!$A$39:$A$51,0))*-1,0)</f>
        <v>0</v>
      </c>
      <c r="AN11" s="123">
        <f ca="1">IFERROR(SUM(OFFSET(Calculations!BE$39,MATCH($S11,Calculations!$A$39:$A$51,0)-1,0,1,4))*-1,0)</f>
        <v>0</v>
      </c>
      <c r="AO11" s="91">
        <f t="shared" ca="1" si="0"/>
        <v>0</v>
      </c>
      <c r="AP11" s="17"/>
      <c r="AQ11" s="4"/>
      <c r="AW11" s="91">
        <f>IFERROR(INDEX(Calculations!BL$9:BL$21,MATCH($S11,Calculations!$A$9:$A$21,0)),0)</f>
        <v>0</v>
      </c>
      <c r="AX11" s="91">
        <f>IFERROR(INDEX(Calculations!BM$9:BM$21,MATCH($S11,Calculations!$A$9:$A$21,0)),0)</f>
        <v>0</v>
      </c>
      <c r="AY11" s="91">
        <f>IFERROR(INDEX(Calculations!BN$9:BN$21,MATCH($S11,Calculations!$A$9:$A$21,0)),0)</f>
        <v>0</v>
      </c>
      <c r="AZ11" s="91">
        <f>IFERROR(INDEX(Calculations!BO$9:BO$21,MATCH($S11,Calculations!$A$9:$A$21,0)),0)</f>
        <v>0</v>
      </c>
      <c r="BA11" s="91">
        <f>IFERROR(INDEX(Calculations!BP$9:BP$21,MATCH($S11,Calculations!$A$9:$A$21,0)),0)</f>
        <v>0</v>
      </c>
    </row>
    <row r="12" spans="1:53">
      <c r="B12" s="60" t="str">
        <f>_xlfn.CONCAT(A1," Intensity")</f>
        <v>Source Energy Use Intensity</v>
      </c>
      <c r="C12" s="60" t="str">
        <f>_xlfn.CONCAT('Project Info'!$I$6,"/",IF('Project Info'!$I$4="SI","m²","ft²"))</f>
        <v>kBtu/ft²</v>
      </c>
      <c r="D12" s="129">
        <f>IFERROR(INDEX(Calculations!$BQ$54:$BQ$66,MATCH(D$5,Calculations!$A$9:$A$21,0)),0)</f>
        <v>141.40913035452678</v>
      </c>
      <c r="E12" s="129">
        <f>IFERROR(INDEX(Calculations!$BQ$54:$BQ$66,MATCH(E$5,Calculations!$A$9:$A$21,0)),0)</f>
        <v>0</v>
      </c>
      <c r="F12" s="129">
        <f>IFERROR(INDEX(Calculations!$BQ$54:$BQ$66,MATCH(F$5,Calculations!$A$9:$A$21,0)),0)</f>
        <v>0</v>
      </c>
      <c r="G12" s="129">
        <f>IFERROR(INDEX(Calculations!$BQ$54:$BQ$66,MATCH(G$5,Calculations!$A$9:$A$21,0)),0)</f>
        <v>0</v>
      </c>
      <c r="H12" s="129">
        <f>IFERROR(INDEX(Calculations!$BQ$54:$BQ$66,MATCH(H$5,Calculations!$A$9:$A$21,0)),0)</f>
        <v>0</v>
      </c>
      <c r="I12" s="129">
        <f>IFERROR(INDEX(Calculations!$BQ$54:$BQ$66,MATCH(I$5,Calculations!$A$9:$A$21,0)),0)</f>
        <v>0</v>
      </c>
      <c r="J12" s="129">
        <f>IFERROR(INDEX(Calculations!$BQ$54:$BQ$66,MATCH(J$5,Calculations!$A$9:$A$21,0)),0)</f>
        <v>0</v>
      </c>
      <c r="K12" s="129">
        <f>IFERROR(INDEX(Calculations!$BQ$54:$BQ$66,MATCH(K$5,Calculations!$A$9:$A$21,0)),0)</f>
        <v>0</v>
      </c>
      <c r="L12" s="129">
        <f>IFERROR(INDEX(Calculations!$BQ$54:$BQ$66,MATCH(L$5,Calculations!$A$9:$A$21,0)),0)</f>
        <v>0</v>
      </c>
      <c r="M12" s="129">
        <f>IFERROR(INDEX(Calculations!$BQ$54:$BQ$66,MATCH(M$5,Calculations!$A$9:$A$21,0)),0)</f>
        <v>0</v>
      </c>
      <c r="N12" s="129">
        <f>IFERROR(INDEX(Calculations!$BQ$54:$BQ$66,MATCH(N$5,Calculations!$A$9:$A$21,0)),0)</f>
        <v>0</v>
      </c>
      <c r="O12" s="129">
        <f>IFERROR(INDEX(Calculations!$BQ$54:$BQ$66,MATCH(O$5,Calculations!$A$9:$A$21,0)),0)</f>
        <v>0</v>
      </c>
      <c r="Q12" s="12"/>
      <c r="S12" s="20" t="str">
        <f>SiteE!S13</f>
        <v xml:space="preserve"> </v>
      </c>
      <c r="U12" s="91">
        <f>IFERROR(IF(U$4="Yes",0,INDEX(Calculations!AC$39:AC$51,MATCH(SourceE!$S12,Calculations!$A$39:$A$51,0))),0)</f>
        <v>0</v>
      </c>
      <c r="V12" s="91">
        <f>IFERROR(IF(V$4="Yes",0,INDEX(Calculations!AD$39:AD$51,MATCH(SourceE!$S12,Calculations!$A$39:$A$51,0))),0)</f>
        <v>0</v>
      </c>
      <c r="W12" s="91">
        <f>IFERROR(IF(W$4="Yes",0,INDEX(Calculations!AE$39:AE$51,MATCH(SourceE!$S12,Calculations!$A$39:$A$51,0))),0)</f>
        <v>0</v>
      </c>
      <c r="X12" s="91">
        <f>IFERROR(IF(X$4="Yes",0,INDEX(Calculations!AF$39:AF$51,MATCH(SourceE!$S12,Calculations!$A$39:$A$51,0))),0)</f>
        <v>0</v>
      </c>
      <c r="Y12" s="91">
        <f>IFERROR(IF(Y$4="Yes",0,INDEX(Calculations!AG$39:AG$51,MATCH(SourceE!$S12,Calculations!$A$39:$A$51,0))),0)</f>
        <v>0</v>
      </c>
      <c r="Z12" s="91">
        <f>IFERROR(IF(Z$4="Yes",0,INDEX(Calculations!AH$39:AH$51,MATCH(SourceE!$S12,Calculations!$A$39:$A$51,0))),0)</f>
        <v>0</v>
      </c>
      <c r="AA12" s="91">
        <f>IFERROR(IF(AA$4="Yes",0,INDEX(Calculations!AI$39:AI$51,MATCH(SourceE!$S12,Calculations!$A$39:$A$51,0))),0)</f>
        <v>0</v>
      </c>
      <c r="AB12" s="91">
        <f>IFERROR(IF(AB$4="Yes",0,INDEX(Calculations!AJ$39:AJ$51,MATCH(SourceE!$S12,Calculations!$A$39:$A$51,0))),0)</f>
        <v>0</v>
      </c>
      <c r="AC12" s="91">
        <f>IFERROR(IF(AC$4="Yes",0,INDEX(Calculations!AK$39:AK$51,MATCH(SourceE!$S12,Calculations!$A$39:$A$51,0))),0)</f>
        <v>0</v>
      </c>
      <c r="AD12" s="91">
        <f>IFERROR(IF(AD$4="Yes",0,INDEX(Calculations!AL$39:AL$51,MATCH(SourceE!$S12,Calculations!$A$39:$A$51,0))),0)</f>
        <v>0</v>
      </c>
      <c r="AE12" s="91">
        <f>IFERROR(IF(AE$4="Yes",0,INDEX(Calculations!AM$39:AM$51,MATCH(SourceE!$S12,Calculations!$A$39:$A$51,0))),0)</f>
        <v>0</v>
      </c>
      <c r="AF12" s="91">
        <f>IFERROR(IF(AF$4="Yes",0,INDEX(Calculations!AN$39:AN$51,MATCH(SourceE!$S12,Calculations!$A$39:$A$51,0))),0)</f>
        <v>0</v>
      </c>
      <c r="AG12" s="91">
        <f>IFERROR(IF(AG$4="Yes",0,INDEX(Calculations!AO$39:AO$51,MATCH(SourceE!$S12,Calculations!$A$39:$A$51,0))),0)</f>
        <v>0</v>
      </c>
      <c r="AH12" s="91">
        <f>IFERROR(IF(AH$4="Yes",0,INDEX(Calculations!AP$39:AP$51,MATCH(SourceE!$S12,Calculations!$A$39:$A$51,0))),0)</f>
        <v>0</v>
      </c>
      <c r="AI12" s="91">
        <f>IFERROR(IF(AI$4="Yes",0,INDEX(Calculations!AQ$39:AQ$51,MATCH(SourceE!$S12,Calculations!$A$39:$A$51,0))),0)</f>
        <v>0</v>
      </c>
      <c r="AJ12" s="91">
        <f>IFERROR(IF(AJ$4="Yes",0,INDEX(Calculations!AR$39:AR$51,MATCH(SourceE!$S12,Calculations!$A$39:$A$51,0))),0)</f>
        <v>0</v>
      </c>
      <c r="AK12" s="124">
        <f>IFERROR(SUM(U12:AI12)*'Project Info'!$D$28,0)</f>
        <v>0</v>
      </c>
      <c r="AL12" s="91">
        <f>IFERROR(INDEX(Calculations!BC$39:BC$51,MATCH(SourceE!$S12,Calculations!$A$39:$A$51,0))*-1,0)</f>
        <v>0</v>
      </c>
      <c r="AM12" s="91">
        <f>IFERROR(INDEX(Calculations!BD$39:BD$51,MATCH(SourceE!$S12,Calculations!$A$39:$A$51,0))*-1,0)</f>
        <v>0</v>
      </c>
      <c r="AN12" s="123">
        <f ca="1">IFERROR(SUM(OFFSET(Calculations!BE$39,MATCH($S12,Calculations!$A$39:$A$51,0)-1,0,1,4))*-1,0)</f>
        <v>0</v>
      </c>
      <c r="AO12" s="91">
        <f t="shared" ca="1" si="0"/>
        <v>0</v>
      </c>
      <c r="AP12" s="17"/>
      <c r="AQ12" s="4"/>
      <c r="AW12" s="91">
        <f>IFERROR(INDEX(Calculations!BL$9:BL$21,MATCH($S12,Calculations!$A$9:$A$21,0)),0)</f>
        <v>0</v>
      </c>
      <c r="AX12" s="91">
        <f>IFERROR(INDEX(Calculations!BM$9:BM$21,MATCH($S12,Calculations!$A$9:$A$21,0)),0)</f>
        <v>0</v>
      </c>
      <c r="AY12" s="91">
        <f>IFERROR(INDEX(Calculations!BN$9:BN$21,MATCH($S12,Calculations!$A$9:$A$21,0)),0)</f>
        <v>0</v>
      </c>
      <c r="AZ12" s="91">
        <f>IFERROR(INDEX(Calculations!BO$9:BO$21,MATCH($S12,Calculations!$A$9:$A$21,0)),0)</f>
        <v>0</v>
      </c>
      <c r="BA12" s="91">
        <f>IFERROR(INDEX(Calculations!BP$9:BP$21,MATCH($S12,Calculations!$A$9:$A$21,0)),0)</f>
        <v>0</v>
      </c>
    </row>
    <row r="13" spans="1:53">
      <c r="B13" s="64" t="str">
        <f>_xlfn.CONCAT(A1," Savings")</f>
        <v>Source Energy Use Savings</v>
      </c>
      <c r="C13" s="64" t="s">
        <v>209</v>
      </c>
      <c r="D13" s="69"/>
      <c r="E13" s="70" t="str">
        <f>IFERROR(IF(E$5=" "," ",1-(E11/$D11)),"0%")</f>
        <v xml:space="preserve"> </v>
      </c>
      <c r="F13" s="70" t="str">
        <f t="shared" ref="F13:O13" si="2">IFERROR(IF(F$5=" "," ",1-(F11/$D11)),"0%")</f>
        <v xml:space="preserve"> </v>
      </c>
      <c r="G13" s="70" t="str">
        <f t="shared" si="2"/>
        <v xml:space="preserve"> </v>
      </c>
      <c r="H13" s="70" t="str">
        <f t="shared" si="2"/>
        <v xml:space="preserve"> </v>
      </c>
      <c r="I13" s="70" t="str">
        <f t="shared" si="2"/>
        <v xml:space="preserve"> </v>
      </c>
      <c r="J13" s="70" t="str">
        <f t="shared" si="2"/>
        <v xml:space="preserve"> </v>
      </c>
      <c r="K13" s="70" t="str">
        <f t="shared" si="2"/>
        <v xml:space="preserve"> </v>
      </c>
      <c r="L13" s="70" t="str">
        <f t="shared" si="2"/>
        <v xml:space="preserve"> </v>
      </c>
      <c r="M13" s="70" t="str">
        <f t="shared" si="2"/>
        <v xml:space="preserve"> </v>
      </c>
      <c r="N13" s="70" t="str">
        <f t="shared" si="2"/>
        <v xml:space="preserve"> </v>
      </c>
      <c r="O13" s="70" t="str">
        <f t="shared" si="2"/>
        <v xml:space="preserve"> </v>
      </c>
      <c r="Q13" s="12"/>
      <c r="S13" s="20" t="str">
        <f>SiteE!S15</f>
        <v xml:space="preserve"> </v>
      </c>
      <c r="U13" s="91">
        <f>IFERROR(IF(U$4="Yes",0,INDEX(Calculations!AC$39:AC$51,MATCH(SourceE!$S13,Calculations!$A$39:$A$51,0))),0)</f>
        <v>0</v>
      </c>
      <c r="V13" s="91">
        <f>IFERROR(IF(V$4="Yes",0,INDEX(Calculations!AD$39:AD$51,MATCH(SourceE!$S13,Calculations!$A$39:$A$51,0))),0)</f>
        <v>0</v>
      </c>
      <c r="W13" s="91">
        <f>IFERROR(IF(W$4="Yes",0,INDEX(Calculations!AE$39:AE$51,MATCH(SourceE!$S13,Calculations!$A$39:$A$51,0))),0)</f>
        <v>0</v>
      </c>
      <c r="X13" s="91">
        <f>IFERROR(IF(X$4="Yes",0,INDEX(Calculations!AF$39:AF$51,MATCH(SourceE!$S13,Calculations!$A$39:$A$51,0))),0)</f>
        <v>0</v>
      </c>
      <c r="Y13" s="91">
        <f>IFERROR(IF(Y$4="Yes",0,INDEX(Calculations!AG$39:AG$51,MATCH(SourceE!$S13,Calculations!$A$39:$A$51,0))),0)</f>
        <v>0</v>
      </c>
      <c r="Z13" s="91">
        <f>IFERROR(IF(Z$4="Yes",0,INDEX(Calculations!AH$39:AH$51,MATCH(SourceE!$S13,Calculations!$A$39:$A$51,0))),0)</f>
        <v>0</v>
      </c>
      <c r="AA13" s="91">
        <f>IFERROR(IF(AA$4="Yes",0,INDEX(Calculations!AI$39:AI$51,MATCH(SourceE!$S13,Calculations!$A$39:$A$51,0))),0)</f>
        <v>0</v>
      </c>
      <c r="AB13" s="91">
        <f>IFERROR(IF(AB$4="Yes",0,INDEX(Calculations!AJ$39:AJ$51,MATCH(SourceE!$S13,Calculations!$A$39:$A$51,0))),0)</f>
        <v>0</v>
      </c>
      <c r="AC13" s="91">
        <f>IFERROR(IF(AC$4="Yes",0,INDEX(Calculations!AK$39:AK$51,MATCH(SourceE!$S13,Calculations!$A$39:$A$51,0))),0)</f>
        <v>0</v>
      </c>
      <c r="AD13" s="91">
        <f>IFERROR(IF(AD$4="Yes",0,INDEX(Calculations!AL$39:AL$51,MATCH(SourceE!$S13,Calculations!$A$39:$A$51,0))),0)</f>
        <v>0</v>
      </c>
      <c r="AE13" s="91">
        <f>IFERROR(IF(AE$4="Yes",0,INDEX(Calculations!AM$39:AM$51,MATCH(SourceE!$S13,Calculations!$A$39:$A$51,0))),0)</f>
        <v>0</v>
      </c>
      <c r="AF13" s="91">
        <f>IFERROR(IF(AF$4="Yes",0,INDEX(Calculations!AN$39:AN$51,MATCH(SourceE!$S13,Calculations!$A$39:$A$51,0))),0)</f>
        <v>0</v>
      </c>
      <c r="AG13" s="91">
        <f>IFERROR(IF(AG$4="Yes",0,INDEX(Calculations!AO$39:AO$51,MATCH(SourceE!$S13,Calculations!$A$39:$A$51,0))),0)</f>
        <v>0</v>
      </c>
      <c r="AH13" s="91">
        <f>IFERROR(IF(AH$4="Yes",0,INDEX(Calculations!AP$39:AP$51,MATCH(SourceE!$S13,Calculations!$A$39:$A$51,0))),0)</f>
        <v>0</v>
      </c>
      <c r="AI13" s="91">
        <f>IFERROR(IF(AI$4="Yes",0,INDEX(Calculations!AQ$39:AQ$51,MATCH(SourceE!$S13,Calculations!$A$39:$A$51,0))),0)</f>
        <v>0</v>
      </c>
      <c r="AJ13" s="91">
        <f>IFERROR(IF(AJ$4="Yes",0,INDEX(Calculations!AR$39:AR$51,MATCH(SourceE!$S13,Calculations!$A$39:$A$51,0))),0)</f>
        <v>0</v>
      </c>
      <c r="AK13" s="124">
        <f>IFERROR(SUM(U13:AI13)*'Project Info'!$D$28,0)</f>
        <v>0</v>
      </c>
      <c r="AL13" s="91">
        <f>IFERROR(INDEX(Calculations!BC$39:BC$51,MATCH(SourceE!$S13,Calculations!$A$39:$A$51,0))*-1,0)</f>
        <v>0</v>
      </c>
      <c r="AM13" s="91">
        <f>IFERROR(INDEX(Calculations!BD$39:BD$51,MATCH(SourceE!$S13,Calculations!$A$39:$A$51,0))*-1,0)</f>
        <v>0</v>
      </c>
      <c r="AN13" s="123">
        <f ca="1">IFERROR(SUM(OFFSET(Calculations!BE$39,MATCH($S13,Calculations!$A$39:$A$51,0)-1,0,1,4))*-1,0)</f>
        <v>0</v>
      </c>
      <c r="AO13" s="91">
        <f t="shared" ca="1" si="0"/>
        <v>0</v>
      </c>
      <c r="AP13" s="17"/>
      <c r="AQ13" s="4"/>
      <c r="AW13" s="91">
        <f>IFERROR(INDEX(Calculations!BL$9:BL$21,MATCH($S13,Calculations!$A$9:$A$21,0)),0)</f>
        <v>0</v>
      </c>
      <c r="AX13" s="91">
        <f>IFERROR(INDEX(Calculations!BM$9:BM$21,MATCH($S13,Calculations!$A$9:$A$21,0)),0)</f>
        <v>0</v>
      </c>
      <c r="AY13" s="91">
        <f>IFERROR(INDEX(Calculations!BN$9:BN$21,MATCH($S13,Calculations!$A$9:$A$21,0)),0)</f>
        <v>0</v>
      </c>
      <c r="AZ13" s="91">
        <f>IFERROR(INDEX(Calculations!BO$9:BO$21,MATCH($S13,Calculations!$A$9:$A$21,0)),0)</f>
        <v>0</v>
      </c>
      <c r="BA13" s="91">
        <f>IFERROR(INDEX(Calculations!BP$9:BP$21,MATCH($S13,Calculations!$A$9:$A$21,0)),0)</f>
        <v>0</v>
      </c>
    </row>
    <row r="14" spans="1:53">
      <c r="B14" s="59" t="str">
        <f>IF(MATCH('Project Info'!$D$12,LEED_Version,0)&lt;4," ","LEED Points")</f>
        <v xml:space="preserve"> </v>
      </c>
      <c r="C14" s="71"/>
      <c r="D14" s="71"/>
      <c r="E14" s="71">
        <f>IFERROR(IF(INDEX('LEED Calc'!$C$5:$Q$5,MATCH('Project Info'!$D$12,'LEED Calc'!$C$3:$Q$3,0))="No",0,1),0)</f>
        <v>0</v>
      </c>
      <c r="F14" s="71" t="str">
        <f>IFERROR(IF(MATCH('Project Info'!$D$12,LEED_Version,0)&lt;4," ",INDEX('RefTable LEED'!$BD$6:$BD$25,MATCH(F13,'RefTable LEED'!$BC$6:$BC$25,1))),0)</f>
        <v xml:space="preserve"> </v>
      </c>
      <c r="G14" s="71" t="str">
        <f>IFERROR(IF(MATCH('Project Info'!$D$12,LEED_Version,0)&lt;4," ",INDEX('RefTable LEED'!$BD$6:$BD$25,MATCH(G13,'RefTable LEED'!$BC$6:$BC$25,1))),0)</f>
        <v xml:space="preserve"> </v>
      </c>
      <c r="H14" s="71" t="str">
        <f>IFERROR(IF(MATCH('Project Info'!$D$12,LEED_Version,0)&lt;4," ",INDEX('RefTable LEED'!$BD$6:$BD$25,MATCH(H13,'RefTable LEED'!$BC$6:$BC$25,1))),0)</f>
        <v xml:space="preserve"> </v>
      </c>
      <c r="I14" s="71" t="str">
        <f>IFERROR(IF(MATCH('Project Info'!$D$12,LEED_Version,0)&lt;4," ",INDEX('RefTable LEED'!$BD$6:$BD$25,MATCH(I13,'RefTable LEED'!$BC$6:$BC$25,1))),0)</f>
        <v xml:space="preserve"> </v>
      </c>
      <c r="J14" s="71" t="str">
        <f>IFERROR(IF(MATCH('Project Info'!$D$12,LEED_Version,0)&lt;4," ",INDEX('RefTable LEED'!$BD$6:$BD$25,MATCH(J13,'RefTable LEED'!$BC$6:$BC$25,1))),0)</f>
        <v xml:space="preserve"> </v>
      </c>
      <c r="K14" s="71" t="str">
        <f>IFERROR(IF(MATCH('Project Info'!$D$12,LEED_Version,0)&lt;4," ",INDEX('RefTable LEED'!$BD$6:$BD$25,MATCH(K13,'RefTable LEED'!$BC$6:$BC$25,1))),0)</f>
        <v xml:space="preserve"> </v>
      </c>
      <c r="L14" s="71" t="str">
        <f>IFERROR(IF(MATCH('Project Info'!$D$12,LEED_Version,0)&lt;4," ",INDEX('RefTable LEED'!$BD$6:$BD$25,MATCH(L13,'RefTable LEED'!$BC$6:$BC$25,1))),0)</f>
        <v xml:space="preserve"> </v>
      </c>
      <c r="M14" s="71" t="str">
        <f>IFERROR(IF(MATCH('Project Info'!$D$12,LEED_Version,0)&lt;4," ",INDEX('RefTable LEED'!$BD$6:$BD$25,MATCH(M13,'RefTable LEED'!$BC$6:$BC$25,1))),0)</f>
        <v xml:space="preserve"> </v>
      </c>
      <c r="N14" s="71" t="str">
        <f>IFERROR(IF(MATCH('Project Info'!$D$12,LEED_Version,0)&lt;4," ",INDEX('RefTable LEED'!$BD$6:$BD$25,MATCH(N13,'RefTable LEED'!$BC$6:$BC$25,1))),0)</f>
        <v xml:space="preserve"> </v>
      </c>
      <c r="O14" s="71" t="str">
        <f>IFERROR(IF(MATCH('Project Info'!$D$12,LEED_Version,0)&lt;4," ",INDEX('RefTable LEED'!$BD$6:$BD$25,MATCH(O13,'RefTable LEED'!$BC$6:$BC$25,1))),0)</f>
        <v xml:space="preserve"> </v>
      </c>
      <c r="Q14" s="12"/>
      <c r="S14" s="20" t="str">
        <f>SiteE!S16</f>
        <v xml:space="preserve"> </v>
      </c>
      <c r="U14" s="91">
        <f>IFERROR(IF(U$4="Yes",0,INDEX(Calculations!AC$39:AC$51,MATCH(SourceE!$S14,Calculations!$A$39:$A$51,0))),0)</f>
        <v>0</v>
      </c>
      <c r="V14" s="91">
        <f>IFERROR(IF(V$4="Yes",0,INDEX(Calculations!AD$39:AD$51,MATCH(SourceE!$S14,Calculations!$A$39:$A$51,0))),0)</f>
        <v>0</v>
      </c>
      <c r="W14" s="91">
        <f>IFERROR(IF(W$4="Yes",0,INDEX(Calculations!AE$39:AE$51,MATCH(SourceE!$S14,Calculations!$A$39:$A$51,0))),0)</f>
        <v>0</v>
      </c>
      <c r="X14" s="91">
        <f>IFERROR(IF(X$4="Yes",0,INDEX(Calculations!AF$39:AF$51,MATCH(SourceE!$S14,Calculations!$A$39:$A$51,0))),0)</f>
        <v>0</v>
      </c>
      <c r="Y14" s="91">
        <f>IFERROR(IF(Y$4="Yes",0,INDEX(Calculations!AG$39:AG$51,MATCH(SourceE!$S14,Calculations!$A$39:$A$51,0))),0)</f>
        <v>0</v>
      </c>
      <c r="Z14" s="91">
        <f>IFERROR(IF(Z$4="Yes",0,INDEX(Calculations!AH$39:AH$51,MATCH(SourceE!$S14,Calculations!$A$39:$A$51,0))),0)</f>
        <v>0</v>
      </c>
      <c r="AA14" s="91">
        <f>IFERROR(IF(AA$4="Yes",0,INDEX(Calculations!AI$39:AI$51,MATCH(SourceE!$S14,Calculations!$A$39:$A$51,0))),0)</f>
        <v>0</v>
      </c>
      <c r="AB14" s="91">
        <f>IFERROR(IF(AB$4="Yes",0,INDEX(Calculations!AJ$39:AJ$51,MATCH(SourceE!$S14,Calculations!$A$39:$A$51,0))),0)</f>
        <v>0</v>
      </c>
      <c r="AC14" s="91">
        <f>IFERROR(IF(AC$4="Yes",0,INDEX(Calculations!AK$39:AK$51,MATCH(SourceE!$S14,Calculations!$A$39:$A$51,0))),0)</f>
        <v>0</v>
      </c>
      <c r="AD14" s="91">
        <f>IFERROR(IF(AD$4="Yes",0,INDEX(Calculations!AL$39:AL$51,MATCH(SourceE!$S14,Calculations!$A$39:$A$51,0))),0)</f>
        <v>0</v>
      </c>
      <c r="AE14" s="91">
        <f>IFERROR(IF(AE$4="Yes",0,INDEX(Calculations!AM$39:AM$51,MATCH(SourceE!$S14,Calculations!$A$39:$A$51,0))),0)</f>
        <v>0</v>
      </c>
      <c r="AF14" s="91">
        <f>IFERROR(IF(AF$4="Yes",0,INDEX(Calculations!AN$39:AN$51,MATCH(SourceE!$S14,Calculations!$A$39:$A$51,0))),0)</f>
        <v>0</v>
      </c>
      <c r="AG14" s="91">
        <f>IFERROR(IF(AG$4="Yes",0,INDEX(Calculations!AO$39:AO$51,MATCH(SourceE!$S14,Calculations!$A$39:$A$51,0))),0)</f>
        <v>0</v>
      </c>
      <c r="AH14" s="91">
        <f>IFERROR(IF(AH$4="Yes",0,INDEX(Calculations!AP$39:AP$51,MATCH(SourceE!$S14,Calculations!$A$39:$A$51,0))),0)</f>
        <v>0</v>
      </c>
      <c r="AI14" s="91">
        <f>IFERROR(IF(AI$4="Yes",0,INDEX(Calculations!AQ$39:AQ$51,MATCH(SourceE!$S14,Calculations!$A$39:$A$51,0))),0)</f>
        <v>0</v>
      </c>
      <c r="AJ14" s="91">
        <f>IFERROR(IF(AJ$4="Yes",0,INDEX(Calculations!AR$39:AR$51,MATCH(SourceE!$S14,Calculations!$A$39:$A$51,0))),0)</f>
        <v>0</v>
      </c>
      <c r="AK14" s="124">
        <f>IFERROR(SUM(U14:AI14)*'Project Info'!$D$28,0)</f>
        <v>0</v>
      </c>
      <c r="AL14" s="91">
        <f>IFERROR(INDEX(Calculations!BC$39:BC$51,MATCH(SourceE!$S14,Calculations!$A$39:$A$51,0))*-1,0)</f>
        <v>0</v>
      </c>
      <c r="AM14" s="91">
        <f>IFERROR(INDEX(Calculations!BD$39:BD$51,MATCH(SourceE!$S14,Calculations!$A$39:$A$51,0))*-1,0)</f>
        <v>0</v>
      </c>
      <c r="AN14" s="123">
        <f ca="1">IFERROR(SUM(OFFSET(Calculations!BE$39,MATCH($S14,Calculations!$A$39:$A$51,0)-1,0,1,4))*-1,0)</f>
        <v>0</v>
      </c>
      <c r="AO14" s="91">
        <f t="shared" ca="1" si="0"/>
        <v>0</v>
      </c>
      <c r="AP14" s="17"/>
      <c r="AQ14" s="4"/>
      <c r="AW14" s="91">
        <f>IFERROR(INDEX(Calculations!BL$9:BL$21,MATCH($S14,Calculations!$A$9:$A$21,0)),0)</f>
        <v>0</v>
      </c>
      <c r="AX14" s="91">
        <f>IFERROR(INDEX(Calculations!BM$9:BM$21,MATCH($S14,Calculations!$A$9:$A$21,0)),0)</f>
        <v>0</v>
      </c>
      <c r="AY14" s="91">
        <f>IFERROR(INDEX(Calculations!BN$9:BN$21,MATCH($S14,Calculations!$A$9:$A$21,0)),0)</f>
        <v>0</v>
      </c>
      <c r="AZ14" s="91">
        <f>IFERROR(INDEX(Calculations!BO$9:BO$21,MATCH($S14,Calculations!$A$9:$A$21,0)),0)</f>
        <v>0</v>
      </c>
      <c r="BA14" s="91">
        <f>IFERROR(INDEX(Calculations!BP$9:BP$21,MATCH($S14,Calculations!$A$9:$A$21,0)),0)</f>
        <v>0</v>
      </c>
    </row>
    <row r="15" spans="1:53">
      <c r="C15" s="19"/>
      <c r="D15" s="4"/>
      <c r="E15" s="4"/>
      <c r="F15" s="4"/>
      <c r="G15" s="4"/>
      <c r="H15" s="4"/>
      <c r="I15" s="4"/>
      <c r="J15" s="4"/>
      <c r="K15" s="4"/>
      <c r="L15" s="4"/>
      <c r="M15" s="4"/>
      <c r="N15" s="4"/>
      <c r="O15" s="4"/>
      <c r="P15" s="1" t="str">
        <f ca="1">OFFSET(S6,$S$3,0)</f>
        <v xml:space="preserve"> </v>
      </c>
      <c r="Q15" s="12"/>
      <c r="S15" s="20" t="str">
        <f>SiteE!S17</f>
        <v xml:space="preserve"> </v>
      </c>
      <c r="U15" s="91">
        <f>IFERROR(IF(U$4="Yes",0,INDEX(Calculations!AC$39:AC$51,MATCH(SourceE!$S15,Calculations!$A$39:$A$51,0))),0)</f>
        <v>0</v>
      </c>
      <c r="V15" s="91">
        <f>IFERROR(IF(V$4="Yes",0,INDEX(Calculations!AD$39:AD$51,MATCH(SourceE!$S15,Calculations!$A$39:$A$51,0))),0)</f>
        <v>0</v>
      </c>
      <c r="W15" s="91">
        <f>IFERROR(IF(W$4="Yes",0,INDEX(Calculations!AE$39:AE$51,MATCH(SourceE!$S15,Calculations!$A$39:$A$51,0))),0)</f>
        <v>0</v>
      </c>
      <c r="X15" s="91">
        <f>IFERROR(IF(X$4="Yes",0,INDEX(Calculations!AF$39:AF$51,MATCH(SourceE!$S15,Calculations!$A$39:$A$51,0))),0)</f>
        <v>0</v>
      </c>
      <c r="Y15" s="91">
        <f>IFERROR(IF(Y$4="Yes",0,INDEX(Calculations!AG$39:AG$51,MATCH(SourceE!$S15,Calculations!$A$39:$A$51,0))),0)</f>
        <v>0</v>
      </c>
      <c r="Z15" s="91">
        <f>IFERROR(IF(Z$4="Yes",0,INDEX(Calculations!AH$39:AH$51,MATCH(SourceE!$S15,Calculations!$A$39:$A$51,0))),0)</f>
        <v>0</v>
      </c>
      <c r="AA15" s="91">
        <f>IFERROR(IF(AA$4="Yes",0,INDEX(Calculations!AI$39:AI$51,MATCH(SourceE!$S15,Calculations!$A$39:$A$51,0))),0)</f>
        <v>0</v>
      </c>
      <c r="AB15" s="91">
        <f>IFERROR(IF(AB$4="Yes",0,INDEX(Calculations!AJ$39:AJ$51,MATCH(SourceE!$S15,Calculations!$A$39:$A$51,0))),0)</f>
        <v>0</v>
      </c>
      <c r="AC15" s="91">
        <f>IFERROR(IF(AC$4="Yes",0,INDEX(Calculations!AK$39:AK$51,MATCH(SourceE!$S15,Calculations!$A$39:$A$51,0))),0)</f>
        <v>0</v>
      </c>
      <c r="AD15" s="91">
        <f>IFERROR(IF(AD$4="Yes",0,INDEX(Calculations!AL$39:AL$51,MATCH(SourceE!$S15,Calculations!$A$39:$A$51,0))),0)</f>
        <v>0</v>
      </c>
      <c r="AE15" s="91">
        <f>IFERROR(IF(AE$4="Yes",0,INDEX(Calculations!AM$39:AM$51,MATCH(SourceE!$S15,Calculations!$A$39:$A$51,0))),0)</f>
        <v>0</v>
      </c>
      <c r="AF15" s="91">
        <f>IFERROR(IF(AF$4="Yes",0,INDEX(Calculations!AN$39:AN$51,MATCH(SourceE!$S15,Calculations!$A$39:$A$51,0))),0)</f>
        <v>0</v>
      </c>
      <c r="AG15" s="91">
        <f>IFERROR(IF(AG$4="Yes",0,INDEX(Calculations!AO$39:AO$51,MATCH(SourceE!$S15,Calculations!$A$39:$A$51,0))),0)</f>
        <v>0</v>
      </c>
      <c r="AH15" s="91">
        <f>IFERROR(IF(AH$4="Yes",0,INDEX(Calculations!AP$39:AP$51,MATCH(SourceE!$S15,Calculations!$A$39:$A$51,0))),0)</f>
        <v>0</v>
      </c>
      <c r="AI15" s="91">
        <f>IFERROR(IF(AI$4="Yes",0,INDEX(Calculations!AQ$39:AQ$51,MATCH(SourceE!$S15,Calculations!$A$39:$A$51,0))),0)</f>
        <v>0</v>
      </c>
      <c r="AJ15" s="91">
        <f>IFERROR(IF(AJ$4="Yes",0,INDEX(Calculations!AR$39:AR$51,MATCH(SourceE!$S15,Calculations!$A$39:$A$51,0))),0)</f>
        <v>0</v>
      </c>
      <c r="AK15" s="124">
        <f>IFERROR(SUM(U15:AI15)*'Project Info'!$D$28,0)</f>
        <v>0</v>
      </c>
      <c r="AL15" s="91">
        <f>IFERROR(INDEX(Calculations!BC$39:BC$51,MATCH(SourceE!$S15,Calculations!$A$39:$A$51,0))*-1,0)</f>
        <v>0</v>
      </c>
      <c r="AM15" s="91">
        <f>IFERROR(INDEX(Calculations!BD$39:BD$51,MATCH(SourceE!$S15,Calculations!$A$39:$A$51,0))*-1,0)</f>
        <v>0</v>
      </c>
      <c r="AN15" s="123">
        <f ca="1">IFERROR(SUM(OFFSET(Calculations!BE$39,MATCH($S15,Calculations!$A$39:$A$51,0)-1,0,1,4))*-1,0)</f>
        <v>0</v>
      </c>
      <c r="AO15" s="91">
        <f t="shared" ca="1" si="0"/>
        <v>0</v>
      </c>
      <c r="AP15" s="17"/>
      <c r="AQ15" s="4"/>
      <c r="AW15" s="91">
        <f>IFERROR(INDEX(Calculations!BL$9:BL$21,MATCH($S15,Calculations!$A$9:$A$21,0)),0)</f>
        <v>0</v>
      </c>
      <c r="AX15" s="91">
        <f>IFERROR(INDEX(Calculations!BM$9:BM$21,MATCH($S15,Calculations!$A$9:$A$21,0)),0)</f>
        <v>0</v>
      </c>
      <c r="AY15" s="91">
        <f>IFERROR(INDEX(Calculations!BN$9:BN$21,MATCH($S15,Calculations!$A$9:$A$21,0)),0)</f>
        <v>0</v>
      </c>
      <c r="AZ15" s="91">
        <f>IFERROR(INDEX(Calculations!BO$9:BO$21,MATCH($S15,Calculations!$A$9:$A$21,0)),0)</f>
        <v>0</v>
      </c>
      <c r="BA15" s="91">
        <f>IFERROR(INDEX(Calculations!BP$9:BP$21,MATCH($S15,Calculations!$A$9:$A$21,0)),0)</f>
        <v>0</v>
      </c>
    </row>
    <row r="16" spans="1:53">
      <c r="Q16" s="12"/>
      <c r="S16" s="20" t="e">
        <f>SiteE!#REF!</f>
        <v>#REF!</v>
      </c>
      <c r="U16" s="91">
        <f>IFERROR(IF(U$4="Yes",0,INDEX(Calculations!AC$39:AC$51,MATCH(SourceE!$S16,Calculations!$A$39:$A$51,0))),0)</f>
        <v>0</v>
      </c>
      <c r="V16" s="91">
        <f>IFERROR(IF(V$4="Yes",0,INDEX(Calculations!AD$39:AD$51,MATCH(SourceE!$S16,Calculations!$A$39:$A$51,0))),0)</f>
        <v>0</v>
      </c>
      <c r="W16" s="91">
        <f>IFERROR(IF(W$4="Yes",0,INDEX(Calculations!AE$39:AE$51,MATCH(SourceE!$S16,Calculations!$A$39:$A$51,0))),0)</f>
        <v>0</v>
      </c>
      <c r="X16" s="91">
        <f>IFERROR(IF(X$4="Yes",0,INDEX(Calculations!AF$39:AF$51,MATCH(SourceE!$S16,Calculations!$A$39:$A$51,0))),0)</f>
        <v>0</v>
      </c>
      <c r="Y16" s="91">
        <f>IFERROR(IF(Y$4="Yes",0,INDEX(Calculations!AG$39:AG$51,MATCH(SourceE!$S16,Calculations!$A$39:$A$51,0))),0)</f>
        <v>0</v>
      </c>
      <c r="Z16" s="91">
        <f>IFERROR(IF(Z$4="Yes",0,INDEX(Calculations!AH$39:AH$51,MATCH(SourceE!$S16,Calculations!$A$39:$A$51,0))),0)</f>
        <v>0</v>
      </c>
      <c r="AA16" s="91">
        <f>IFERROR(IF(AA$4="Yes",0,INDEX(Calculations!AI$39:AI$51,MATCH(SourceE!$S16,Calculations!$A$39:$A$51,0))),0)</f>
        <v>0</v>
      </c>
      <c r="AB16" s="91">
        <f>IFERROR(IF(AB$4="Yes",0,INDEX(Calculations!AJ$39:AJ$51,MATCH(SourceE!$S16,Calculations!$A$39:$A$51,0))),0)</f>
        <v>0</v>
      </c>
      <c r="AC16" s="91">
        <f>IFERROR(IF(AC$4="Yes",0,INDEX(Calculations!AK$39:AK$51,MATCH(SourceE!$S16,Calculations!$A$39:$A$51,0))),0)</f>
        <v>0</v>
      </c>
      <c r="AD16" s="91">
        <f>IFERROR(IF(AD$4="Yes",0,INDEX(Calculations!AL$39:AL$51,MATCH(SourceE!$S16,Calculations!$A$39:$A$51,0))),0)</f>
        <v>0</v>
      </c>
      <c r="AE16" s="91">
        <f>IFERROR(IF(AE$4="Yes",0,INDEX(Calculations!AM$39:AM$51,MATCH(SourceE!$S16,Calculations!$A$39:$A$51,0))),0)</f>
        <v>0</v>
      </c>
      <c r="AF16" s="91">
        <f>IFERROR(IF(AF$4="Yes",0,INDEX(Calculations!AN$39:AN$51,MATCH(SourceE!$S16,Calculations!$A$39:$A$51,0))),0)</f>
        <v>0</v>
      </c>
      <c r="AG16" s="91">
        <f>IFERROR(IF(AG$4="Yes",0,INDEX(Calculations!AO$39:AO$51,MATCH(SourceE!$S16,Calculations!$A$39:$A$51,0))),0)</f>
        <v>0</v>
      </c>
      <c r="AH16" s="91">
        <f>IFERROR(IF(AH$4="Yes",0,INDEX(Calculations!AP$39:AP$51,MATCH(SourceE!$S16,Calculations!$A$39:$A$51,0))),0)</f>
        <v>0</v>
      </c>
      <c r="AI16" s="91">
        <f>IFERROR(IF(AI$4="Yes",0,INDEX(Calculations!AQ$39:AQ$51,MATCH(SourceE!$S16,Calculations!$A$39:$A$51,0))),0)</f>
        <v>0</v>
      </c>
      <c r="AJ16" s="91">
        <f>IFERROR(IF(AJ$4="Yes",0,INDEX(Calculations!AR$39:AR$51,MATCH(SourceE!$S16,Calculations!$A$39:$A$51,0))),0)</f>
        <v>0</v>
      </c>
      <c r="AK16" s="124">
        <f>IFERROR(SUM(U16:AI16)*'Project Info'!$D$28,0)</f>
        <v>0</v>
      </c>
      <c r="AL16" s="91">
        <f>IFERROR(INDEX(Calculations!BC$39:BC$51,MATCH(SourceE!$S16,Calculations!$A$39:$A$51,0))*-1,0)</f>
        <v>0</v>
      </c>
      <c r="AM16" s="91">
        <f>IFERROR(INDEX(Calculations!BD$39:BD$51,MATCH(SourceE!$S16,Calculations!$A$39:$A$51,0))*-1,0)</f>
        <v>0</v>
      </c>
      <c r="AN16" s="123">
        <f ca="1">IFERROR(SUM(OFFSET(Calculations!BE$39,MATCH($S16,Calculations!$A$39:$A$51,0)-1,0,1,4))*-1,0)</f>
        <v>0</v>
      </c>
      <c r="AO16" s="91">
        <f t="shared" ca="1" si="0"/>
        <v>0</v>
      </c>
      <c r="AP16" s="17"/>
      <c r="AQ16" s="4"/>
      <c r="AW16" s="91">
        <f>IFERROR(INDEX(Calculations!BL$9:BL$21,MATCH($S16,Calculations!$A$9:$A$21,0)),0)</f>
        <v>0</v>
      </c>
      <c r="AX16" s="91">
        <f>IFERROR(INDEX(Calculations!BM$9:BM$21,MATCH($S16,Calculations!$A$9:$A$21,0)),0)</f>
        <v>0</v>
      </c>
      <c r="AY16" s="91">
        <f>IFERROR(INDEX(Calculations!BN$9:BN$21,MATCH($S16,Calculations!$A$9:$A$21,0)),0)</f>
        <v>0</v>
      </c>
      <c r="AZ16" s="91">
        <f>IFERROR(INDEX(Calculations!BO$9:BO$21,MATCH($S16,Calculations!$A$9:$A$21,0)),0)</f>
        <v>0</v>
      </c>
      <c r="BA16" s="91">
        <f>IFERROR(INDEX(Calculations!BP$9:BP$21,MATCH($S16,Calculations!$A$9:$A$21,0)),0)</f>
        <v>0</v>
      </c>
    </row>
    <row r="17" spans="17:53">
      <c r="Q17" s="12"/>
      <c r="S17" s="20" t="e">
        <f>SiteE!#REF!</f>
        <v>#REF!</v>
      </c>
      <c r="U17" s="91">
        <f>IFERROR(IF(U$4="Yes",0,INDEX(Calculations!AC$39:AC$51,MATCH(SourceE!$S17,Calculations!$A$39:$A$51,0))),0)</f>
        <v>0</v>
      </c>
      <c r="V17" s="91">
        <f>IFERROR(IF(V$4="Yes",0,INDEX(Calculations!AD$39:AD$51,MATCH(SourceE!$S17,Calculations!$A$39:$A$51,0))),0)</f>
        <v>0</v>
      </c>
      <c r="W17" s="91">
        <f>IFERROR(IF(W$4="Yes",0,INDEX(Calculations!AE$39:AE$51,MATCH(SourceE!$S17,Calculations!$A$39:$A$51,0))),0)</f>
        <v>0</v>
      </c>
      <c r="X17" s="91">
        <f>IFERROR(IF(X$4="Yes",0,INDEX(Calculations!AF$39:AF$51,MATCH(SourceE!$S17,Calculations!$A$39:$A$51,0))),0)</f>
        <v>0</v>
      </c>
      <c r="Y17" s="91">
        <f>IFERROR(IF(Y$4="Yes",0,INDEX(Calculations!AG$39:AG$51,MATCH(SourceE!$S17,Calculations!$A$39:$A$51,0))),0)</f>
        <v>0</v>
      </c>
      <c r="Z17" s="91">
        <f>IFERROR(IF(Z$4="Yes",0,INDEX(Calculations!AH$39:AH$51,MATCH(SourceE!$S17,Calculations!$A$39:$A$51,0))),0)</f>
        <v>0</v>
      </c>
      <c r="AA17" s="91">
        <f>IFERROR(IF(AA$4="Yes",0,INDEX(Calculations!AI$39:AI$51,MATCH(SourceE!$S17,Calculations!$A$39:$A$51,0))),0)</f>
        <v>0</v>
      </c>
      <c r="AB17" s="91">
        <f>IFERROR(IF(AB$4="Yes",0,INDEX(Calculations!AJ$39:AJ$51,MATCH(SourceE!$S17,Calculations!$A$39:$A$51,0))),0)</f>
        <v>0</v>
      </c>
      <c r="AC17" s="91">
        <f>IFERROR(IF(AC$4="Yes",0,INDEX(Calculations!AK$39:AK$51,MATCH(SourceE!$S17,Calculations!$A$39:$A$51,0))),0)</f>
        <v>0</v>
      </c>
      <c r="AD17" s="91">
        <f>IFERROR(IF(AD$4="Yes",0,INDEX(Calculations!AL$39:AL$51,MATCH(SourceE!$S17,Calculations!$A$39:$A$51,0))),0)</f>
        <v>0</v>
      </c>
      <c r="AE17" s="91">
        <f>IFERROR(IF(AE$4="Yes",0,INDEX(Calculations!AM$39:AM$51,MATCH(SourceE!$S17,Calculations!$A$39:$A$51,0))),0)</f>
        <v>0</v>
      </c>
      <c r="AF17" s="91">
        <f>IFERROR(IF(AF$4="Yes",0,INDEX(Calculations!AN$39:AN$51,MATCH(SourceE!$S17,Calculations!$A$39:$A$51,0))),0)</f>
        <v>0</v>
      </c>
      <c r="AG17" s="91">
        <f>IFERROR(IF(AG$4="Yes",0,INDEX(Calculations!AO$39:AO$51,MATCH(SourceE!$S17,Calculations!$A$39:$A$51,0))),0)</f>
        <v>0</v>
      </c>
      <c r="AH17" s="91">
        <f>IFERROR(IF(AH$4="Yes",0,INDEX(Calculations!AP$39:AP$51,MATCH(SourceE!$S17,Calculations!$A$39:$A$51,0))),0)</f>
        <v>0</v>
      </c>
      <c r="AI17" s="91">
        <f>IFERROR(IF(AI$4="Yes",0,INDEX(Calculations!AQ$39:AQ$51,MATCH(SourceE!$S17,Calculations!$A$39:$A$51,0))),0)</f>
        <v>0</v>
      </c>
      <c r="AJ17" s="91">
        <f>IFERROR(IF(AJ$4="Yes",0,INDEX(Calculations!AR$39:AR$51,MATCH(SourceE!$S17,Calculations!$A$39:$A$51,0))),0)</f>
        <v>0</v>
      </c>
      <c r="AK17" s="124">
        <f>IFERROR(SUM(U17:AI17)*'Project Info'!$D$28,0)</f>
        <v>0</v>
      </c>
      <c r="AL17" s="91">
        <f>IFERROR(INDEX(Calculations!BC$39:BC$51,MATCH(SourceE!$S17,Calculations!$A$39:$A$51,0))*-1,0)</f>
        <v>0</v>
      </c>
      <c r="AM17" s="91">
        <f>IFERROR(INDEX(Calculations!BD$39:BD$51,MATCH(SourceE!$S17,Calculations!$A$39:$A$51,0))*-1,0)</f>
        <v>0</v>
      </c>
      <c r="AN17" s="123">
        <f ca="1">IFERROR(SUM(OFFSET(Calculations!BE$39,MATCH($S17,Calculations!$A$39:$A$51,0)-1,0,1,4))*-1,0)</f>
        <v>0</v>
      </c>
      <c r="AO17" s="91">
        <f t="shared" ca="1" si="0"/>
        <v>0</v>
      </c>
      <c r="AP17" s="17"/>
      <c r="AQ17" s="4"/>
      <c r="AW17" s="91">
        <f>IFERROR(INDEX(Calculations!BL$9:BL$21,MATCH($S17,Calculations!$A$9:$A$21,0)),0)</f>
        <v>0</v>
      </c>
      <c r="AX17" s="91">
        <f>IFERROR(INDEX(Calculations!BM$9:BM$21,MATCH($S17,Calculations!$A$9:$A$21,0)),0)</f>
        <v>0</v>
      </c>
      <c r="AY17" s="91">
        <f>IFERROR(INDEX(Calculations!BN$9:BN$21,MATCH($S17,Calculations!$A$9:$A$21,0)),0)</f>
        <v>0</v>
      </c>
      <c r="AZ17" s="91">
        <f>IFERROR(INDEX(Calculations!BO$9:BO$21,MATCH($S17,Calculations!$A$9:$A$21,0)),0)</f>
        <v>0</v>
      </c>
      <c r="BA17" s="91">
        <f>IFERROR(INDEX(Calculations!BP$9:BP$21,MATCH($S17,Calculations!$A$9:$A$21,0)),0)</f>
        <v>0</v>
      </c>
    </row>
    <row r="18" spans="17:53">
      <c r="Q18" s="12"/>
      <c r="AK18" s="46"/>
      <c r="AN18" s="47"/>
    </row>
    <row r="19" spans="17:53" ht="15.6" thickBot="1">
      <c r="Q19" s="12"/>
      <c r="S19" s="61" t="str">
        <f>Calculations!A53</f>
        <v>Source Energy Use Intensity (kBtu/ft²)</v>
      </c>
      <c r="T19" s="193"/>
      <c r="U19" s="193"/>
      <c r="V19" s="193"/>
      <c r="W19" s="193"/>
      <c r="X19" s="193"/>
      <c r="Y19" s="193"/>
      <c r="Z19" s="193"/>
      <c r="AA19" s="193"/>
      <c r="AB19" s="193"/>
      <c r="AC19" s="193"/>
      <c r="AD19" s="193"/>
      <c r="AE19" s="193"/>
      <c r="AF19" s="193"/>
      <c r="AG19" s="193"/>
      <c r="AH19" s="193"/>
      <c r="AI19" s="193"/>
      <c r="AJ19" s="193"/>
      <c r="AK19" s="193"/>
      <c r="AL19" s="193"/>
      <c r="AM19" s="193"/>
      <c r="AN19" s="193"/>
      <c r="AO19" s="193"/>
      <c r="AP19" s="193"/>
      <c r="AQ19" s="193"/>
      <c r="AR19" s="193"/>
      <c r="AS19" s="193"/>
      <c r="AT19" s="193"/>
      <c r="AU19" s="193"/>
      <c r="AV19" s="193"/>
      <c r="AW19" s="193"/>
      <c r="AX19" s="193"/>
      <c r="AY19" s="193"/>
      <c r="AZ19" s="193"/>
      <c r="BA19" s="193"/>
    </row>
    <row r="20" spans="17:53">
      <c r="Q20" s="12"/>
      <c r="S20" s="20" t="str">
        <f>SiteE!S20</f>
        <v>Proposed Design</v>
      </c>
      <c r="U20" s="103">
        <f>IFERROR(IF(U$4="Yes",0,INDEX(Calculations!AC$54:AC$66,MATCH(SourceE!$S20,Calculations!$A$9:$A$21,0))),0)</f>
        <v>7.8628955171403447</v>
      </c>
      <c r="V20" s="103">
        <f>IFERROR(IF(V$4="Yes",0,INDEX(Calculations!AD$54:AD$66,MATCH(SourceE!$S20,Calculations!$A$9:$A$21,0))),0)</f>
        <v>29.304961207149137</v>
      </c>
      <c r="W20" s="103">
        <f>IFERROR(IF(W$4="Yes",0,INDEX(Calculations!AE$54:AE$66,MATCH(SourceE!$S20,Calculations!$A$9:$A$21,0))),0)</f>
        <v>31.456480632874303</v>
      </c>
      <c r="X20" s="103">
        <f>IFERROR(IF(X$4="Yes",0,INDEX(Calculations!AF$54:AF$66,MATCH(SourceE!$S20,Calculations!$A$9:$A$21,0))),0)</f>
        <v>0</v>
      </c>
      <c r="Y20" s="103">
        <f>IFERROR(IF(Y$4="Yes",0,INDEX(Calculations!AG$54:AG$66,MATCH(SourceE!$S20,Calculations!$A$9:$A$21,0))),0)</f>
        <v>36.934475124523878</v>
      </c>
      <c r="Z20" s="103">
        <f>IFERROR(IF(Z$4="Yes",0,INDEX(Calculations!AH$54:AH$66,MATCH(SourceE!$S20,Calculations!$A$9:$A$21,0))),0)</f>
        <v>0</v>
      </c>
      <c r="AA20" s="103">
        <f>IFERROR(IF(AA$4="Yes",0,INDEX(Calculations!AI$54:AI$66,MATCH(SourceE!$S20,Calculations!$A$9:$A$21,0))),0)</f>
        <v>35.850317872839142</v>
      </c>
      <c r="AB20" s="103">
        <f>IFERROR(IF(AB$4="Yes",0,INDEX(Calculations!AJ$54:AJ$66,MATCH(SourceE!$S20,Calculations!$A$9:$A$21,0))),0)</f>
        <v>0</v>
      </c>
      <c r="AC20" s="103">
        <f>IFERROR(IF(AC$4="Yes",0,INDEX(Calculations!AK$54:AK$66,MATCH(SourceE!$S20,Calculations!$A$9:$A$21,0))),0)</f>
        <v>0</v>
      </c>
      <c r="AD20" s="103">
        <f>IFERROR(IF(AD$4="Yes",0,INDEX(Calculations!AL$54:AL$66,MATCH(SourceE!$S20,Calculations!$A$9:$A$21,0))),0)</f>
        <v>0</v>
      </c>
      <c r="AE20" s="103">
        <f>IFERROR(IF(AE$4="Yes",0,INDEX(Calculations!AM$54:AM$66,MATCH(SourceE!$S20,Calculations!$A$9:$A$21,0))),0)</f>
        <v>0</v>
      </c>
      <c r="AF20" s="103">
        <f>IFERROR(IF(AF$4="Yes",0,INDEX(Calculations!AN$54:AN$66,MATCH(SourceE!$S20,Calculations!$A$9:$A$21,0))),0)</f>
        <v>0</v>
      </c>
      <c r="AG20" s="103">
        <f>IFERROR(IF(AG$4="Yes",0,INDEX(Calculations!AO$54:AO$66,MATCH(SourceE!$S20,Calculations!$A$9:$A$21,0))),0)</f>
        <v>0</v>
      </c>
      <c r="AH20" s="103">
        <f>IFERROR(IF(AH$4="Yes",0,INDEX(Calculations!AP$54:AP$66,MATCH(SourceE!$S20,Calculations!$A$9:$A$21,0))),0)</f>
        <v>0</v>
      </c>
      <c r="AI20" s="103">
        <f>IFERROR(IF(AI$4="Yes",0,INDEX(Calculations!AQ$54:AQ$66,MATCH(SourceE!$S20,Calculations!$A$9:$A$21,0))),0)</f>
        <v>0</v>
      </c>
      <c r="AJ20" s="103">
        <f>IFERROR(IF(AJ$4="Yes",0,INDEX(Calculations!AR$54:AR$66,MATCH(SourceE!$S20,Calculations!$A$9:$A$21,0))),0)</f>
        <v>0</v>
      </c>
      <c r="AK20" s="126">
        <f>IFERROR(SUM(U20:AI20)*'Project Info'!$D$28,0)</f>
        <v>0</v>
      </c>
      <c r="AL20" s="103">
        <f>IFERROR(INDEX(Calculations!BC$54:BC$66,MATCH(SourceE!$S20,Calculations!$A$9:$A$21,0))*-1,0)</f>
        <v>0</v>
      </c>
      <c r="AM20" s="103">
        <f>IFERROR(INDEX(Calculations!BD$54:BD$66,MATCH(SourceE!$S20,Calculations!$A$9:$A$21,0))*-1,0)</f>
        <v>0</v>
      </c>
      <c r="AN20" s="125">
        <f ca="1">IFERROR(SUM(OFFSET(Calculations!BE$54,MATCH($S20,Calculations!$A$9:$A$21,0)-1,0,1,4))*-1,0)</f>
        <v>0</v>
      </c>
      <c r="AO20" s="103">
        <f t="shared" ref="AO20:AO31" ca="1" si="3">SUM(U20:AN20)</f>
        <v>141.40913035452678</v>
      </c>
      <c r="AP20" s="17"/>
      <c r="AQ20" s="4" t="str">
        <f>'Project Info'!D20</f>
        <v>NA</v>
      </c>
      <c r="AS20" s="4" t="e">
        <f>CONCATENATE(AQ20*100,"% LEED Target")</f>
        <v>#VALUE!</v>
      </c>
      <c r="AT20" s="103" t="e">
        <f>Calculations!BQ24*(1-AQ20)</f>
        <v>#VALUE!</v>
      </c>
      <c r="AU20" s="103" t="e">
        <f>AT20</f>
        <v>#VALUE!</v>
      </c>
      <c r="AW20" s="103">
        <f>IFERROR(INDEX(Calculations!BL$24:BL$36,MATCH($S20,Calculations!$A$24:$A$36,0)),0)</f>
        <v>50.503260840902435</v>
      </c>
      <c r="AX20" s="103">
        <f>IFERROR(INDEX(Calculations!BM$24:BM$36,MATCH($S20,Calculations!$A$24:$A$36,0)),0)</f>
        <v>0</v>
      </c>
      <c r="AY20" s="103">
        <f>IFERROR(INDEX(Calculations!BN$24:BN$36,MATCH($S20,Calculations!$A$24:$A$36,0)),0)</f>
        <v>0</v>
      </c>
      <c r="AZ20" s="103">
        <f>IFERROR(INDEX(Calculations!BO$24:BO$36,MATCH($S20,Calculations!$A$24:$A$36,0)),0)</f>
        <v>0</v>
      </c>
      <c r="BA20" s="103">
        <f>IFERROR(INDEX(Calculations!BP$24:BP$36,MATCH($S20,Calculations!$A$24:$A$36,0)),0)</f>
        <v>0</v>
      </c>
    </row>
    <row r="21" spans="17:53">
      <c r="Q21" s="12"/>
      <c r="S21" s="20" t="str">
        <f>SiteE!S21</f>
        <v xml:space="preserve"> </v>
      </c>
      <c r="U21" s="103">
        <f>IFERROR(IF(U$4="Yes",0,INDEX(Calculations!AC$54:AC$66,MATCH(SourceE!$S21,Calculations!$A$9:$A$21,0))),0)</f>
        <v>0</v>
      </c>
      <c r="V21" s="103">
        <f>IFERROR(IF(V$4="Yes",0,INDEX(Calculations!AD$54:AD$66,MATCH(SourceE!$S21,Calculations!$A$9:$A$21,0))),0)</f>
        <v>0</v>
      </c>
      <c r="W21" s="103">
        <f>IFERROR(IF(W$4="Yes",0,INDEX(Calculations!AE$54:AE$66,MATCH(SourceE!$S21,Calculations!$A$9:$A$21,0))),0)</f>
        <v>0</v>
      </c>
      <c r="X21" s="103">
        <f>IFERROR(IF(X$4="Yes",0,INDEX(Calculations!AF$54:AF$66,MATCH(SourceE!$S21,Calculations!$A$9:$A$21,0))),0)</f>
        <v>0</v>
      </c>
      <c r="Y21" s="103">
        <f>IFERROR(IF(Y$4="Yes",0,INDEX(Calculations!AG$54:AG$66,MATCH(SourceE!$S21,Calculations!$A$9:$A$21,0))),0)</f>
        <v>0</v>
      </c>
      <c r="Z21" s="103">
        <f>IFERROR(IF(Z$4="Yes",0,INDEX(Calculations!AH$54:AH$66,MATCH(SourceE!$S21,Calculations!$A$9:$A$21,0))),0)</f>
        <v>0</v>
      </c>
      <c r="AA21" s="103">
        <f>IFERROR(IF(AA$4="Yes",0,INDEX(Calculations!AI$54:AI$66,MATCH(SourceE!$S21,Calculations!$A$9:$A$21,0))),0)</f>
        <v>0</v>
      </c>
      <c r="AB21" s="103">
        <f>IFERROR(IF(AB$4="Yes",0,INDEX(Calculations!AJ$54:AJ$66,MATCH(SourceE!$S21,Calculations!$A$9:$A$21,0))),0)</f>
        <v>0</v>
      </c>
      <c r="AC21" s="103">
        <f>IFERROR(IF(AC$4="Yes",0,INDEX(Calculations!AK$54:AK$66,MATCH(SourceE!$S21,Calculations!$A$9:$A$21,0))),0)</f>
        <v>0</v>
      </c>
      <c r="AD21" s="103">
        <f>IFERROR(IF(AD$4="Yes",0,INDEX(Calculations!AL$54:AL$66,MATCH(SourceE!$S21,Calculations!$A$9:$A$21,0))),0)</f>
        <v>0</v>
      </c>
      <c r="AE21" s="103">
        <f>IFERROR(IF(AE$4="Yes",0,INDEX(Calculations!AM$54:AM$66,MATCH(SourceE!$S21,Calculations!$A$9:$A$21,0))),0)</f>
        <v>0</v>
      </c>
      <c r="AF21" s="103">
        <f>IFERROR(IF(AF$4="Yes",0,INDEX(Calculations!AN$54:AN$66,MATCH(SourceE!$S21,Calculations!$A$9:$A$21,0))),0)</f>
        <v>0</v>
      </c>
      <c r="AG21" s="103">
        <f>IFERROR(IF(AG$4="Yes",0,INDEX(Calculations!AO$54:AO$66,MATCH(SourceE!$S21,Calculations!$A$9:$A$21,0))),0)</f>
        <v>0</v>
      </c>
      <c r="AH21" s="103">
        <f>IFERROR(IF(AH$4="Yes",0,INDEX(Calculations!AP$54:AP$66,MATCH(SourceE!$S21,Calculations!$A$9:$A$21,0))),0)</f>
        <v>0</v>
      </c>
      <c r="AI21" s="103">
        <f>IFERROR(IF(AI$4="Yes",0,INDEX(Calculations!AQ$54:AQ$66,MATCH(SourceE!$S21,Calculations!$A$9:$A$21,0))),0)</f>
        <v>0</v>
      </c>
      <c r="AJ21" s="103">
        <f>IFERROR(IF(AJ$4="Yes",0,INDEX(Calculations!AR$54:AR$66,MATCH(SourceE!$S21,Calculations!$A$9:$A$21,0))),0)</f>
        <v>0</v>
      </c>
      <c r="AK21" s="126">
        <f>IFERROR(SUM(U21:AI21)*'Project Info'!$D$28,0)</f>
        <v>0</v>
      </c>
      <c r="AL21" s="103">
        <f>IFERROR(INDEX(Calculations!BC$54:BC$66,MATCH(SourceE!$S21,Calculations!$A$9:$A$21,0))*-1,0)</f>
        <v>0</v>
      </c>
      <c r="AM21" s="103">
        <f>IFERROR(INDEX(Calculations!BD$54:BD$66,MATCH(SourceE!$S21,Calculations!$A$9:$A$21,0))*-1,0)</f>
        <v>0</v>
      </c>
      <c r="AN21" s="125">
        <f ca="1">IFERROR(SUM(OFFSET(Calculations!BE$54,MATCH($S21,Calculations!$A$9:$A$21,0)-1,0,1,4))*-1,0)</f>
        <v>0</v>
      </c>
      <c r="AO21" s="103">
        <f t="shared" ca="1" si="3"/>
        <v>0</v>
      </c>
      <c r="AP21" s="17"/>
      <c r="AQ21" s="4" t="str">
        <f>'Project Info'!E20</f>
        <v>NA</v>
      </c>
      <c r="AS21" s="4" t="e">
        <f>CONCATENATE(AQ21*100,"% Code Target")</f>
        <v>#VALUE!</v>
      </c>
      <c r="AT21" s="103" t="e">
        <f>Calculations!BQ25*(1-AQ21)</f>
        <v>#VALUE!</v>
      </c>
      <c r="AU21" s="103" t="e">
        <f>AT21</f>
        <v>#VALUE!</v>
      </c>
      <c r="AW21" s="103">
        <f>IFERROR(INDEX(Calculations!BL$24:BL$36,MATCH($S21,Calculations!$A$24:$A$36,0)),0)</f>
        <v>0</v>
      </c>
      <c r="AX21" s="103">
        <f>IFERROR(INDEX(Calculations!BM$24:BM$36,MATCH($S21,Calculations!$A$24:$A$36,0)),0)</f>
        <v>0</v>
      </c>
      <c r="AY21" s="103">
        <f>IFERROR(INDEX(Calculations!BN$24:BN$36,MATCH($S21,Calculations!$A$24:$A$36,0)),0)</f>
        <v>0</v>
      </c>
      <c r="AZ21" s="103">
        <f>IFERROR(INDEX(Calculations!BO$24:BO$36,MATCH($S21,Calculations!$A$24:$A$36,0)),0)</f>
        <v>0</v>
      </c>
      <c r="BA21" s="103">
        <f>IFERROR(INDEX(Calculations!BP$24:BP$36,MATCH($S21,Calculations!$A$24:$A$36,0)),0)</f>
        <v>0</v>
      </c>
    </row>
    <row r="22" spans="17:53">
      <c r="Q22" s="12"/>
      <c r="S22" s="20" t="str">
        <f>SiteE!S22</f>
        <v xml:space="preserve"> </v>
      </c>
      <c r="U22" s="103">
        <f>IFERROR(IF(U$4="Yes",0,INDEX(Calculations!AC$54:AC$66,MATCH(SourceE!$S22,Calculations!$A$9:$A$21,0))),0)</f>
        <v>0</v>
      </c>
      <c r="V22" s="103">
        <f>IFERROR(IF(V$4="Yes",0,INDEX(Calculations!AD$54:AD$66,MATCH(SourceE!$S22,Calculations!$A$9:$A$21,0))),0)</f>
        <v>0</v>
      </c>
      <c r="W22" s="103">
        <f>IFERROR(IF(W$4="Yes",0,INDEX(Calculations!AE$54:AE$66,MATCH(SourceE!$S22,Calculations!$A$9:$A$21,0))),0)</f>
        <v>0</v>
      </c>
      <c r="X22" s="103">
        <f>IFERROR(IF(X$4="Yes",0,INDEX(Calculations!AF$54:AF$66,MATCH(SourceE!$S22,Calculations!$A$9:$A$21,0))),0)</f>
        <v>0</v>
      </c>
      <c r="Y22" s="103">
        <f>IFERROR(IF(Y$4="Yes",0,INDEX(Calculations!AG$54:AG$66,MATCH(SourceE!$S22,Calculations!$A$9:$A$21,0))),0)</f>
        <v>0</v>
      </c>
      <c r="Z22" s="103">
        <f>IFERROR(IF(Z$4="Yes",0,INDEX(Calculations!AH$54:AH$66,MATCH(SourceE!$S22,Calculations!$A$9:$A$21,0))),0)</f>
        <v>0</v>
      </c>
      <c r="AA22" s="103">
        <f>IFERROR(IF(AA$4="Yes",0,INDEX(Calculations!AI$54:AI$66,MATCH(SourceE!$S22,Calculations!$A$9:$A$21,0))),0)</f>
        <v>0</v>
      </c>
      <c r="AB22" s="103">
        <f>IFERROR(IF(AB$4="Yes",0,INDEX(Calculations!AJ$54:AJ$66,MATCH(SourceE!$S22,Calculations!$A$9:$A$21,0))),0)</f>
        <v>0</v>
      </c>
      <c r="AC22" s="103">
        <f>IFERROR(IF(AC$4="Yes",0,INDEX(Calculations!AK$54:AK$66,MATCH(SourceE!$S22,Calculations!$A$9:$A$21,0))),0)</f>
        <v>0</v>
      </c>
      <c r="AD22" s="103">
        <f>IFERROR(IF(AD$4="Yes",0,INDEX(Calculations!AL$54:AL$66,MATCH(SourceE!$S22,Calculations!$A$9:$A$21,0))),0)</f>
        <v>0</v>
      </c>
      <c r="AE22" s="103">
        <f>IFERROR(IF(AE$4="Yes",0,INDEX(Calculations!AM$54:AM$66,MATCH(SourceE!$S22,Calculations!$A$9:$A$21,0))),0)</f>
        <v>0</v>
      </c>
      <c r="AF22" s="103">
        <f>IFERROR(IF(AF$4="Yes",0,INDEX(Calculations!AN$54:AN$66,MATCH(SourceE!$S22,Calculations!$A$9:$A$21,0))),0)</f>
        <v>0</v>
      </c>
      <c r="AG22" s="103">
        <f>IFERROR(IF(AG$4="Yes",0,INDEX(Calculations!AO$54:AO$66,MATCH(SourceE!$S22,Calculations!$A$9:$A$21,0))),0)</f>
        <v>0</v>
      </c>
      <c r="AH22" s="103">
        <f>IFERROR(IF(AH$4="Yes",0,INDEX(Calculations!AP$54:AP$66,MATCH(SourceE!$S22,Calculations!$A$9:$A$21,0))),0)</f>
        <v>0</v>
      </c>
      <c r="AI22" s="103">
        <f>IFERROR(IF(AI$4="Yes",0,INDEX(Calculations!AQ$54:AQ$66,MATCH(SourceE!$S22,Calculations!$A$9:$A$21,0))),0)</f>
        <v>0</v>
      </c>
      <c r="AJ22" s="103">
        <f>IFERROR(IF(AJ$4="Yes",0,INDEX(Calculations!AR$54:AR$66,MATCH(SourceE!$S22,Calculations!$A$9:$A$21,0))),0)</f>
        <v>0</v>
      </c>
      <c r="AK22" s="126">
        <f>IFERROR(SUM(U22:AI22)*'Project Info'!$D$28,0)</f>
        <v>0</v>
      </c>
      <c r="AL22" s="103">
        <f>IFERROR(INDEX(Calculations!BC$54:BC$66,MATCH(SourceE!$S22,Calculations!$A$9:$A$21,0))*-1,0)</f>
        <v>0</v>
      </c>
      <c r="AM22" s="103">
        <f>IFERROR(INDEX(Calculations!BD$54:BD$66,MATCH(SourceE!$S22,Calculations!$A$9:$A$21,0))*-1,0)</f>
        <v>0</v>
      </c>
      <c r="AN22" s="125">
        <f ca="1">IFERROR(SUM(OFFSET(Calculations!BE$54,MATCH($S22,Calculations!$A$9:$A$21,0)-1,0,1,4))*-1,0)</f>
        <v>0</v>
      </c>
      <c r="AO22" s="103">
        <f t="shared" ca="1" si="3"/>
        <v>0</v>
      </c>
      <c r="AP22" s="17"/>
      <c r="AQ22" s="4"/>
      <c r="AW22" s="103">
        <f>IFERROR(INDEX(Calculations!BL$24:BL$36,MATCH($S22,Calculations!$A$24:$A$36,0)),0)</f>
        <v>0</v>
      </c>
      <c r="AX22" s="103">
        <f>IFERROR(INDEX(Calculations!BM$24:BM$36,MATCH($S22,Calculations!$A$24:$A$36,0)),0)</f>
        <v>0</v>
      </c>
      <c r="AY22" s="103">
        <f>IFERROR(INDEX(Calculations!BN$24:BN$36,MATCH($S22,Calculations!$A$24:$A$36,0)),0)</f>
        <v>0</v>
      </c>
      <c r="AZ22" s="103">
        <f>IFERROR(INDEX(Calculations!BO$24:BO$36,MATCH($S22,Calculations!$A$24:$A$36,0)),0)</f>
        <v>0</v>
      </c>
      <c r="BA22" s="103">
        <f>IFERROR(INDEX(Calculations!BP$24:BP$36,MATCH($S22,Calculations!$A$24:$A$36,0)),0)</f>
        <v>0</v>
      </c>
    </row>
    <row r="23" spans="17:53">
      <c r="Q23" s="12"/>
      <c r="S23" s="20" t="str">
        <f>SiteE!S23</f>
        <v xml:space="preserve"> </v>
      </c>
      <c r="U23" s="103">
        <f>IFERROR(IF(U$4="Yes",0,INDEX(Calculations!AC$54:AC$66,MATCH(SourceE!$S23,Calculations!$A$9:$A$21,0))),0)</f>
        <v>0</v>
      </c>
      <c r="V23" s="103">
        <f>IFERROR(IF(V$4="Yes",0,INDEX(Calculations!AD$54:AD$66,MATCH(SourceE!$S23,Calculations!$A$9:$A$21,0))),0)</f>
        <v>0</v>
      </c>
      <c r="W23" s="103">
        <f>IFERROR(IF(W$4="Yes",0,INDEX(Calculations!AE$54:AE$66,MATCH(SourceE!$S23,Calculations!$A$9:$A$21,0))),0)</f>
        <v>0</v>
      </c>
      <c r="X23" s="103">
        <f>IFERROR(IF(X$4="Yes",0,INDEX(Calculations!AF$54:AF$66,MATCH(SourceE!$S23,Calculations!$A$9:$A$21,0))),0)</f>
        <v>0</v>
      </c>
      <c r="Y23" s="103">
        <f>IFERROR(IF(Y$4="Yes",0,INDEX(Calculations!AG$54:AG$66,MATCH(SourceE!$S23,Calculations!$A$9:$A$21,0))),0)</f>
        <v>0</v>
      </c>
      <c r="Z23" s="103">
        <f>IFERROR(IF(Z$4="Yes",0,INDEX(Calculations!AH$54:AH$66,MATCH(SourceE!$S23,Calculations!$A$9:$A$21,0))),0)</f>
        <v>0</v>
      </c>
      <c r="AA23" s="103">
        <f>IFERROR(IF(AA$4="Yes",0,INDEX(Calculations!AI$54:AI$66,MATCH(SourceE!$S23,Calculations!$A$9:$A$21,0))),0)</f>
        <v>0</v>
      </c>
      <c r="AB23" s="103">
        <f>IFERROR(IF(AB$4="Yes",0,INDEX(Calculations!AJ$54:AJ$66,MATCH(SourceE!$S23,Calculations!$A$9:$A$21,0))),0)</f>
        <v>0</v>
      </c>
      <c r="AC23" s="103">
        <f>IFERROR(IF(AC$4="Yes",0,INDEX(Calculations!AK$54:AK$66,MATCH(SourceE!$S23,Calculations!$A$9:$A$21,0))),0)</f>
        <v>0</v>
      </c>
      <c r="AD23" s="103">
        <f>IFERROR(IF(AD$4="Yes",0,INDEX(Calculations!AL$54:AL$66,MATCH(SourceE!$S23,Calculations!$A$9:$A$21,0))),0)</f>
        <v>0</v>
      </c>
      <c r="AE23" s="103">
        <f>IFERROR(IF(AE$4="Yes",0,INDEX(Calculations!AM$54:AM$66,MATCH(SourceE!$S23,Calculations!$A$9:$A$21,0))),0)</f>
        <v>0</v>
      </c>
      <c r="AF23" s="103">
        <f>IFERROR(IF(AF$4="Yes",0,INDEX(Calculations!AN$54:AN$66,MATCH(SourceE!$S23,Calculations!$A$9:$A$21,0))),0)</f>
        <v>0</v>
      </c>
      <c r="AG23" s="103">
        <f>IFERROR(IF(AG$4="Yes",0,INDEX(Calculations!AO$54:AO$66,MATCH(SourceE!$S23,Calculations!$A$9:$A$21,0))),0)</f>
        <v>0</v>
      </c>
      <c r="AH23" s="103">
        <f>IFERROR(IF(AH$4="Yes",0,INDEX(Calculations!AP$54:AP$66,MATCH(SourceE!$S23,Calculations!$A$9:$A$21,0))),0)</f>
        <v>0</v>
      </c>
      <c r="AI23" s="103">
        <f>IFERROR(IF(AI$4="Yes",0,INDEX(Calculations!AQ$54:AQ$66,MATCH(SourceE!$S23,Calculations!$A$9:$A$21,0))),0)</f>
        <v>0</v>
      </c>
      <c r="AJ23" s="103">
        <f>IFERROR(IF(AJ$4="Yes",0,INDEX(Calculations!AR$54:AR$66,MATCH(SourceE!$S23,Calculations!$A$9:$A$21,0))),0)</f>
        <v>0</v>
      </c>
      <c r="AK23" s="126">
        <f>IFERROR(SUM(U23:AI23)*'Project Info'!$D$28,0)</f>
        <v>0</v>
      </c>
      <c r="AL23" s="103">
        <f>IFERROR(INDEX(Calculations!BC$54:BC$66,MATCH(SourceE!$S23,Calculations!$A$9:$A$21,0))*-1,0)</f>
        <v>0</v>
      </c>
      <c r="AM23" s="103">
        <f>IFERROR(INDEX(Calculations!BD$54:BD$66,MATCH(SourceE!$S23,Calculations!$A$9:$A$21,0))*-1,0)</f>
        <v>0</v>
      </c>
      <c r="AN23" s="125">
        <f ca="1">IFERROR(SUM(OFFSET(Calculations!BE$54,MATCH($S23,Calculations!$A$9:$A$21,0)-1,0,1,4))*-1,0)</f>
        <v>0</v>
      </c>
      <c r="AO23" s="103">
        <f t="shared" ca="1" si="3"/>
        <v>0</v>
      </c>
      <c r="AP23" s="17"/>
      <c r="AQ23" s="4"/>
      <c r="AW23" s="103">
        <f>IFERROR(INDEX(Calculations!BL$24:BL$36,MATCH($S23,Calculations!$A$24:$A$36,0)),0)</f>
        <v>0</v>
      </c>
      <c r="AX23" s="103">
        <f>IFERROR(INDEX(Calculations!BM$24:BM$36,MATCH($S23,Calculations!$A$24:$A$36,0)),0)</f>
        <v>0</v>
      </c>
      <c r="AY23" s="103">
        <f>IFERROR(INDEX(Calculations!BN$24:BN$36,MATCH($S23,Calculations!$A$24:$A$36,0)),0)</f>
        <v>0</v>
      </c>
      <c r="AZ23" s="103">
        <f>IFERROR(INDEX(Calculations!BO$24:BO$36,MATCH($S23,Calculations!$A$24:$A$36,0)),0)</f>
        <v>0</v>
      </c>
      <c r="BA23" s="103">
        <f>IFERROR(INDEX(Calculations!BP$24:BP$36,MATCH($S23,Calculations!$A$24:$A$36,0)),0)</f>
        <v>0</v>
      </c>
    </row>
    <row r="24" spans="17:53">
      <c r="Q24" s="12"/>
      <c r="S24" s="20" t="str">
        <f>SiteE!S24</f>
        <v xml:space="preserve"> </v>
      </c>
      <c r="U24" s="103">
        <f>IFERROR(IF(U$4="Yes",0,INDEX(Calculations!AC$54:AC$66,MATCH(SourceE!$S24,Calculations!$A$9:$A$21,0))),0)</f>
        <v>0</v>
      </c>
      <c r="V24" s="103">
        <f>IFERROR(IF(V$4="Yes",0,INDEX(Calculations!AD$54:AD$66,MATCH(SourceE!$S24,Calculations!$A$9:$A$21,0))),0)</f>
        <v>0</v>
      </c>
      <c r="W24" s="103">
        <f>IFERROR(IF(W$4="Yes",0,INDEX(Calculations!AE$54:AE$66,MATCH(SourceE!$S24,Calculations!$A$9:$A$21,0))),0)</f>
        <v>0</v>
      </c>
      <c r="X24" s="103">
        <f>IFERROR(IF(X$4="Yes",0,INDEX(Calculations!AF$54:AF$66,MATCH(SourceE!$S24,Calculations!$A$9:$A$21,0))),0)</f>
        <v>0</v>
      </c>
      <c r="Y24" s="103">
        <f>IFERROR(IF(Y$4="Yes",0,INDEX(Calculations!AG$54:AG$66,MATCH(SourceE!$S24,Calculations!$A$9:$A$21,0))),0)</f>
        <v>0</v>
      </c>
      <c r="Z24" s="103">
        <f>IFERROR(IF(Z$4="Yes",0,INDEX(Calculations!AH$54:AH$66,MATCH(SourceE!$S24,Calculations!$A$9:$A$21,0))),0)</f>
        <v>0</v>
      </c>
      <c r="AA24" s="103">
        <f>IFERROR(IF(AA$4="Yes",0,INDEX(Calculations!AI$54:AI$66,MATCH(SourceE!$S24,Calculations!$A$9:$A$21,0))),0)</f>
        <v>0</v>
      </c>
      <c r="AB24" s="103">
        <f>IFERROR(IF(AB$4="Yes",0,INDEX(Calculations!AJ$54:AJ$66,MATCH(SourceE!$S24,Calculations!$A$9:$A$21,0))),0)</f>
        <v>0</v>
      </c>
      <c r="AC24" s="103">
        <f>IFERROR(IF(AC$4="Yes",0,INDEX(Calculations!AK$54:AK$66,MATCH(SourceE!$S24,Calculations!$A$9:$A$21,0))),0)</f>
        <v>0</v>
      </c>
      <c r="AD24" s="103">
        <f>IFERROR(IF(AD$4="Yes",0,INDEX(Calculations!AL$54:AL$66,MATCH(SourceE!$S24,Calculations!$A$9:$A$21,0))),0)</f>
        <v>0</v>
      </c>
      <c r="AE24" s="103">
        <f>IFERROR(IF(AE$4="Yes",0,INDEX(Calculations!AM$54:AM$66,MATCH(SourceE!$S24,Calculations!$A$9:$A$21,0))),0)</f>
        <v>0</v>
      </c>
      <c r="AF24" s="103">
        <f>IFERROR(IF(AF$4="Yes",0,INDEX(Calculations!AN$54:AN$66,MATCH(SourceE!$S24,Calculations!$A$9:$A$21,0))),0)</f>
        <v>0</v>
      </c>
      <c r="AG24" s="103">
        <f>IFERROR(IF(AG$4="Yes",0,INDEX(Calculations!AO$54:AO$66,MATCH(SourceE!$S24,Calculations!$A$9:$A$21,0))),0)</f>
        <v>0</v>
      </c>
      <c r="AH24" s="103">
        <f>IFERROR(IF(AH$4="Yes",0,INDEX(Calculations!AP$54:AP$66,MATCH(SourceE!$S24,Calculations!$A$9:$A$21,0))),0)</f>
        <v>0</v>
      </c>
      <c r="AI24" s="103">
        <f>IFERROR(IF(AI$4="Yes",0,INDEX(Calculations!AQ$54:AQ$66,MATCH(SourceE!$S24,Calculations!$A$9:$A$21,0))),0)</f>
        <v>0</v>
      </c>
      <c r="AJ24" s="103">
        <f>IFERROR(IF(AJ$4="Yes",0,INDEX(Calculations!AR$54:AR$66,MATCH(SourceE!$S24,Calculations!$A$9:$A$21,0))),0)</f>
        <v>0</v>
      </c>
      <c r="AK24" s="126">
        <f>IFERROR(SUM(U24:AI24)*'Project Info'!$D$28,0)</f>
        <v>0</v>
      </c>
      <c r="AL24" s="103">
        <f>IFERROR(INDEX(Calculations!BC$54:BC$66,MATCH(SourceE!$S24,Calculations!$A$9:$A$21,0))*-1,0)</f>
        <v>0</v>
      </c>
      <c r="AM24" s="103">
        <f>IFERROR(INDEX(Calculations!BD$54:BD$66,MATCH(SourceE!$S24,Calculations!$A$9:$A$21,0))*-1,0)</f>
        <v>0</v>
      </c>
      <c r="AN24" s="125">
        <f ca="1">IFERROR(SUM(OFFSET(Calculations!BE$54,MATCH($S24,Calculations!$A$9:$A$21,0)-1,0,1,4))*-1,0)</f>
        <v>0</v>
      </c>
      <c r="AO24" s="103">
        <f t="shared" ca="1" si="3"/>
        <v>0</v>
      </c>
      <c r="AP24" s="17"/>
      <c r="AQ24" s="4"/>
      <c r="AW24" s="103">
        <f>IFERROR(INDEX(Calculations!BL$24:BL$36,MATCH($S24,Calculations!$A$24:$A$36,0)),0)</f>
        <v>0</v>
      </c>
      <c r="AX24" s="103">
        <f>IFERROR(INDEX(Calculations!BM$24:BM$36,MATCH($S24,Calculations!$A$24:$A$36,0)),0)</f>
        <v>0</v>
      </c>
      <c r="AY24" s="103">
        <f>IFERROR(INDEX(Calculations!BN$24:BN$36,MATCH($S24,Calculations!$A$24:$A$36,0)),0)</f>
        <v>0</v>
      </c>
      <c r="AZ24" s="103">
        <f>IFERROR(INDEX(Calculations!BO$24:BO$36,MATCH($S24,Calculations!$A$24:$A$36,0)),0)</f>
        <v>0</v>
      </c>
      <c r="BA24" s="103">
        <f>IFERROR(INDEX(Calculations!BP$24:BP$36,MATCH($S24,Calculations!$A$24:$A$36,0)),0)</f>
        <v>0</v>
      </c>
    </row>
    <row r="25" spans="17:53">
      <c r="Q25" s="12"/>
      <c r="S25" s="20" t="str">
        <f>SiteE!S25</f>
        <v xml:space="preserve"> </v>
      </c>
      <c r="U25" s="103">
        <f>IFERROR(IF(U$4="Yes",0,INDEX(Calculations!AC$54:AC$66,MATCH(SourceE!$S25,Calculations!$A$9:$A$21,0))),0)</f>
        <v>0</v>
      </c>
      <c r="V25" s="103">
        <f>IFERROR(IF(V$4="Yes",0,INDEX(Calculations!AD$54:AD$66,MATCH(SourceE!$S25,Calculations!$A$9:$A$21,0))),0)</f>
        <v>0</v>
      </c>
      <c r="W25" s="103">
        <f>IFERROR(IF(W$4="Yes",0,INDEX(Calculations!AE$54:AE$66,MATCH(SourceE!$S25,Calculations!$A$9:$A$21,0))),0)</f>
        <v>0</v>
      </c>
      <c r="X25" s="103">
        <f>IFERROR(IF(X$4="Yes",0,INDEX(Calculations!AF$54:AF$66,MATCH(SourceE!$S25,Calculations!$A$9:$A$21,0))),0)</f>
        <v>0</v>
      </c>
      <c r="Y25" s="103">
        <f>IFERROR(IF(Y$4="Yes",0,INDEX(Calculations!AG$54:AG$66,MATCH(SourceE!$S25,Calculations!$A$9:$A$21,0))),0)</f>
        <v>0</v>
      </c>
      <c r="Z25" s="103">
        <f>IFERROR(IF(Z$4="Yes",0,INDEX(Calculations!AH$54:AH$66,MATCH(SourceE!$S25,Calculations!$A$9:$A$21,0))),0)</f>
        <v>0</v>
      </c>
      <c r="AA25" s="103">
        <f>IFERROR(IF(AA$4="Yes",0,INDEX(Calculations!AI$54:AI$66,MATCH(SourceE!$S25,Calculations!$A$9:$A$21,0))),0)</f>
        <v>0</v>
      </c>
      <c r="AB25" s="103">
        <f>IFERROR(IF(AB$4="Yes",0,INDEX(Calculations!AJ$54:AJ$66,MATCH(SourceE!$S25,Calculations!$A$9:$A$21,0))),0)</f>
        <v>0</v>
      </c>
      <c r="AC25" s="103">
        <f>IFERROR(IF(AC$4="Yes",0,INDEX(Calculations!AK$54:AK$66,MATCH(SourceE!$S25,Calculations!$A$9:$A$21,0))),0)</f>
        <v>0</v>
      </c>
      <c r="AD25" s="103">
        <f>IFERROR(IF(AD$4="Yes",0,INDEX(Calculations!AL$54:AL$66,MATCH(SourceE!$S25,Calculations!$A$9:$A$21,0))),0)</f>
        <v>0</v>
      </c>
      <c r="AE25" s="103">
        <f>IFERROR(IF(AE$4="Yes",0,INDEX(Calculations!AM$54:AM$66,MATCH(SourceE!$S25,Calculations!$A$9:$A$21,0))),0)</f>
        <v>0</v>
      </c>
      <c r="AF25" s="103">
        <f>IFERROR(IF(AF$4="Yes",0,INDEX(Calculations!AN$54:AN$66,MATCH(SourceE!$S25,Calculations!$A$9:$A$21,0))),0)</f>
        <v>0</v>
      </c>
      <c r="AG25" s="103">
        <f>IFERROR(IF(AG$4="Yes",0,INDEX(Calculations!AO$54:AO$66,MATCH(SourceE!$S25,Calculations!$A$9:$A$21,0))),0)</f>
        <v>0</v>
      </c>
      <c r="AH25" s="103">
        <f>IFERROR(IF(AH$4="Yes",0,INDEX(Calculations!AP$54:AP$66,MATCH(SourceE!$S25,Calculations!$A$9:$A$21,0))),0)</f>
        <v>0</v>
      </c>
      <c r="AI25" s="103">
        <f>IFERROR(IF(AI$4="Yes",0,INDEX(Calculations!AQ$54:AQ$66,MATCH(SourceE!$S25,Calculations!$A$9:$A$21,0))),0)</f>
        <v>0</v>
      </c>
      <c r="AJ25" s="103">
        <f>IFERROR(IF(AJ$4="Yes",0,INDEX(Calculations!AR$54:AR$66,MATCH(SourceE!$S25,Calculations!$A$9:$A$21,0))),0)</f>
        <v>0</v>
      </c>
      <c r="AK25" s="126">
        <f>IFERROR(SUM(U25:AI25)*'Project Info'!$D$28,0)</f>
        <v>0</v>
      </c>
      <c r="AL25" s="103">
        <f>IFERROR(INDEX(Calculations!BC$54:BC$66,MATCH(SourceE!$S25,Calculations!$A$9:$A$21,0))*-1,0)</f>
        <v>0</v>
      </c>
      <c r="AM25" s="103">
        <f>IFERROR(INDEX(Calculations!BD$54:BD$66,MATCH(SourceE!$S25,Calculations!$A$9:$A$21,0))*-1,0)</f>
        <v>0</v>
      </c>
      <c r="AN25" s="125">
        <f ca="1">IFERROR(SUM(OFFSET(Calculations!BE$54,MATCH($S25,Calculations!$A$9:$A$21,0)-1,0,1,4))*-1,0)</f>
        <v>0</v>
      </c>
      <c r="AO25" s="103">
        <f t="shared" ca="1" si="3"/>
        <v>0</v>
      </c>
      <c r="AP25" s="17"/>
      <c r="AQ25" s="4"/>
      <c r="AW25" s="103">
        <f>IFERROR(INDEX(Calculations!BL$24:BL$36,MATCH($S25,Calculations!$A$24:$A$36,0)),0)</f>
        <v>0</v>
      </c>
      <c r="AX25" s="103">
        <f>IFERROR(INDEX(Calculations!BM$24:BM$36,MATCH($S25,Calculations!$A$24:$A$36,0)),0)</f>
        <v>0</v>
      </c>
      <c r="AY25" s="103">
        <f>IFERROR(INDEX(Calculations!BN$24:BN$36,MATCH($S25,Calculations!$A$24:$A$36,0)),0)</f>
        <v>0</v>
      </c>
      <c r="AZ25" s="103">
        <f>IFERROR(INDEX(Calculations!BO$24:BO$36,MATCH($S25,Calculations!$A$24:$A$36,0)),0)</f>
        <v>0</v>
      </c>
      <c r="BA25" s="103">
        <f>IFERROR(INDEX(Calculations!BP$24:BP$36,MATCH($S25,Calculations!$A$24:$A$36,0)),0)</f>
        <v>0</v>
      </c>
    </row>
    <row r="26" spans="17:53">
      <c r="Q26" s="12"/>
      <c r="S26" s="20" t="str">
        <f>SiteE!S26</f>
        <v xml:space="preserve"> </v>
      </c>
      <c r="U26" s="103">
        <f>IFERROR(IF(U$4="Yes",0,INDEX(Calculations!AC$54:AC$66,MATCH(SourceE!$S26,Calculations!$A$9:$A$21,0))),0)</f>
        <v>0</v>
      </c>
      <c r="V26" s="103">
        <f>IFERROR(IF(V$4="Yes",0,INDEX(Calculations!AD$54:AD$66,MATCH(SourceE!$S26,Calculations!$A$9:$A$21,0))),0)</f>
        <v>0</v>
      </c>
      <c r="W26" s="103">
        <f>IFERROR(IF(W$4="Yes",0,INDEX(Calculations!AE$54:AE$66,MATCH(SourceE!$S26,Calculations!$A$9:$A$21,0))),0)</f>
        <v>0</v>
      </c>
      <c r="X26" s="103">
        <f>IFERROR(IF(X$4="Yes",0,INDEX(Calculations!AF$54:AF$66,MATCH(SourceE!$S26,Calculations!$A$9:$A$21,0))),0)</f>
        <v>0</v>
      </c>
      <c r="Y26" s="103">
        <f>IFERROR(IF(Y$4="Yes",0,INDEX(Calculations!AG$54:AG$66,MATCH(SourceE!$S26,Calculations!$A$9:$A$21,0))),0)</f>
        <v>0</v>
      </c>
      <c r="Z26" s="103">
        <f>IFERROR(IF(Z$4="Yes",0,INDEX(Calculations!AH$54:AH$66,MATCH(SourceE!$S26,Calculations!$A$9:$A$21,0))),0)</f>
        <v>0</v>
      </c>
      <c r="AA26" s="103">
        <f>IFERROR(IF(AA$4="Yes",0,INDEX(Calculations!AI$54:AI$66,MATCH(SourceE!$S26,Calculations!$A$9:$A$21,0))),0)</f>
        <v>0</v>
      </c>
      <c r="AB26" s="103">
        <f>IFERROR(IF(AB$4="Yes",0,INDEX(Calculations!AJ$54:AJ$66,MATCH(SourceE!$S26,Calculations!$A$9:$A$21,0))),0)</f>
        <v>0</v>
      </c>
      <c r="AC26" s="103">
        <f>IFERROR(IF(AC$4="Yes",0,INDEX(Calculations!AK$54:AK$66,MATCH(SourceE!$S26,Calculations!$A$9:$A$21,0))),0)</f>
        <v>0</v>
      </c>
      <c r="AD26" s="103">
        <f>IFERROR(IF(AD$4="Yes",0,INDEX(Calculations!AL$54:AL$66,MATCH(SourceE!$S26,Calculations!$A$9:$A$21,0))),0)</f>
        <v>0</v>
      </c>
      <c r="AE26" s="103">
        <f>IFERROR(IF(AE$4="Yes",0,INDEX(Calculations!AM$54:AM$66,MATCH(SourceE!$S26,Calculations!$A$9:$A$21,0))),0)</f>
        <v>0</v>
      </c>
      <c r="AF26" s="103">
        <f>IFERROR(IF(AF$4="Yes",0,INDEX(Calculations!AN$54:AN$66,MATCH(SourceE!$S26,Calculations!$A$9:$A$21,0))),0)</f>
        <v>0</v>
      </c>
      <c r="AG26" s="103">
        <f>IFERROR(IF(AG$4="Yes",0,INDEX(Calculations!AO$54:AO$66,MATCH(SourceE!$S26,Calculations!$A$9:$A$21,0))),0)</f>
        <v>0</v>
      </c>
      <c r="AH26" s="103">
        <f>IFERROR(IF(AH$4="Yes",0,INDEX(Calculations!AP$54:AP$66,MATCH(SourceE!$S26,Calculations!$A$9:$A$21,0))),0)</f>
        <v>0</v>
      </c>
      <c r="AI26" s="103">
        <f>IFERROR(IF(AI$4="Yes",0,INDEX(Calculations!AQ$54:AQ$66,MATCH(SourceE!$S26,Calculations!$A$9:$A$21,0))),0)</f>
        <v>0</v>
      </c>
      <c r="AJ26" s="103">
        <f>IFERROR(IF(AJ$4="Yes",0,INDEX(Calculations!AR$54:AR$66,MATCH(SourceE!$S26,Calculations!$A$9:$A$21,0))),0)</f>
        <v>0</v>
      </c>
      <c r="AK26" s="126">
        <f>IFERROR(SUM(U26:AI26)*'Project Info'!$D$28,0)</f>
        <v>0</v>
      </c>
      <c r="AL26" s="103">
        <f>IFERROR(INDEX(Calculations!BC$54:BC$66,MATCH(SourceE!$S26,Calculations!$A$9:$A$21,0))*-1,0)</f>
        <v>0</v>
      </c>
      <c r="AM26" s="103">
        <f>IFERROR(INDEX(Calculations!BD$54:BD$66,MATCH(SourceE!$S26,Calculations!$A$9:$A$21,0))*-1,0)</f>
        <v>0</v>
      </c>
      <c r="AN26" s="125">
        <f ca="1">IFERROR(SUM(OFFSET(Calculations!BE$54,MATCH($S26,Calculations!$A$9:$A$21,0)-1,0,1,4))*-1,0)</f>
        <v>0</v>
      </c>
      <c r="AO26" s="103">
        <f t="shared" ca="1" si="3"/>
        <v>0</v>
      </c>
      <c r="AP26" s="17"/>
      <c r="AQ26" s="4"/>
      <c r="AW26" s="103">
        <f>IFERROR(INDEX(Calculations!BL$24:BL$36,MATCH($S26,Calculations!$A$24:$A$36,0)),0)</f>
        <v>0</v>
      </c>
      <c r="AX26" s="103">
        <f>IFERROR(INDEX(Calculations!BM$24:BM$36,MATCH($S26,Calculations!$A$24:$A$36,0)),0)</f>
        <v>0</v>
      </c>
      <c r="AY26" s="103">
        <f>IFERROR(INDEX(Calculations!BN$24:BN$36,MATCH($S26,Calculations!$A$24:$A$36,0)),0)</f>
        <v>0</v>
      </c>
      <c r="AZ26" s="103">
        <f>IFERROR(INDEX(Calculations!BO$24:BO$36,MATCH($S26,Calculations!$A$24:$A$36,0)),0)</f>
        <v>0</v>
      </c>
      <c r="BA26" s="103">
        <f>IFERROR(INDEX(Calculations!BP$24:BP$36,MATCH($S26,Calculations!$A$24:$A$36,0)),0)</f>
        <v>0</v>
      </c>
    </row>
    <row r="27" spans="17:53">
      <c r="Q27" s="12"/>
      <c r="S27" s="20" t="str">
        <f>SiteE!S27</f>
        <v xml:space="preserve"> </v>
      </c>
      <c r="U27" s="103">
        <f>IFERROR(IF(U$4="Yes",0,INDEX(Calculations!AC$54:AC$66,MATCH(SourceE!$S27,Calculations!$A$9:$A$21,0))),0)</f>
        <v>0</v>
      </c>
      <c r="V27" s="103">
        <f>IFERROR(IF(V$4="Yes",0,INDEX(Calculations!AD$54:AD$66,MATCH(SourceE!$S27,Calculations!$A$9:$A$21,0))),0)</f>
        <v>0</v>
      </c>
      <c r="W27" s="103">
        <f>IFERROR(IF(W$4="Yes",0,INDEX(Calculations!AE$54:AE$66,MATCH(SourceE!$S27,Calculations!$A$9:$A$21,0))),0)</f>
        <v>0</v>
      </c>
      <c r="X27" s="103">
        <f>IFERROR(IF(X$4="Yes",0,INDEX(Calculations!AF$54:AF$66,MATCH(SourceE!$S27,Calculations!$A$9:$A$21,0))),0)</f>
        <v>0</v>
      </c>
      <c r="Y27" s="103">
        <f>IFERROR(IF(Y$4="Yes",0,INDEX(Calculations!AG$54:AG$66,MATCH(SourceE!$S27,Calculations!$A$9:$A$21,0))),0)</f>
        <v>0</v>
      </c>
      <c r="Z27" s="103">
        <f>IFERROR(IF(Z$4="Yes",0,INDEX(Calculations!AH$54:AH$66,MATCH(SourceE!$S27,Calculations!$A$9:$A$21,0))),0)</f>
        <v>0</v>
      </c>
      <c r="AA27" s="103">
        <f>IFERROR(IF(AA$4="Yes",0,INDEX(Calculations!AI$54:AI$66,MATCH(SourceE!$S27,Calculations!$A$9:$A$21,0))),0)</f>
        <v>0</v>
      </c>
      <c r="AB27" s="103">
        <f>IFERROR(IF(AB$4="Yes",0,INDEX(Calculations!AJ$54:AJ$66,MATCH(SourceE!$S27,Calculations!$A$9:$A$21,0))),0)</f>
        <v>0</v>
      </c>
      <c r="AC27" s="103">
        <f>IFERROR(IF(AC$4="Yes",0,INDEX(Calculations!AK$54:AK$66,MATCH(SourceE!$S27,Calculations!$A$9:$A$21,0))),0)</f>
        <v>0</v>
      </c>
      <c r="AD27" s="103">
        <f>IFERROR(IF(AD$4="Yes",0,INDEX(Calculations!AL$54:AL$66,MATCH(SourceE!$S27,Calculations!$A$9:$A$21,0))),0)</f>
        <v>0</v>
      </c>
      <c r="AE27" s="103">
        <f>IFERROR(IF(AE$4="Yes",0,INDEX(Calculations!AM$54:AM$66,MATCH(SourceE!$S27,Calculations!$A$9:$A$21,0))),0)</f>
        <v>0</v>
      </c>
      <c r="AF27" s="103">
        <f>IFERROR(IF(AF$4="Yes",0,INDEX(Calculations!AN$54:AN$66,MATCH(SourceE!$S27,Calculations!$A$9:$A$21,0))),0)</f>
        <v>0</v>
      </c>
      <c r="AG27" s="103">
        <f>IFERROR(IF(AG$4="Yes",0,INDEX(Calculations!AO$54:AO$66,MATCH(SourceE!$S27,Calculations!$A$9:$A$21,0))),0)</f>
        <v>0</v>
      </c>
      <c r="AH27" s="103">
        <f>IFERROR(IF(AH$4="Yes",0,INDEX(Calculations!AP$54:AP$66,MATCH(SourceE!$S27,Calculations!$A$9:$A$21,0))),0)</f>
        <v>0</v>
      </c>
      <c r="AI27" s="103">
        <f>IFERROR(IF(AI$4="Yes",0,INDEX(Calculations!AQ$54:AQ$66,MATCH(SourceE!$S27,Calculations!$A$9:$A$21,0))),0)</f>
        <v>0</v>
      </c>
      <c r="AJ27" s="103">
        <f>IFERROR(IF(AJ$4="Yes",0,INDEX(Calculations!AR$54:AR$66,MATCH(SourceE!$S27,Calculations!$A$9:$A$21,0))),0)</f>
        <v>0</v>
      </c>
      <c r="AK27" s="126">
        <f>IFERROR(SUM(U27:AI27)*'Project Info'!$D$28,0)</f>
        <v>0</v>
      </c>
      <c r="AL27" s="103">
        <f>IFERROR(INDEX(Calculations!BC$54:BC$66,MATCH(SourceE!$S27,Calculations!$A$9:$A$21,0))*-1,0)</f>
        <v>0</v>
      </c>
      <c r="AM27" s="103">
        <f>IFERROR(INDEX(Calculations!BD$54:BD$66,MATCH(SourceE!$S27,Calculations!$A$9:$A$21,0))*-1,0)</f>
        <v>0</v>
      </c>
      <c r="AN27" s="125">
        <f ca="1">IFERROR(SUM(OFFSET(Calculations!BE$54,MATCH($S27,Calculations!$A$9:$A$21,0)-1,0,1,4))*-1,0)</f>
        <v>0</v>
      </c>
      <c r="AO27" s="103">
        <f t="shared" ca="1" si="3"/>
        <v>0</v>
      </c>
      <c r="AP27" s="17"/>
      <c r="AQ27" s="4"/>
      <c r="AW27" s="103">
        <f>IFERROR(INDEX(Calculations!BL$24:BL$36,MATCH($S27,Calculations!$A$24:$A$36,0)),0)</f>
        <v>0</v>
      </c>
      <c r="AX27" s="103">
        <f>IFERROR(INDEX(Calculations!BM$24:BM$36,MATCH($S27,Calculations!$A$24:$A$36,0)),0)</f>
        <v>0</v>
      </c>
      <c r="AY27" s="103">
        <f>IFERROR(INDEX(Calculations!BN$24:BN$36,MATCH($S27,Calculations!$A$24:$A$36,0)),0)</f>
        <v>0</v>
      </c>
      <c r="AZ27" s="103">
        <f>IFERROR(INDEX(Calculations!BO$24:BO$36,MATCH($S27,Calculations!$A$24:$A$36,0)),0)</f>
        <v>0</v>
      </c>
      <c r="BA27" s="103">
        <f>IFERROR(INDEX(Calculations!BP$24:BP$36,MATCH($S27,Calculations!$A$24:$A$36,0)),0)</f>
        <v>0</v>
      </c>
    </row>
    <row r="28" spans="17:53">
      <c r="Q28" s="12"/>
      <c r="S28" s="20" t="str">
        <f>SiteE!S28</f>
        <v xml:space="preserve"> </v>
      </c>
      <c r="U28" s="103">
        <f>IFERROR(IF(U$4="Yes",0,INDEX(Calculations!AC$54:AC$66,MATCH(SourceE!$S28,Calculations!$A$9:$A$21,0))),0)</f>
        <v>0</v>
      </c>
      <c r="V28" s="103">
        <f>IFERROR(IF(V$4="Yes",0,INDEX(Calculations!AD$54:AD$66,MATCH(SourceE!$S28,Calculations!$A$9:$A$21,0))),0)</f>
        <v>0</v>
      </c>
      <c r="W28" s="103">
        <f>IFERROR(IF(W$4="Yes",0,INDEX(Calculations!AE$54:AE$66,MATCH(SourceE!$S28,Calculations!$A$9:$A$21,0))),0)</f>
        <v>0</v>
      </c>
      <c r="X28" s="103">
        <f>IFERROR(IF(X$4="Yes",0,INDEX(Calculations!AF$54:AF$66,MATCH(SourceE!$S28,Calculations!$A$9:$A$21,0))),0)</f>
        <v>0</v>
      </c>
      <c r="Y28" s="103">
        <f>IFERROR(IF(Y$4="Yes",0,INDEX(Calculations!AG$54:AG$66,MATCH(SourceE!$S28,Calculations!$A$9:$A$21,0))),0)</f>
        <v>0</v>
      </c>
      <c r="Z28" s="103">
        <f>IFERROR(IF(Z$4="Yes",0,INDEX(Calculations!AH$54:AH$66,MATCH(SourceE!$S28,Calculations!$A$9:$A$21,0))),0)</f>
        <v>0</v>
      </c>
      <c r="AA28" s="103">
        <f>IFERROR(IF(AA$4="Yes",0,INDEX(Calculations!AI$54:AI$66,MATCH(SourceE!$S28,Calculations!$A$9:$A$21,0))),0)</f>
        <v>0</v>
      </c>
      <c r="AB28" s="103">
        <f>IFERROR(IF(AB$4="Yes",0,INDEX(Calculations!AJ$54:AJ$66,MATCH(SourceE!$S28,Calculations!$A$9:$A$21,0))),0)</f>
        <v>0</v>
      </c>
      <c r="AC28" s="103">
        <f>IFERROR(IF(AC$4="Yes",0,INDEX(Calculations!AK$54:AK$66,MATCH(SourceE!$S28,Calculations!$A$9:$A$21,0))),0)</f>
        <v>0</v>
      </c>
      <c r="AD28" s="103">
        <f>IFERROR(IF(AD$4="Yes",0,INDEX(Calculations!AL$54:AL$66,MATCH(SourceE!$S28,Calculations!$A$9:$A$21,0))),0)</f>
        <v>0</v>
      </c>
      <c r="AE28" s="103">
        <f>IFERROR(IF(AE$4="Yes",0,INDEX(Calculations!AM$54:AM$66,MATCH(SourceE!$S28,Calculations!$A$9:$A$21,0))),0)</f>
        <v>0</v>
      </c>
      <c r="AF28" s="103">
        <f>IFERROR(IF(AF$4="Yes",0,INDEX(Calculations!AN$54:AN$66,MATCH(SourceE!$S28,Calculations!$A$9:$A$21,0))),0)</f>
        <v>0</v>
      </c>
      <c r="AG28" s="103">
        <f>IFERROR(IF(AG$4="Yes",0,INDEX(Calculations!AO$54:AO$66,MATCH(SourceE!$S28,Calculations!$A$9:$A$21,0))),0)</f>
        <v>0</v>
      </c>
      <c r="AH28" s="103">
        <f>IFERROR(IF(AH$4="Yes",0,INDEX(Calculations!AP$54:AP$66,MATCH(SourceE!$S28,Calculations!$A$9:$A$21,0))),0)</f>
        <v>0</v>
      </c>
      <c r="AI28" s="103">
        <f>IFERROR(IF(AI$4="Yes",0,INDEX(Calculations!AQ$54:AQ$66,MATCH(SourceE!$S28,Calculations!$A$9:$A$21,0))),0)</f>
        <v>0</v>
      </c>
      <c r="AJ28" s="103">
        <f>IFERROR(IF(AJ$4="Yes",0,INDEX(Calculations!AR$54:AR$66,MATCH(SourceE!$S28,Calculations!$A$9:$A$21,0))),0)</f>
        <v>0</v>
      </c>
      <c r="AK28" s="126">
        <f>IFERROR(SUM(U28:AI28)*'Project Info'!$D$28,0)</f>
        <v>0</v>
      </c>
      <c r="AL28" s="103">
        <f>IFERROR(INDEX(Calculations!BC$54:BC$66,MATCH(SourceE!$S31,Calculations!$A$9:$A$21,0))*-1,0)</f>
        <v>0</v>
      </c>
      <c r="AM28" s="103">
        <f>IFERROR(INDEX(Calculations!BD$54:BD$66,MATCH(SourceE!$S31,Calculations!$A$9:$A$21,0))*-1,0)</f>
        <v>0</v>
      </c>
      <c r="AN28" s="125">
        <f ca="1">IFERROR(SUM(OFFSET(Calculations!BE$54,MATCH($S28,Calculations!$A$9:$A$21,0)-1,0,1,4))*-1,0)</f>
        <v>0</v>
      </c>
      <c r="AO28" s="103">
        <f t="shared" ca="1" si="3"/>
        <v>0</v>
      </c>
      <c r="AP28" s="17"/>
      <c r="AQ28" s="4"/>
      <c r="AW28" s="103">
        <f>IFERROR(INDEX(Calculations!BL$24:BL$36,MATCH($S28,Calculations!$A$24:$A$36,0)),0)</f>
        <v>0</v>
      </c>
      <c r="AX28" s="103">
        <f>IFERROR(INDEX(Calculations!BM$24:BM$36,MATCH($S28,Calculations!$A$24:$A$36,0)),0)</f>
        <v>0</v>
      </c>
      <c r="AY28" s="103">
        <f>IFERROR(INDEX(Calculations!BN$24:BN$36,MATCH($S28,Calculations!$A$24:$A$36,0)),0)</f>
        <v>0</v>
      </c>
      <c r="AZ28" s="103">
        <f>IFERROR(INDEX(Calculations!BO$24:BO$36,MATCH($S28,Calculations!$A$24:$A$36,0)),0)</f>
        <v>0</v>
      </c>
      <c r="BA28" s="103">
        <f>IFERROR(INDEX(Calculations!BP$24:BP$36,MATCH($S28,Calculations!$A$24:$A$36,0)),0)</f>
        <v>0</v>
      </c>
    </row>
    <row r="29" spans="17:53">
      <c r="Q29" s="12"/>
      <c r="S29" s="20" t="str">
        <f>SiteE!S29</f>
        <v xml:space="preserve"> </v>
      </c>
      <c r="U29" s="103">
        <f>IFERROR(IF(U$4="Yes",0,INDEX(Calculations!AC$54:AC$66,MATCH(SourceE!$S29,Calculations!$A$9:$A$21,0))),0)</f>
        <v>0</v>
      </c>
      <c r="V29" s="103">
        <f>IFERROR(IF(V$4="Yes",0,INDEX(Calculations!AD$54:AD$66,MATCH(SourceE!$S29,Calculations!$A$9:$A$21,0))),0)</f>
        <v>0</v>
      </c>
      <c r="W29" s="103">
        <f>IFERROR(IF(W$4="Yes",0,INDEX(Calculations!AE$54:AE$66,MATCH(SourceE!$S29,Calculations!$A$9:$A$21,0))),0)</f>
        <v>0</v>
      </c>
      <c r="X29" s="103">
        <f>IFERROR(IF(X$4="Yes",0,INDEX(Calculations!AF$54:AF$66,MATCH(SourceE!$S29,Calculations!$A$9:$A$21,0))),0)</f>
        <v>0</v>
      </c>
      <c r="Y29" s="103">
        <f>IFERROR(IF(Y$4="Yes",0,INDEX(Calculations!AG$54:AG$66,MATCH(SourceE!$S29,Calculations!$A$9:$A$21,0))),0)</f>
        <v>0</v>
      </c>
      <c r="Z29" s="103">
        <f>IFERROR(IF(Z$4="Yes",0,INDEX(Calculations!AH$54:AH$66,MATCH(SourceE!$S29,Calculations!$A$9:$A$21,0))),0)</f>
        <v>0</v>
      </c>
      <c r="AA29" s="103">
        <f>IFERROR(IF(AA$4="Yes",0,INDEX(Calculations!AI$54:AI$66,MATCH(SourceE!$S29,Calculations!$A$9:$A$21,0))),0)</f>
        <v>0</v>
      </c>
      <c r="AB29" s="103">
        <f>IFERROR(IF(AB$4="Yes",0,INDEX(Calculations!AJ$54:AJ$66,MATCH(SourceE!$S29,Calculations!$A$9:$A$21,0))),0)</f>
        <v>0</v>
      </c>
      <c r="AC29" s="103">
        <f>IFERROR(IF(AC$4="Yes",0,INDEX(Calculations!AK$54:AK$66,MATCH(SourceE!$S29,Calculations!$A$9:$A$21,0))),0)</f>
        <v>0</v>
      </c>
      <c r="AD29" s="103">
        <f>IFERROR(IF(AD$4="Yes",0,INDEX(Calculations!AL$54:AL$66,MATCH(SourceE!$S29,Calculations!$A$9:$A$21,0))),0)</f>
        <v>0</v>
      </c>
      <c r="AE29" s="103">
        <f>IFERROR(IF(AE$4="Yes",0,INDEX(Calculations!AM$54:AM$66,MATCH(SourceE!$S29,Calculations!$A$9:$A$21,0))),0)</f>
        <v>0</v>
      </c>
      <c r="AF29" s="103">
        <f>IFERROR(IF(AF$4="Yes",0,INDEX(Calculations!AN$54:AN$66,MATCH(SourceE!$S29,Calculations!$A$9:$A$21,0))),0)</f>
        <v>0</v>
      </c>
      <c r="AG29" s="103">
        <f>IFERROR(IF(AG$4="Yes",0,INDEX(Calculations!AO$54:AO$66,MATCH(SourceE!$S29,Calculations!$A$9:$A$21,0))),0)</f>
        <v>0</v>
      </c>
      <c r="AH29" s="103">
        <f>IFERROR(IF(AH$4="Yes",0,INDEX(Calculations!AP$54:AP$66,MATCH(SourceE!$S29,Calculations!$A$9:$A$21,0))),0)</f>
        <v>0</v>
      </c>
      <c r="AI29" s="103">
        <f>IFERROR(IF(AI$4="Yes",0,INDEX(Calculations!AQ$54:AQ$66,MATCH(SourceE!$S29,Calculations!$A$9:$A$21,0))),0)</f>
        <v>0</v>
      </c>
      <c r="AJ29" s="103">
        <f>IFERROR(IF(AJ$4="Yes",0,INDEX(Calculations!AR$54:AR$66,MATCH(SourceE!$S29,Calculations!$A$9:$A$21,0))),0)</f>
        <v>0</v>
      </c>
      <c r="AK29" s="126">
        <f>IFERROR(SUM(U29:AI29)*'Project Info'!$D$28,0)</f>
        <v>0</v>
      </c>
      <c r="AL29" s="103">
        <f>IFERROR(INDEX(Calculations!BC$54:BC$66,MATCH(SourceE!$S29,Calculations!$A$9:$A$21,0))*-1,0)</f>
        <v>0</v>
      </c>
      <c r="AM29" s="103">
        <f>IFERROR(INDEX(Calculations!BD$54:BD$66,MATCH(SourceE!$S29,Calculations!$A$9:$A$21,0))*-1,0)</f>
        <v>0</v>
      </c>
      <c r="AN29" s="125">
        <f ca="1">IFERROR(SUM(OFFSET(Calculations!BE$54,MATCH($S29,Calculations!$A$9:$A$21,0)-1,0,1,4))*-1,0)</f>
        <v>0</v>
      </c>
      <c r="AO29" s="103">
        <f t="shared" ca="1" si="3"/>
        <v>0</v>
      </c>
      <c r="AP29" s="17"/>
      <c r="AQ29" s="4"/>
      <c r="AW29" s="103">
        <f>IFERROR(INDEX(Calculations!BL$24:BL$36,MATCH($S29,Calculations!$A$24:$A$36,0)),0)</f>
        <v>0</v>
      </c>
      <c r="AX29" s="103">
        <f>IFERROR(INDEX(Calculations!BM$24:BM$36,MATCH($S29,Calculations!$A$24:$A$36,0)),0)</f>
        <v>0</v>
      </c>
      <c r="AY29" s="103">
        <f>IFERROR(INDEX(Calculations!BN$24:BN$36,MATCH($S29,Calculations!$A$24:$A$36,0)),0)</f>
        <v>0</v>
      </c>
      <c r="AZ29" s="103">
        <f>IFERROR(INDEX(Calculations!BO$24:BO$36,MATCH($S29,Calculations!$A$24:$A$36,0)),0)</f>
        <v>0</v>
      </c>
      <c r="BA29" s="103">
        <f>IFERROR(INDEX(Calculations!BP$24:BP$36,MATCH($S29,Calculations!$A$24:$A$36,0)),0)</f>
        <v>0</v>
      </c>
    </row>
    <row r="30" spans="17:53">
      <c r="Q30" s="12"/>
      <c r="S30" s="20" t="str">
        <f>SiteE!S30</f>
        <v xml:space="preserve"> </v>
      </c>
      <c r="U30" s="103">
        <f>IFERROR(IF(U$4="Yes",0,INDEX(Calculations!AC$54:AC$66,MATCH(SourceE!$S30,Calculations!$A$9:$A$21,0))),0)</f>
        <v>0</v>
      </c>
      <c r="V30" s="103">
        <f>IFERROR(IF(V$4="Yes",0,INDEX(Calculations!AD$54:AD$66,MATCH(SourceE!$S30,Calculations!$A$9:$A$21,0))),0)</f>
        <v>0</v>
      </c>
      <c r="W30" s="103">
        <f>IFERROR(IF(W$4="Yes",0,INDEX(Calculations!AE$54:AE$66,MATCH(SourceE!$S30,Calculations!$A$9:$A$21,0))),0)</f>
        <v>0</v>
      </c>
      <c r="X30" s="103">
        <f>IFERROR(IF(X$4="Yes",0,INDEX(Calculations!AF$54:AF$66,MATCH(SourceE!$S30,Calculations!$A$9:$A$21,0))),0)</f>
        <v>0</v>
      </c>
      <c r="Y30" s="103">
        <f>IFERROR(IF(Y$4="Yes",0,INDEX(Calculations!AG$54:AG$66,MATCH(SourceE!$S30,Calculations!$A$9:$A$21,0))),0)</f>
        <v>0</v>
      </c>
      <c r="Z30" s="103">
        <f>IFERROR(IF(Z$4="Yes",0,INDEX(Calculations!AH$54:AH$66,MATCH(SourceE!$S30,Calculations!$A$9:$A$21,0))),0)</f>
        <v>0</v>
      </c>
      <c r="AA30" s="103">
        <f>IFERROR(IF(AA$4="Yes",0,INDEX(Calculations!AI$54:AI$66,MATCH(SourceE!$S30,Calculations!$A$9:$A$21,0))),0)</f>
        <v>0</v>
      </c>
      <c r="AB30" s="103">
        <f>IFERROR(IF(AB$4="Yes",0,INDEX(Calculations!AJ$54:AJ$66,MATCH(SourceE!$S30,Calculations!$A$9:$A$21,0))),0)</f>
        <v>0</v>
      </c>
      <c r="AC30" s="103">
        <f>IFERROR(IF(AC$4="Yes",0,INDEX(Calculations!AK$54:AK$66,MATCH(SourceE!$S30,Calculations!$A$9:$A$21,0))),0)</f>
        <v>0</v>
      </c>
      <c r="AD30" s="103">
        <f>IFERROR(IF(AD$4="Yes",0,INDEX(Calculations!AL$54:AL$66,MATCH(SourceE!$S30,Calculations!$A$9:$A$21,0))),0)</f>
        <v>0</v>
      </c>
      <c r="AE30" s="103">
        <f>IFERROR(IF(AE$4="Yes",0,INDEX(Calculations!AM$54:AM$66,MATCH(SourceE!$S30,Calculations!$A$9:$A$21,0))),0)</f>
        <v>0</v>
      </c>
      <c r="AF30" s="103">
        <f>IFERROR(IF(AF$4="Yes",0,INDEX(Calculations!AN$54:AN$66,MATCH(SourceE!$S30,Calculations!$A$9:$A$21,0))),0)</f>
        <v>0</v>
      </c>
      <c r="AG30" s="103">
        <f>IFERROR(IF(AG$4="Yes",0,INDEX(Calculations!AO$54:AO$66,MATCH(SourceE!$S30,Calculations!$A$9:$A$21,0))),0)</f>
        <v>0</v>
      </c>
      <c r="AH30" s="103">
        <f>IFERROR(IF(AH$4="Yes",0,INDEX(Calculations!AP$54:AP$66,MATCH(SourceE!$S30,Calculations!$A$9:$A$21,0))),0)</f>
        <v>0</v>
      </c>
      <c r="AI30" s="103">
        <f>IFERROR(IF(AI$4="Yes",0,INDEX(Calculations!AQ$54:AQ$66,MATCH(SourceE!$S30,Calculations!$A$9:$A$21,0))),0)</f>
        <v>0</v>
      </c>
      <c r="AJ30" s="103">
        <f>IFERROR(IF(AJ$4="Yes",0,INDEX(Calculations!AR$54:AR$66,MATCH(SourceE!$S30,Calculations!$A$9:$A$21,0))),0)</f>
        <v>0</v>
      </c>
      <c r="AK30" s="126">
        <f>IFERROR(SUM(U30:AI30)*'Project Info'!$D$28,0)</f>
        <v>0</v>
      </c>
      <c r="AL30" s="103">
        <f>IFERROR(INDEX(Calculations!BC$54:BC$66,MATCH(SourceE!$S30,Calculations!$A$9:$A$21,0))*-1,0)</f>
        <v>0</v>
      </c>
      <c r="AM30" s="103">
        <f>IFERROR(INDEX(Calculations!BD$54:BD$66,MATCH(SourceE!$S30,Calculations!$A$9:$A$21,0))*-1,0)</f>
        <v>0</v>
      </c>
      <c r="AN30" s="125">
        <f ca="1">IFERROR(SUM(OFFSET(Calculations!BE$54,MATCH($S30,Calculations!$A$9:$A$21,0)-1,0,1,4))*-1,0)</f>
        <v>0</v>
      </c>
      <c r="AO30" s="103">
        <f t="shared" ca="1" si="3"/>
        <v>0</v>
      </c>
      <c r="AP30" s="17"/>
      <c r="AQ30" s="4"/>
      <c r="AW30" s="103">
        <f>IFERROR(INDEX(Calculations!BL$24:BL$36,MATCH($S30,Calculations!$A$24:$A$36,0)),0)</f>
        <v>0</v>
      </c>
      <c r="AX30" s="103">
        <f>IFERROR(INDEX(Calculations!BM$24:BM$36,MATCH($S30,Calculations!$A$24:$A$36,0)),0)</f>
        <v>0</v>
      </c>
      <c r="AY30" s="103">
        <f>IFERROR(INDEX(Calculations!BN$24:BN$36,MATCH($S30,Calculations!$A$24:$A$36,0)),0)</f>
        <v>0</v>
      </c>
      <c r="AZ30" s="103">
        <f>IFERROR(INDEX(Calculations!BO$24:BO$36,MATCH($S30,Calculations!$A$24:$A$36,0)),0)</f>
        <v>0</v>
      </c>
      <c r="BA30" s="103">
        <f>IFERROR(INDEX(Calculations!BP$24:BP$36,MATCH($S30,Calculations!$A$24:$A$36,0)),0)</f>
        <v>0</v>
      </c>
    </row>
    <row r="31" spans="17:53">
      <c r="Q31" s="12"/>
      <c r="S31" s="20" t="str">
        <f>SiteE!S31</f>
        <v xml:space="preserve"> </v>
      </c>
      <c r="U31" s="103">
        <f>IFERROR(IF(U$4="Yes",0,INDEX(Calculations!AC$54:AC$66,MATCH(SourceE!$S31,Calculations!$A$9:$A$21,0))),0)</f>
        <v>0</v>
      </c>
      <c r="V31" s="103">
        <f>IFERROR(IF(V$4="Yes",0,INDEX(Calculations!AD$54:AD$66,MATCH(SourceE!$S31,Calculations!$A$9:$A$21,0))),0)</f>
        <v>0</v>
      </c>
      <c r="W31" s="103">
        <f>IFERROR(IF(W$4="Yes",0,INDEX(Calculations!AE$54:AE$66,MATCH(SourceE!$S31,Calculations!$A$9:$A$21,0))),0)</f>
        <v>0</v>
      </c>
      <c r="X31" s="103">
        <f>IFERROR(IF(X$4="Yes",0,INDEX(Calculations!AF$54:AF$66,MATCH(SourceE!$S31,Calculations!$A$9:$A$21,0))),0)</f>
        <v>0</v>
      </c>
      <c r="Y31" s="103">
        <f>IFERROR(IF(Y$4="Yes",0,INDEX(Calculations!AG$54:AG$66,MATCH(SourceE!$S31,Calculations!$A$9:$A$21,0))),0)</f>
        <v>0</v>
      </c>
      <c r="Z31" s="103">
        <f>IFERROR(IF(Z$4="Yes",0,INDEX(Calculations!AH$54:AH$66,MATCH(SourceE!$S31,Calculations!$A$9:$A$21,0))),0)</f>
        <v>0</v>
      </c>
      <c r="AA31" s="103">
        <f>IFERROR(IF(AA$4="Yes",0,INDEX(Calculations!AI$54:AI$66,MATCH(SourceE!$S31,Calculations!$A$9:$A$21,0))),0)</f>
        <v>0</v>
      </c>
      <c r="AB31" s="103">
        <f>IFERROR(IF(AB$4="Yes",0,INDEX(Calculations!AJ$54:AJ$66,MATCH(SourceE!$S31,Calculations!$A$9:$A$21,0))),0)</f>
        <v>0</v>
      </c>
      <c r="AC31" s="103">
        <f>IFERROR(IF(AC$4="Yes",0,INDEX(Calculations!AK$54:AK$66,MATCH(SourceE!$S31,Calculations!$A$9:$A$21,0))),0)</f>
        <v>0</v>
      </c>
      <c r="AD31" s="103">
        <f>IFERROR(IF(AD$4="Yes",0,INDEX(Calculations!AL$54:AL$66,MATCH(SourceE!$S31,Calculations!$A$9:$A$21,0))),0)</f>
        <v>0</v>
      </c>
      <c r="AE31" s="103">
        <f>IFERROR(IF(AE$4="Yes",0,INDEX(Calculations!AM$54:AM$66,MATCH(SourceE!$S31,Calculations!$A$9:$A$21,0))),0)</f>
        <v>0</v>
      </c>
      <c r="AF31" s="103">
        <f>IFERROR(IF(AF$4="Yes",0,INDEX(Calculations!AN$54:AN$66,MATCH(SourceE!$S31,Calculations!$A$9:$A$21,0))),0)</f>
        <v>0</v>
      </c>
      <c r="AG31" s="103">
        <f>IFERROR(IF(AG$4="Yes",0,INDEX(Calculations!AO$54:AO$66,MATCH(SourceE!$S31,Calculations!$A$9:$A$21,0))),0)</f>
        <v>0</v>
      </c>
      <c r="AH31" s="103">
        <f>IFERROR(IF(AH$4="Yes",0,INDEX(Calculations!AP$54:AP$66,MATCH(SourceE!$S31,Calculations!$A$9:$A$21,0))),0)</f>
        <v>0</v>
      </c>
      <c r="AI31" s="103">
        <f>IFERROR(IF(AI$4="Yes",0,INDEX(Calculations!AQ$54:AQ$66,MATCH(SourceE!$S31,Calculations!$A$9:$A$21,0))),0)</f>
        <v>0</v>
      </c>
      <c r="AJ31" s="103">
        <f>IFERROR(IF(AJ$4="Yes",0,INDEX(Calculations!AR$54:AR$66,MATCH(SourceE!$S31,Calculations!$A$9:$A$21,0))),0)</f>
        <v>0</v>
      </c>
      <c r="AK31" s="126">
        <f>IFERROR(SUM(U31:AI31)*'Project Info'!$D$28,0)</f>
        <v>0</v>
      </c>
      <c r="AL31" s="103">
        <f>IFERROR(INDEX(Calculations!BC$54:BC$66,MATCH(SourceE!$S31,Calculations!$A$9:$A$21,0))*-1,0)</f>
        <v>0</v>
      </c>
      <c r="AM31" s="103">
        <f>IFERROR(INDEX(Calculations!BD$54:BD$66,MATCH(SourceE!$S31,Calculations!$A$9:$A$21,0))*-1,0)</f>
        <v>0</v>
      </c>
      <c r="AN31" s="125">
        <f ca="1">IFERROR(SUM(OFFSET(Calculations!BE$54,MATCH($S31,Calculations!$A$9:$A$21,0)-1,0,1,4))*-1,0)</f>
        <v>0</v>
      </c>
      <c r="AO31" s="103">
        <f t="shared" ca="1" si="3"/>
        <v>0</v>
      </c>
      <c r="AP31" s="17"/>
      <c r="AQ31" s="4"/>
      <c r="AW31" s="103">
        <f>IFERROR(INDEX(Calculations!BL$24:BL$36,MATCH($S31,Calculations!$A$24:$A$36,0)),0)</f>
        <v>0</v>
      </c>
      <c r="AX31" s="103">
        <f>IFERROR(INDEX(Calculations!BM$24:BM$36,MATCH($S31,Calculations!$A$24:$A$36,0)),0)</f>
        <v>0</v>
      </c>
      <c r="AY31" s="103">
        <f>IFERROR(INDEX(Calculations!BN$24:BN$36,MATCH($S31,Calculations!$A$24:$A$36,0)),0)</f>
        <v>0</v>
      </c>
      <c r="AZ31" s="103">
        <f>IFERROR(INDEX(Calculations!BO$24:BO$36,MATCH($S31,Calculations!$A$24:$A$36,0)),0)</f>
        <v>0</v>
      </c>
      <c r="BA31" s="103">
        <f>IFERROR(INDEX(Calculations!BP$24:BP$36,MATCH($S31,Calculations!$A$24:$A$36,0)),0)</f>
        <v>0</v>
      </c>
    </row>
    <row r="32" spans="17:53">
      <c r="Q32" s="12"/>
    </row>
    <row r="33" spans="17:17">
      <c r="Q33" s="12"/>
    </row>
    <row r="34" spans="17:17">
      <c r="Q34" s="12"/>
    </row>
    <row r="35" spans="17:17">
      <c r="Q35" s="12"/>
    </row>
    <row r="36" spans="17:17">
      <c r="Q36" s="12"/>
    </row>
    <row r="37" spans="17:17">
      <c r="Q37" s="12"/>
    </row>
    <row r="38" spans="17:17">
      <c r="Q38" s="12"/>
    </row>
    <row r="39" spans="17:17">
      <c r="Q39" s="12"/>
    </row>
    <row r="40" spans="17:17">
      <c r="Q40" s="12"/>
    </row>
    <row r="41" spans="17:17">
      <c r="Q41" s="12"/>
    </row>
    <row r="42" spans="17:17">
      <c r="Q42" s="12"/>
    </row>
    <row r="43" spans="17:17">
      <c r="Q43" s="12"/>
    </row>
    <row r="44" spans="17:17">
      <c r="Q44" s="12"/>
    </row>
    <row r="45" spans="17:17">
      <c r="Q45" s="12"/>
    </row>
    <row r="46" spans="17:17">
      <c r="Q46" s="12"/>
    </row>
    <row r="47" spans="17:17">
      <c r="Q47" s="12"/>
    </row>
    <row r="48" spans="17:17">
      <c r="Q48" s="12"/>
    </row>
    <row r="49" spans="11:17">
      <c r="Q49" s="12"/>
    </row>
    <row r="50" spans="11:17">
      <c r="Q50" s="12"/>
    </row>
    <row r="51" spans="11:17">
      <c r="Q51" s="12"/>
    </row>
    <row r="52" spans="11:17">
      <c r="Q52" s="12"/>
    </row>
    <row r="53" spans="11:17">
      <c r="Q53" s="12"/>
    </row>
    <row r="54" spans="11:17">
      <c r="Q54" s="12"/>
    </row>
    <row r="55" spans="11:17">
      <c r="Q55" s="12"/>
    </row>
    <row r="56" spans="11:17">
      <c r="Q56" s="12"/>
    </row>
    <row r="57" spans="11:17">
      <c r="Q57" s="12"/>
    </row>
    <row r="58" spans="11:17">
      <c r="Q58" s="12"/>
    </row>
    <row r="59" spans="11:17">
      <c r="Q59" s="12"/>
    </row>
    <row r="60" spans="11:17">
      <c r="K60" s="1" t="s">
        <v>210</v>
      </c>
      <c r="Q60" s="12"/>
    </row>
    <row r="61" spans="11:17">
      <c r="Q61" s="12"/>
    </row>
    <row r="62" spans="11:17">
      <c r="Q62" s="12"/>
    </row>
    <row r="63" spans="11:17">
      <c r="Q63" s="12"/>
    </row>
    <row r="64" spans="11:17">
      <c r="Q64" s="12"/>
    </row>
  </sheetData>
  <dataValidations disablePrompts="1" count="1">
    <dataValidation type="list" allowBlank="1" showInputMessage="1" showErrorMessage="1" sqref="B4" xr:uid="{BE22CCAA-27B9-475A-BB1B-2E1AE6622F20}">
      <formula1>Result_Set</formula1>
    </dataValidation>
  </dataValidations>
  <pageMargins left="0.7" right="0.7" top="0.75" bottom="0.75" header="0.3" footer="0.3"/>
  <pageSetup paperSize="258" orientation="portrait" horizontalDpi="300"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E6F719-3CBB-46A0-A4D5-B281EF1329B7}">
  <sheetPr>
    <tabColor theme="0" tint="-0.249977111117893"/>
  </sheetPr>
  <dimension ref="A1:BA64"/>
  <sheetViews>
    <sheetView showGridLines="0" topLeftCell="A7" zoomScaleNormal="100" workbookViewId="0">
      <selection activeCell="J35" sqref="J35"/>
    </sheetView>
  </sheetViews>
  <sheetFormatPr defaultColWidth="9.109375" defaultRowHeight="15"/>
  <cols>
    <col min="1" max="1" width="3.5546875" style="1" customWidth="1"/>
    <col min="2" max="2" width="27.5546875" style="1" customWidth="1"/>
    <col min="3" max="3" width="10.5546875" style="1" customWidth="1"/>
    <col min="4" max="15" width="18.5546875" style="1" customWidth="1"/>
    <col min="16" max="16" width="3.5546875" style="1" customWidth="1"/>
    <col min="17" max="17" width="9.109375" style="1"/>
    <col min="18" max="18" width="3.5546875" style="1" customWidth="1"/>
    <col min="19" max="37" width="10.5546875" style="1" customWidth="1"/>
    <col min="38" max="40" width="9.109375" style="1"/>
    <col min="41" max="41" width="15.5546875" style="1" customWidth="1"/>
    <col min="42" max="42" width="3.5546875" style="1" customWidth="1"/>
    <col min="43" max="43" width="10.5546875" style="1" bestFit="1" customWidth="1"/>
    <col min="44" max="44" width="3.5546875" style="1" customWidth="1"/>
    <col min="45" max="47" width="15.5546875" style="1" customWidth="1"/>
    <col min="48" max="48" width="9.109375" style="1"/>
    <col min="49" max="53" width="12.5546875" style="1" customWidth="1"/>
    <col min="54" max="16384" width="9.109375" style="1"/>
  </cols>
  <sheetData>
    <row r="1" spans="1:53">
      <c r="A1" s="76" t="str">
        <f>Menus!C26</f>
        <v>Carbon Emissions</v>
      </c>
      <c r="B1" s="77"/>
      <c r="C1" s="77"/>
      <c r="D1" s="77"/>
      <c r="E1" s="77"/>
      <c r="F1" s="77"/>
      <c r="G1" s="77"/>
      <c r="H1" s="77"/>
      <c r="I1" s="77"/>
      <c r="J1" s="77"/>
      <c r="K1" s="77"/>
      <c r="L1" s="77"/>
      <c r="M1" s="77"/>
      <c r="N1" s="77"/>
      <c r="O1" s="77"/>
      <c r="P1" s="77"/>
      <c r="Q1" s="77"/>
      <c r="R1" s="77"/>
      <c r="S1" s="77"/>
      <c r="T1" s="77"/>
      <c r="U1" s="77"/>
      <c r="V1" s="77"/>
      <c r="W1" s="77"/>
      <c r="X1" s="77"/>
      <c r="Y1" s="77"/>
      <c r="Z1" s="77"/>
      <c r="AA1" s="77"/>
      <c r="AB1" s="77"/>
      <c r="AC1" s="77"/>
      <c r="AD1" s="77"/>
      <c r="AE1" s="77"/>
      <c r="AF1" s="77"/>
      <c r="AG1" s="77"/>
      <c r="AH1" s="77"/>
      <c r="AI1" s="77"/>
      <c r="AJ1" s="77"/>
      <c r="AK1" s="77"/>
      <c r="AL1" s="77"/>
      <c r="AM1" s="77"/>
      <c r="AN1" s="77"/>
      <c r="AO1" s="77"/>
      <c r="AP1" s="77"/>
      <c r="AQ1" s="77"/>
      <c r="AR1" s="77"/>
      <c r="AS1" s="77"/>
      <c r="AT1" s="77"/>
      <c r="AU1" s="77"/>
      <c r="AV1" s="77"/>
      <c r="AW1" s="77"/>
      <c r="AX1" s="77"/>
      <c r="AY1" s="77"/>
      <c r="AZ1" s="77"/>
      <c r="BA1" s="77"/>
    </row>
    <row r="2" spans="1:53">
      <c r="D2" s="7"/>
      <c r="Q2" s="12"/>
      <c r="S2" s="4" t="str">
        <f>SiteE!S2</f>
        <v>LEED</v>
      </c>
      <c r="U2" s="4" t="str">
        <f>IF(AND(S2=Menus!I7,'Project Info'!D16="No"),"No","Yes")</f>
        <v>Yes</v>
      </c>
    </row>
    <row r="3" spans="1:53" s="15" customFormat="1" ht="28.2">
      <c r="B3" s="41"/>
      <c r="D3" s="17"/>
      <c r="E3" s="17"/>
      <c r="F3" s="17"/>
      <c r="G3" s="17"/>
      <c r="H3" s="17"/>
      <c r="I3" s="17"/>
      <c r="J3" s="17"/>
      <c r="K3" s="17"/>
      <c r="L3" s="17"/>
      <c r="M3" s="17"/>
      <c r="N3" s="17"/>
      <c r="O3" s="17"/>
      <c r="Q3" s="16"/>
      <c r="S3" s="17">
        <f>SiteE!S3</f>
        <v>1</v>
      </c>
      <c r="U3" s="17" t="str">
        <f>Calculations!AC4</f>
        <v>Heating</v>
      </c>
      <c r="V3" s="17" t="str">
        <f>Calculations!AD4</f>
        <v>Cooling</v>
      </c>
      <c r="W3" s="17" t="str">
        <f>Calculations!AE4</f>
        <v>Lighting</v>
      </c>
      <c r="X3" s="17" t="str">
        <f>Calculations!AF4</f>
        <v>Exterior Lighting</v>
      </c>
      <c r="Y3" s="17" t="str">
        <f>Calculations!AG4</f>
        <v>Equipment</v>
      </c>
      <c r="Z3" s="17" t="str">
        <f>Calculations!AH4</f>
        <v>Exterior Equipment</v>
      </c>
      <c r="AA3" s="17" t="str">
        <f>Calculations!AI4</f>
        <v>Fans</v>
      </c>
      <c r="AB3" s="17" t="str">
        <f>Calculations!AJ4</f>
        <v>Pumps</v>
      </c>
      <c r="AC3" s="17" t="str">
        <f>Calculations!AK4</f>
        <v>Heat Rejection</v>
      </c>
      <c r="AD3" s="17" t="str">
        <f>Calculations!AL4</f>
        <v>Humidification</v>
      </c>
      <c r="AE3" s="17" t="str">
        <f>Calculations!AM4</f>
        <v>Heat Recovery</v>
      </c>
      <c r="AF3" s="17" t="str">
        <f>Calculations!AN4</f>
        <v>Water Systems</v>
      </c>
      <c r="AG3" s="17" t="str">
        <f>Calculations!AO4</f>
        <v>Refrigeration</v>
      </c>
      <c r="AH3" s="17" t="str">
        <f>Calculations!AP4</f>
        <v>Generators</v>
      </c>
      <c r="AI3" s="17" t="str">
        <f>IF(ISBLANK('Project Info'!I10)," ",'Project Info'!I10)</f>
        <v xml:space="preserve"> </v>
      </c>
      <c r="AJ3" s="17" t="str">
        <f>IF(ISBLANK('Project Info'!J10)," ",'Project Info'!J10)</f>
        <v xml:space="preserve"> </v>
      </c>
      <c r="AK3" s="43" t="s">
        <v>206</v>
      </c>
      <c r="AL3" s="17" t="s">
        <v>201</v>
      </c>
      <c r="AM3" s="17" t="s">
        <v>202</v>
      </c>
      <c r="AN3" s="44" t="s">
        <v>207</v>
      </c>
      <c r="AO3" s="17" t="s">
        <v>174</v>
      </c>
      <c r="AP3" s="17"/>
      <c r="AQ3" s="17" t="s">
        <v>208</v>
      </c>
      <c r="AR3" s="17"/>
    </row>
    <row r="4" spans="1:53">
      <c r="B4" s="35"/>
      <c r="C4" s="19"/>
      <c r="E4" s="4"/>
      <c r="F4" s="4"/>
      <c r="G4" s="4"/>
      <c r="H4" s="4"/>
      <c r="I4" s="4"/>
      <c r="J4" s="4"/>
      <c r="K4" s="4"/>
      <c r="L4" s="4"/>
      <c r="M4" s="4"/>
      <c r="N4" s="4"/>
      <c r="O4" s="4"/>
      <c r="Q4" s="16"/>
      <c r="R4" s="15"/>
      <c r="S4" s="17"/>
      <c r="T4" s="15"/>
      <c r="U4" s="17" t="str">
        <f>IF(AND($S$2=Menus!$I$7,'Project Info'!$D$16="No"),Calculations!AC$6,"No")</f>
        <v>No</v>
      </c>
      <c r="V4" s="17" t="str">
        <f>IF(AND($S$2=Menus!$I$7,'Project Info'!$D$16="No"),Calculations!AD$6,"No")</f>
        <v>No</v>
      </c>
      <c r="W4" s="17" t="str">
        <f>IF(AND($S$2=Menus!$I$7,'Project Info'!$D$16="No"),Calculations!AE$6,"No")</f>
        <v>No</v>
      </c>
      <c r="X4" s="17" t="str">
        <f>IF(AND($S$2=Menus!$I$7,'Project Info'!$D$16="No"),Calculations!AF$6,"No")</f>
        <v>No</v>
      </c>
      <c r="Y4" s="17" t="str">
        <f>IF(AND($S$2=Menus!$I$7,'Project Info'!$D$16="No"),Calculations!AG$6,"No")</f>
        <v>No</v>
      </c>
      <c r="Z4" s="17" t="str">
        <f>IF(AND($S$2=Menus!$I$7,'Project Info'!$D$16="No"),Calculations!AH$6,"No")</f>
        <v>No</v>
      </c>
      <c r="AA4" s="17" t="str">
        <f>IF(AND($S$2=Menus!$I$7,'Project Info'!$D$16="No"),Calculations!AI$6,"No")</f>
        <v>No</v>
      </c>
      <c r="AB4" s="17" t="str">
        <f>IF(AND($S$2=Menus!$I$7,'Project Info'!$D$16="No"),Calculations!AJ$6,"No")</f>
        <v>No</v>
      </c>
      <c r="AC4" s="17" t="str">
        <f>IF(AND($S$2=Menus!$I$7,'Project Info'!$D$16="No"),Calculations!AK$6,"No")</f>
        <v>No</v>
      </c>
      <c r="AD4" s="17" t="str">
        <f>IF(AND($S$2=Menus!$I$7,'Project Info'!$D$16="No"),Calculations!AL$6,"No")</f>
        <v>No</v>
      </c>
      <c r="AE4" s="17" t="str">
        <f>IF(AND($S$2=Menus!$I$7,'Project Info'!$D$16="No"),Calculations!AM$6,"No")</f>
        <v>No</v>
      </c>
      <c r="AF4" s="17" t="str">
        <f>IF(AND($S$2=Menus!$I$7,'Project Info'!$D$16="No"),Calculations!AN$6,"No")</f>
        <v>No</v>
      </c>
      <c r="AG4" s="17" t="str">
        <f>IF(AND($S$2=Menus!$I$7,'Project Info'!$D$16="No"),Calculations!AO$6,"No")</f>
        <v>No</v>
      </c>
      <c r="AH4" s="17" t="str">
        <f>IF(AND($S$2=Menus!$I$7,'Project Info'!$D$16="No"),Calculations!AP$6,"No")</f>
        <v>No</v>
      </c>
      <c r="AI4" s="17" t="str">
        <f>IF(AND($S$2=Menus!$I$7,'Project Info'!$D$16="No"),Calculations!AQ$6,"No")</f>
        <v>No</v>
      </c>
      <c r="AJ4" s="17" t="str">
        <f>IF(AND($S$2=Menus!$I$7,'Project Info'!$D$16="No"),Calculations!AR$6,"No")</f>
        <v>No</v>
      </c>
      <c r="AK4" s="43"/>
      <c r="AL4" s="17"/>
      <c r="AM4" s="17"/>
      <c r="AN4" s="44"/>
      <c r="AO4" s="17"/>
      <c r="AP4" s="17"/>
      <c r="AQ4" s="17"/>
      <c r="AR4" s="17"/>
      <c r="AS4" s="15"/>
      <c r="AT4" s="15"/>
      <c r="AU4" s="15"/>
      <c r="AW4" s="18" t="s">
        <v>59</v>
      </c>
      <c r="AX4" s="18" t="s">
        <v>60</v>
      </c>
      <c r="AY4" s="18" t="s">
        <v>194</v>
      </c>
      <c r="AZ4" s="18" t="s">
        <v>102</v>
      </c>
      <c r="BA4" s="18" t="s">
        <v>103</v>
      </c>
    </row>
    <row r="5" spans="1:53" ht="28.8" thickBot="1">
      <c r="B5" s="62" t="str">
        <f>_xlfn.CONCAT(A1," Summary")</f>
        <v>Carbon Emissions Summary</v>
      </c>
      <c r="C5" s="61"/>
      <c r="D5" s="193" t="str">
        <f>SiteE!D5</f>
        <v>Proposed Design</v>
      </c>
      <c r="E5" s="193" t="str">
        <f>SiteE!E5</f>
        <v xml:space="preserve"> </v>
      </c>
      <c r="F5" s="193" t="str">
        <f>SiteE!F5</f>
        <v xml:space="preserve"> </v>
      </c>
      <c r="G5" s="193" t="str">
        <f>SiteE!G5</f>
        <v xml:space="preserve"> </v>
      </c>
      <c r="H5" s="193" t="str">
        <f>SiteE!H5</f>
        <v xml:space="preserve"> </v>
      </c>
      <c r="I5" s="193" t="str">
        <f>SiteE!I5</f>
        <v xml:space="preserve"> </v>
      </c>
      <c r="J5" s="193" t="str">
        <f>SiteE!J5</f>
        <v xml:space="preserve"> </v>
      </c>
      <c r="K5" s="193" t="str">
        <f>SiteE!K5</f>
        <v xml:space="preserve"> </v>
      </c>
      <c r="L5" s="193" t="str">
        <f>SiteE!L5</f>
        <v xml:space="preserve"> </v>
      </c>
      <c r="M5" s="193" t="str">
        <f>SiteE!M5</f>
        <v xml:space="preserve"> </v>
      </c>
      <c r="N5" s="193" t="str">
        <f>SiteE!N5</f>
        <v xml:space="preserve"> </v>
      </c>
      <c r="O5" s="193" t="str">
        <f>SiteE!O5</f>
        <v xml:space="preserve"> </v>
      </c>
      <c r="Q5" s="16"/>
      <c r="R5" s="15"/>
      <c r="S5" s="61" t="str">
        <f>Calculations!A68</f>
        <v>Carbon Emissions (kg CO2e)</v>
      </c>
      <c r="T5" s="193"/>
      <c r="U5" s="193"/>
      <c r="V5" s="193"/>
      <c r="W5" s="193"/>
      <c r="X5" s="193"/>
      <c r="Y5" s="193"/>
      <c r="Z5" s="193"/>
      <c r="AA5" s="193"/>
      <c r="AB5" s="193"/>
      <c r="AC5" s="193"/>
      <c r="AD5" s="193"/>
      <c r="AE5" s="193"/>
      <c r="AF5" s="193"/>
      <c r="AG5" s="193"/>
      <c r="AH5" s="193"/>
      <c r="AI5" s="193"/>
      <c r="AJ5" s="193"/>
      <c r="AK5" s="193"/>
      <c r="AL5" s="193"/>
      <c r="AM5" s="193"/>
      <c r="AN5" s="193"/>
      <c r="AO5" s="193"/>
      <c r="AP5" s="193"/>
      <c r="AQ5" s="193"/>
      <c r="AR5" s="193"/>
      <c r="AS5" s="193"/>
      <c r="AT5" s="193"/>
      <c r="AU5" s="193"/>
      <c r="AV5" s="193"/>
      <c r="AW5" s="193"/>
      <c r="AX5" s="193"/>
      <c r="AY5" s="193"/>
      <c r="AZ5" s="193"/>
      <c r="BA5" s="193"/>
    </row>
    <row r="6" spans="1:53">
      <c r="B6" s="59" t="s">
        <v>59</v>
      </c>
      <c r="C6" s="59" t="str">
        <f>_xlfn.CONCAT(IF('Project Info'!$I$4="SI",Menus!$G$6,Menus!$G$7))</f>
        <v>kg CO2e</v>
      </c>
      <c r="D6" s="71">
        <f>IFERROR(INDEX(Calculations!$BL$69:$BQ$81,MATCH(D$5,Calculations!$A$69:$A$81,0),MATCH($B6,Calculations!$BL$5:$BQ$5,0)),0)</f>
        <v>81633.839428628373</v>
      </c>
      <c r="E6" s="71">
        <f>IFERROR(INDEX(Calculations!$BL$69:$BQ$81,MATCH(E$5,Calculations!$A$69:$A$81,0),MATCH($B6,Calculations!$BL$5:$BQ$5,0)),0)</f>
        <v>0</v>
      </c>
      <c r="F6" s="71">
        <f>IFERROR(INDEX(Calculations!$BL$69:$BQ$81,MATCH(F$5,Calculations!$A$69:$A$81,0),MATCH($B6,Calculations!$BL$5:$BQ$5,0)),0)</f>
        <v>0</v>
      </c>
      <c r="G6" s="71">
        <f>IFERROR(INDEX(Calculations!$BL$69:$BQ$81,MATCH(G$5,Calculations!$A$69:$A$81,0),MATCH($B6,Calculations!$BL$5:$BQ$5,0)),0)</f>
        <v>0</v>
      </c>
      <c r="H6" s="71">
        <f>IFERROR(INDEX(Calculations!$BL$69:$BQ$81,MATCH(H$5,Calculations!$A$69:$A$81,0),MATCH($B6,Calculations!$BL$5:$BQ$5,0)),0)</f>
        <v>0</v>
      </c>
      <c r="I6" s="71">
        <f>IFERROR(INDEX(Calculations!$BL$69:$BQ$81,MATCH(I$5,Calculations!$A$69:$A$81,0),MATCH($B6,Calculations!$BL$5:$BQ$5,0)),0)</f>
        <v>0</v>
      </c>
      <c r="J6" s="71">
        <f>IFERROR(INDEX(Calculations!$BL$69:$BQ$81,MATCH(J$5,Calculations!$A$69:$A$81,0),MATCH($B6,Calculations!$BL$5:$BQ$5,0)),0)</f>
        <v>0</v>
      </c>
      <c r="K6" s="71">
        <f>IFERROR(INDEX(Calculations!$BL$69:$BQ$81,MATCH(K$5,Calculations!$A$69:$A$81,0),MATCH($B6,Calculations!$BL$5:$BQ$5,0)),0)</f>
        <v>0</v>
      </c>
      <c r="L6" s="71">
        <f>IFERROR(INDEX(Calculations!$BL$69:$BQ$81,MATCH(L$5,Calculations!$A$69:$A$81,0),MATCH($B6,Calculations!$BL$5:$BQ$5,0)),0)</f>
        <v>0</v>
      </c>
      <c r="M6" s="71">
        <f>IFERROR(INDEX(Calculations!$BL$69:$BQ$81,MATCH(M$5,Calculations!$A$69:$A$81,0),MATCH($B6,Calculations!$BL$5:$BQ$5,0)),0)</f>
        <v>0</v>
      </c>
      <c r="N6" s="71">
        <f>IFERROR(INDEX(Calculations!$BL$69:$BQ$81,MATCH(N$5,Calculations!$A$69:$A$81,0),MATCH($B6,Calculations!$BL$5:$BQ$5,0)),0)</f>
        <v>0</v>
      </c>
      <c r="O6" s="71">
        <f>IFERROR(INDEX(Calculations!$BL$69:$BQ$81,MATCH(O$5,Calculations!$A$69:$A$81,0),MATCH($B6,Calculations!$BL$5:$BQ$5,0)),0)</f>
        <v>0</v>
      </c>
      <c r="Q6" s="12"/>
      <c r="S6" s="20" t="str">
        <f>SiteE!S6</f>
        <v>Proposed Design</v>
      </c>
      <c r="U6" s="91">
        <f>IFERROR(IF(U$4="Yes",0,INDEX(Calculations!AC$69:AC$81,MATCH(Carbon!$S6,Calculations!$A$69:$A$81,0))),0)</f>
        <v>4539.1577508543023</v>
      </c>
      <c r="V6" s="91">
        <f>IFERROR(IF(V$4="Yes",0,INDEX(Calculations!AD$69:AD$81,MATCH(Carbon!$S6,Calculations!$A$69:$A$81,0))),0)</f>
        <v>16917.411850627468</v>
      </c>
      <c r="W6" s="91">
        <f>IFERROR(IF(W$4="Yes",0,INDEX(Calculations!AE$69:AE$81,MATCH(Carbon!$S6,Calculations!$A$69:$A$81,0))),0)</f>
        <v>18159.458887384459</v>
      </c>
      <c r="X6" s="91">
        <f>IFERROR(IF(X$4="Yes",0,INDEX(Calculations!AF$69:AF$81,MATCH(Carbon!$S6,Calculations!$A$69:$A$81,0))),0)</f>
        <v>0</v>
      </c>
      <c r="Y6" s="91">
        <f>IFERROR(IF(Y$4="Yes",0,INDEX(Calculations!AG$69:AG$81,MATCH(Carbon!$S6,Calculations!$A$69:$A$81,0))),0)</f>
        <v>21321.841129613676</v>
      </c>
      <c r="Z6" s="91">
        <f>IFERROR(IF(Z$4="Yes",0,INDEX(Calculations!AH$69:AH$81,MATCH(Carbon!$S6,Calculations!$A$69:$A$81,0))),0)</f>
        <v>0</v>
      </c>
      <c r="AA6" s="91">
        <f>IFERROR(IF(AA$4="Yes",0,INDEX(Calculations!AI$69:AI$81,MATCH(Carbon!$S6,Calculations!$A$69:$A$81,0))),0)</f>
        <v>20695.969810148472</v>
      </c>
      <c r="AB6" s="91">
        <f>IFERROR(IF(AB$4="Yes",0,INDEX(Calculations!AJ$69:AJ$81,MATCH(Carbon!$S6,Calculations!$A$69:$A$81,0))),0)</f>
        <v>0</v>
      </c>
      <c r="AC6" s="91">
        <f>IFERROR(IF(AC$4="Yes",0,INDEX(Calculations!AK$69:AK$81,MATCH(Carbon!$S6,Calculations!$A$69:$A$81,0))),0)</f>
        <v>0</v>
      </c>
      <c r="AD6" s="91">
        <f>IFERROR(IF(AD$4="Yes",0,INDEX(Calculations!AL$69:AL$81,MATCH(Carbon!$S6,Calculations!$A$69:$A$81,0))),0)</f>
        <v>0</v>
      </c>
      <c r="AE6" s="91">
        <f>IFERROR(IF(AE$4="Yes",0,INDEX(Calculations!AM$69:AM$81,MATCH(Carbon!$S6,Calculations!$A$69:$A$81,0))),0)</f>
        <v>0</v>
      </c>
      <c r="AF6" s="91">
        <f>IFERROR(IF(AF$4="Yes",0,INDEX(Calculations!AN$69:AN$81,MATCH(Carbon!$S6,Calculations!$A$69:$A$81,0))),0)</f>
        <v>0</v>
      </c>
      <c r="AG6" s="91">
        <f>IFERROR(IF(AG$4="Yes",0,INDEX(Calculations!AO$69:AO$81,MATCH(Carbon!$S6,Calculations!$A$69:$A$81,0))),0)</f>
        <v>0</v>
      </c>
      <c r="AH6" s="91">
        <f>IFERROR(IF(AH$4="Yes",0,INDEX(Calculations!AP$69:AP$81,MATCH(Carbon!$S6,Calculations!$A$69:$A$81,0))),0)</f>
        <v>0</v>
      </c>
      <c r="AI6" s="91">
        <f>IFERROR(IF(AI$4="Yes",0,INDEX(Calculations!AQ$69:AQ$81,MATCH(Carbon!$S6,Calculations!$A$69:$A$81,0))),0)</f>
        <v>0</v>
      </c>
      <c r="AJ6" s="91">
        <f>IFERROR(IF(AJ$4="Yes",0,INDEX(Calculations!AR$69:AR$81,MATCH(Carbon!$S6,Calculations!$A$69:$A$81,0))),0)</f>
        <v>0</v>
      </c>
      <c r="AK6" s="124">
        <f>IFERROR(SUM(U6:AI6)*'Project Info'!$D$28,0)</f>
        <v>0</v>
      </c>
      <c r="AL6" s="91">
        <f>IFERROR(INDEX(Calculations!BC$69:BC$81,MATCH(Carbon!$S6,Calculations!$A$69:$A$81,0))*-1,0)</f>
        <v>0</v>
      </c>
      <c r="AM6" s="91">
        <f>IFERROR(INDEX(Calculations!BD$69:BD$81,MATCH(Carbon!$S6,Calculations!$A$69:$A$81,0))*-1,0)</f>
        <v>0</v>
      </c>
      <c r="AN6" s="123">
        <f ca="1">IFERROR(SUM(OFFSET(Calculations!BE$69,MATCH($S6,Calculations!$A$69:$A$81,0)-1,0,1,4))*-1,0)</f>
        <v>0</v>
      </c>
      <c r="AO6" s="91">
        <f t="shared" ref="AO6:AO17" ca="1" si="0">SUM(U6:AN6)</f>
        <v>81633.839428628373</v>
      </c>
      <c r="AP6" s="17"/>
      <c r="AQ6" s="4" t="str">
        <f>'Project Info'!D21</f>
        <v>NA</v>
      </c>
      <c r="AS6" s="4" t="e">
        <f>CONCATENATE(AQ6*100,"% LEED Target")</f>
        <v>#VALUE!</v>
      </c>
      <c r="AT6" s="91" t="e">
        <f>Calculations!BQ69*(1-AQ6)</f>
        <v>#VALUE!</v>
      </c>
      <c r="AU6" s="91" t="e">
        <f>AT6</f>
        <v>#VALUE!</v>
      </c>
      <c r="AW6" s="91">
        <f>IFERROR(INDEX(Calculations!BL$69:BL$81,MATCH($S6,Calculations!$A$9:$A$21,0)),0)</f>
        <v>81633.839428628373</v>
      </c>
      <c r="AX6" s="91">
        <f>IFERROR(INDEX(Calculations!BM$69:BM$81,MATCH($S6,Calculations!$A$9:$A$21,0)),0)</f>
        <v>0</v>
      </c>
      <c r="AY6" s="91">
        <f>IFERROR(INDEX(Calculations!BN$69:BN$81,MATCH($S6,Calculations!$A$9:$A$21,0)),0)</f>
        <v>0</v>
      </c>
      <c r="AZ6" s="91">
        <f>IFERROR(INDEX(Calculations!BO$69:BO$81,MATCH($S6,Calculations!$A$9:$A$21,0)),0)</f>
        <v>0</v>
      </c>
      <c r="BA6" s="91">
        <f>IFERROR(INDEX(Calculations!BP$69:BP$81,MATCH($S6,Calculations!$A$9:$A$21,0)),0)</f>
        <v>0</v>
      </c>
    </row>
    <row r="7" spans="1:53">
      <c r="B7" s="59" t="s">
        <v>60</v>
      </c>
      <c r="C7" s="59" t="str">
        <f>_xlfn.CONCAT(IF('Project Info'!$I$4="SI",Menus!$G$6,Menus!$G$7))</f>
        <v>kg CO2e</v>
      </c>
      <c r="D7" s="71">
        <f>IFERROR(INDEX(Calculations!$BL$69:$BQ$81,MATCH(D$5,Calculations!$A$69:$A$81,0),MATCH($B7,Calculations!$BL$5:$BQ$5,0)),0)</f>
        <v>0</v>
      </c>
      <c r="E7" s="71">
        <f>IFERROR(INDEX(Calculations!$BL$69:$BQ$81,MATCH(E$5,Calculations!$A$69:$A$81,0),MATCH($B7,Calculations!$BL$5:$BQ$5,0)),0)</f>
        <v>0</v>
      </c>
      <c r="F7" s="71">
        <f>IFERROR(INDEX(Calculations!$BL$69:$BQ$81,MATCH(F$5,Calculations!$A$69:$A$81,0),MATCH($B7,Calculations!$BL$5:$BQ$5,0)),0)</f>
        <v>0</v>
      </c>
      <c r="G7" s="71">
        <f>IFERROR(INDEX(Calculations!$BL$69:$BQ$81,MATCH(G$5,Calculations!$A$69:$A$81,0),MATCH($B7,Calculations!$BL$5:$BQ$5,0)),0)</f>
        <v>0</v>
      </c>
      <c r="H7" s="71">
        <f>IFERROR(INDEX(Calculations!$BL$69:$BQ$81,MATCH(H$5,Calculations!$A$69:$A$81,0),MATCH($B7,Calculations!$BL$5:$BQ$5,0)),0)</f>
        <v>0</v>
      </c>
      <c r="I7" s="71">
        <f>IFERROR(INDEX(Calculations!$BL$69:$BQ$81,MATCH(I$5,Calculations!$A$69:$A$81,0),MATCH($B7,Calculations!$BL$5:$BQ$5,0)),0)</f>
        <v>0</v>
      </c>
      <c r="J7" s="71">
        <f>IFERROR(INDEX(Calculations!$BL$69:$BQ$81,MATCH(J$5,Calculations!$A$69:$A$81,0),MATCH($B7,Calculations!$BL$5:$BQ$5,0)),0)</f>
        <v>0</v>
      </c>
      <c r="K7" s="71">
        <f>IFERROR(INDEX(Calculations!$BL$69:$BQ$81,MATCH(K$5,Calculations!$A$69:$A$81,0),MATCH($B7,Calculations!$BL$5:$BQ$5,0)),0)</f>
        <v>0</v>
      </c>
      <c r="L7" s="71">
        <f>IFERROR(INDEX(Calculations!$BL$69:$BQ$81,MATCH(L$5,Calculations!$A$69:$A$81,0),MATCH($B7,Calculations!$BL$5:$BQ$5,0)),0)</f>
        <v>0</v>
      </c>
      <c r="M7" s="71">
        <f>IFERROR(INDEX(Calculations!$BL$69:$BQ$81,MATCH(M$5,Calculations!$A$69:$A$81,0),MATCH($B7,Calculations!$BL$5:$BQ$5,0)),0)</f>
        <v>0</v>
      </c>
      <c r="N7" s="71">
        <f>IFERROR(INDEX(Calculations!$BL$69:$BQ$81,MATCH(N$5,Calculations!$A$69:$A$81,0),MATCH($B7,Calculations!$BL$5:$BQ$5,0)),0)</f>
        <v>0</v>
      </c>
      <c r="O7" s="71">
        <f>IFERROR(INDEX(Calculations!$BL$69:$BQ$81,MATCH(O$5,Calculations!$A$69:$A$81,0),MATCH($B7,Calculations!$BL$5:$BQ$5,0)),0)</f>
        <v>0</v>
      </c>
      <c r="Q7" s="12"/>
      <c r="S7" s="20" t="str">
        <f>SiteE!S7</f>
        <v xml:space="preserve"> </v>
      </c>
      <c r="U7" s="91">
        <f>IFERROR(IF(U$4="Yes",0,INDEX(Calculations!AC$69:AC$81,MATCH(Carbon!$S7,Calculations!$A$69:$A$81,0))),0)</f>
        <v>0</v>
      </c>
      <c r="V7" s="91">
        <f>IFERROR(IF(V$4="Yes",0,INDEX(Calculations!AD$69:AD$81,MATCH(Carbon!$S7,Calculations!$A$69:$A$81,0))),0)</f>
        <v>0</v>
      </c>
      <c r="W7" s="91">
        <f>IFERROR(IF(W$4="Yes",0,INDEX(Calculations!AE$69:AE$81,MATCH(Carbon!$S7,Calculations!$A$69:$A$81,0))),0)</f>
        <v>0</v>
      </c>
      <c r="X7" s="91">
        <f>IFERROR(IF(X$4="Yes",0,INDEX(Calculations!AF$69:AF$81,MATCH(Carbon!$S7,Calculations!$A$69:$A$81,0))),0)</f>
        <v>0</v>
      </c>
      <c r="Y7" s="91">
        <f>IFERROR(IF(Y$4="Yes",0,INDEX(Calculations!AG$69:AG$81,MATCH(Carbon!$S7,Calculations!$A$69:$A$81,0))),0)</f>
        <v>0</v>
      </c>
      <c r="Z7" s="91">
        <f>IFERROR(IF(Z$4="Yes",0,INDEX(Calculations!AH$69:AH$81,MATCH(Carbon!$S7,Calculations!$A$69:$A$81,0))),0)</f>
        <v>0</v>
      </c>
      <c r="AA7" s="91">
        <f>IFERROR(IF(AA$4="Yes",0,INDEX(Calculations!AI$69:AI$81,MATCH(Carbon!$S7,Calculations!$A$69:$A$81,0))),0)</f>
        <v>0</v>
      </c>
      <c r="AB7" s="91">
        <f>IFERROR(IF(AB$4="Yes",0,INDEX(Calculations!AJ$69:AJ$81,MATCH(Carbon!$S7,Calculations!$A$69:$A$81,0))),0)</f>
        <v>0</v>
      </c>
      <c r="AC7" s="91">
        <f>IFERROR(IF(AC$4="Yes",0,INDEX(Calculations!AK$69:AK$81,MATCH(Carbon!$S7,Calculations!$A$69:$A$81,0))),0)</f>
        <v>0</v>
      </c>
      <c r="AD7" s="91">
        <f>IFERROR(IF(AD$4="Yes",0,INDEX(Calculations!AL$69:AL$81,MATCH(Carbon!$S7,Calculations!$A$69:$A$81,0))),0)</f>
        <v>0</v>
      </c>
      <c r="AE7" s="91">
        <f>IFERROR(IF(AE$4="Yes",0,INDEX(Calculations!AM$69:AM$81,MATCH(Carbon!$S7,Calculations!$A$69:$A$81,0))),0)</f>
        <v>0</v>
      </c>
      <c r="AF7" s="91">
        <f>IFERROR(IF(AF$4="Yes",0,INDEX(Calculations!AN$69:AN$81,MATCH(Carbon!$S7,Calculations!$A$69:$A$81,0))),0)</f>
        <v>0</v>
      </c>
      <c r="AG7" s="91">
        <f>IFERROR(IF(AG$4="Yes",0,INDEX(Calculations!AO$69:AO$81,MATCH(Carbon!$S7,Calculations!$A$69:$A$81,0))),0)</f>
        <v>0</v>
      </c>
      <c r="AH7" s="91">
        <f>IFERROR(IF(AH$4="Yes",0,INDEX(Calculations!AP$69:AP$81,MATCH(Carbon!$S7,Calculations!$A$69:$A$81,0))),0)</f>
        <v>0</v>
      </c>
      <c r="AI7" s="91">
        <f>IFERROR(IF(AI$4="Yes",0,INDEX(Calculations!AQ$69:AQ$81,MATCH(Carbon!$S7,Calculations!$A$69:$A$81,0))),0)</f>
        <v>0</v>
      </c>
      <c r="AJ7" s="91">
        <f>IFERROR(IF(AJ$4="Yes",0,INDEX(Calculations!AR$69:AR$81,MATCH(Carbon!$S7,Calculations!$A$69:$A$81,0))),0)</f>
        <v>0</v>
      </c>
      <c r="AK7" s="124">
        <f>IFERROR(SUM(U7:AI7)*'Project Info'!$D$28,0)</f>
        <v>0</v>
      </c>
      <c r="AL7" s="91">
        <f>IFERROR(INDEX(Calculations!BC$69:BC$81,MATCH(Carbon!$S7,Calculations!$A$69:$A$81,0))*-1,0)</f>
        <v>0</v>
      </c>
      <c r="AM7" s="91">
        <f>IFERROR(INDEX(Calculations!BD$69:BD$81,MATCH(Carbon!$S7,Calculations!$A$69:$A$81,0))*-1,0)</f>
        <v>0</v>
      </c>
      <c r="AN7" s="123">
        <f ca="1">IFERROR(SUM(OFFSET(Calculations!BE$69,MATCH($S7,Calculations!$A$69:$A$81,0)-1,0,1,4))*-1,0)</f>
        <v>0</v>
      </c>
      <c r="AO7" s="91">
        <f t="shared" ca="1" si="0"/>
        <v>0</v>
      </c>
      <c r="AP7" s="17"/>
      <c r="AQ7" s="4" t="str">
        <f>'Project Info'!E21</f>
        <v>NA</v>
      </c>
      <c r="AS7" s="4" t="e">
        <f>CONCATENATE(AQ7*100,"% Code Target")</f>
        <v>#VALUE!</v>
      </c>
      <c r="AT7" s="91" t="e">
        <f>Calculations!BQ70*(1-AQ7)</f>
        <v>#VALUE!</v>
      </c>
      <c r="AU7" s="91" t="e">
        <f>AT7</f>
        <v>#VALUE!</v>
      </c>
      <c r="AW7" s="91">
        <f>IFERROR(INDEX(Calculations!BL$69:BL$81,MATCH($S7,Calculations!$A$9:$A$21,0)),0)</f>
        <v>0</v>
      </c>
      <c r="AX7" s="91">
        <f>IFERROR(INDEX(Calculations!BM$69:BM$81,MATCH($S7,Calculations!$A$9:$A$21,0)),0)</f>
        <v>0</v>
      </c>
      <c r="AY7" s="91">
        <f>IFERROR(INDEX(Calculations!BN$69:BN$81,MATCH($S7,Calculations!$A$9:$A$21,0)),0)</f>
        <v>0</v>
      </c>
      <c r="AZ7" s="91">
        <f>IFERROR(INDEX(Calculations!BO$69:BO$81,MATCH($S7,Calculations!$A$9:$A$21,0)),0)</f>
        <v>0</v>
      </c>
      <c r="BA7" s="91">
        <f>IFERROR(INDEX(Calculations!BP$69:BP$81,MATCH($S7,Calculations!$A$9:$A$21,0)),0)</f>
        <v>0</v>
      </c>
    </row>
    <row r="8" spans="1:53">
      <c r="B8" s="59" t="s">
        <v>194</v>
      </c>
      <c r="C8" s="59" t="str">
        <f>_xlfn.CONCAT(IF('Project Info'!$I$4="SI",Menus!$G$6,Menus!$G$7))</f>
        <v>kg CO2e</v>
      </c>
      <c r="D8" s="71">
        <f>IFERROR(INDEX(Calculations!$BL$69:$BQ$81,MATCH(D$5,Calculations!$A$69:$A$81,0),MATCH($B8,Calculations!$BL$5:$BQ$5,0)),0)</f>
        <v>0</v>
      </c>
      <c r="E8" s="71">
        <f>IFERROR(INDEX(Calculations!$BL$69:$BQ$81,MATCH(E$5,Calculations!$A$69:$A$81,0),MATCH($B8,Calculations!$BL$5:$BQ$5,0)),0)</f>
        <v>0</v>
      </c>
      <c r="F8" s="71">
        <f>IFERROR(INDEX(Calculations!$BL$69:$BQ$81,MATCH(F$5,Calculations!$A$69:$A$81,0),MATCH($B8,Calculations!$BL$5:$BQ$5,0)),0)</f>
        <v>0</v>
      </c>
      <c r="G8" s="71">
        <f>IFERROR(INDEX(Calculations!$BL$69:$BQ$81,MATCH(G$5,Calculations!$A$69:$A$81,0),MATCH($B8,Calculations!$BL$5:$BQ$5,0)),0)</f>
        <v>0</v>
      </c>
      <c r="H8" s="71">
        <f>IFERROR(INDEX(Calculations!$BL$69:$BQ$81,MATCH(H$5,Calculations!$A$69:$A$81,0),MATCH($B8,Calculations!$BL$5:$BQ$5,0)),0)</f>
        <v>0</v>
      </c>
      <c r="I8" s="71">
        <f>IFERROR(INDEX(Calculations!$BL$69:$BQ$81,MATCH(I$5,Calculations!$A$69:$A$81,0),MATCH($B8,Calculations!$BL$5:$BQ$5,0)),0)</f>
        <v>0</v>
      </c>
      <c r="J8" s="71">
        <f>IFERROR(INDEX(Calculations!$BL$69:$BQ$81,MATCH(J$5,Calculations!$A$69:$A$81,0),MATCH($B8,Calculations!$BL$5:$BQ$5,0)),0)</f>
        <v>0</v>
      </c>
      <c r="K8" s="71">
        <f>IFERROR(INDEX(Calculations!$BL$69:$BQ$81,MATCH(K$5,Calculations!$A$69:$A$81,0),MATCH($B8,Calculations!$BL$5:$BQ$5,0)),0)</f>
        <v>0</v>
      </c>
      <c r="L8" s="71">
        <f>IFERROR(INDEX(Calculations!$BL$69:$BQ$81,MATCH(L$5,Calculations!$A$69:$A$81,0),MATCH($B8,Calculations!$BL$5:$BQ$5,0)),0)</f>
        <v>0</v>
      </c>
      <c r="M8" s="71">
        <f>IFERROR(INDEX(Calculations!$BL$69:$BQ$81,MATCH(M$5,Calculations!$A$69:$A$81,0),MATCH($B8,Calculations!$BL$5:$BQ$5,0)),0)</f>
        <v>0</v>
      </c>
      <c r="N8" s="71">
        <f>IFERROR(INDEX(Calculations!$BL$69:$BQ$81,MATCH(N$5,Calculations!$A$69:$A$81,0),MATCH($B8,Calculations!$BL$5:$BQ$5,0)),0)</f>
        <v>0</v>
      </c>
      <c r="O8" s="71">
        <f>IFERROR(INDEX(Calculations!$BL$69:$BQ$81,MATCH(O$5,Calculations!$A$69:$A$81,0),MATCH($B8,Calculations!$BL$5:$BQ$5,0)),0)</f>
        <v>0</v>
      </c>
      <c r="Q8" s="12"/>
      <c r="S8" s="20" t="str">
        <f>SiteE!S8</f>
        <v xml:space="preserve"> </v>
      </c>
      <c r="U8" s="91">
        <f>IFERROR(IF(U$4="Yes",0,INDEX(Calculations!AC$69:AC$81,MATCH(Carbon!$S8,Calculations!$A$69:$A$81,0))),0)</f>
        <v>0</v>
      </c>
      <c r="V8" s="91">
        <f>IFERROR(IF(V$4="Yes",0,INDEX(Calculations!AD$69:AD$81,MATCH(Carbon!$S8,Calculations!$A$69:$A$81,0))),0)</f>
        <v>0</v>
      </c>
      <c r="W8" s="91">
        <f>IFERROR(IF(W$4="Yes",0,INDEX(Calculations!AE$69:AE$81,MATCH(Carbon!$S8,Calculations!$A$69:$A$81,0))),0)</f>
        <v>0</v>
      </c>
      <c r="X8" s="91">
        <f>IFERROR(IF(X$4="Yes",0,INDEX(Calculations!AF$69:AF$81,MATCH(Carbon!$S8,Calculations!$A$69:$A$81,0))),0)</f>
        <v>0</v>
      </c>
      <c r="Y8" s="91">
        <f>IFERROR(IF(Y$4="Yes",0,INDEX(Calculations!AG$69:AG$81,MATCH(Carbon!$S8,Calculations!$A$69:$A$81,0))),0)</f>
        <v>0</v>
      </c>
      <c r="Z8" s="91">
        <f>IFERROR(IF(Z$4="Yes",0,INDEX(Calculations!AH$69:AH$81,MATCH(Carbon!$S8,Calculations!$A$69:$A$81,0))),0)</f>
        <v>0</v>
      </c>
      <c r="AA8" s="91">
        <f>IFERROR(IF(AA$4="Yes",0,INDEX(Calculations!AI$69:AI$81,MATCH(Carbon!$S8,Calculations!$A$69:$A$81,0))),0)</f>
        <v>0</v>
      </c>
      <c r="AB8" s="91">
        <f>IFERROR(IF(AB$4="Yes",0,INDEX(Calculations!AJ$69:AJ$81,MATCH(Carbon!$S8,Calculations!$A$69:$A$81,0))),0)</f>
        <v>0</v>
      </c>
      <c r="AC8" s="91">
        <f>IFERROR(IF(AC$4="Yes",0,INDEX(Calculations!AK$69:AK$81,MATCH(Carbon!$S8,Calculations!$A$69:$A$81,0))),0)</f>
        <v>0</v>
      </c>
      <c r="AD8" s="91">
        <f>IFERROR(IF(AD$4="Yes",0,INDEX(Calculations!AL$69:AL$81,MATCH(Carbon!$S8,Calculations!$A$69:$A$81,0))),0)</f>
        <v>0</v>
      </c>
      <c r="AE8" s="91">
        <f>IFERROR(IF(AE$4="Yes",0,INDEX(Calculations!AM$69:AM$81,MATCH(Carbon!$S8,Calculations!$A$69:$A$81,0))),0)</f>
        <v>0</v>
      </c>
      <c r="AF8" s="91">
        <f>IFERROR(IF(AF$4="Yes",0,INDEX(Calculations!AN$69:AN$81,MATCH(Carbon!$S8,Calculations!$A$69:$A$81,0))),0)</f>
        <v>0</v>
      </c>
      <c r="AG8" s="91">
        <f>IFERROR(IF(AG$4="Yes",0,INDEX(Calculations!AO$69:AO$81,MATCH(Carbon!$S8,Calculations!$A$69:$A$81,0))),0)</f>
        <v>0</v>
      </c>
      <c r="AH8" s="91">
        <f>IFERROR(IF(AH$4="Yes",0,INDEX(Calculations!AP$69:AP$81,MATCH(Carbon!$S8,Calculations!$A$69:$A$81,0))),0)</f>
        <v>0</v>
      </c>
      <c r="AI8" s="91">
        <f>IFERROR(IF(AI$4="Yes",0,INDEX(Calculations!AQ$69:AQ$81,MATCH(Carbon!$S8,Calculations!$A$69:$A$81,0))),0)</f>
        <v>0</v>
      </c>
      <c r="AJ8" s="91">
        <f>IFERROR(IF(AJ$4="Yes",0,INDEX(Calculations!AR$69:AR$81,MATCH(Carbon!$S8,Calculations!$A$69:$A$81,0))),0)</f>
        <v>0</v>
      </c>
      <c r="AK8" s="124">
        <f>IFERROR(SUM(U8:AI8)*'Project Info'!$D$28,0)</f>
        <v>0</v>
      </c>
      <c r="AL8" s="91">
        <f>IFERROR(INDEX(Calculations!BC$69:BC$81,MATCH(Carbon!$S8,Calculations!$A$69:$A$81,0))*-1,0)</f>
        <v>0</v>
      </c>
      <c r="AM8" s="91">
        <f>IFERROR(INDEX(Calculations!BD$69:BD$81,MATCH(Carbon!$S8,Calculations!$A$69:$A$81,0))*-1,0)</f>
        <v>0</v>
      </c>
      <c r="AN8" s="123">
        <f ca="1">IFERROR(SUM(OFFSET(Calculations!BE$69,MATCH($S8,Calculations!$A$69:$A$81,0)-1,0,1,4))*-1,0)</f>
        <v>0</v>
      </c>
      <c r="AO8" s="91">
        <f t="shared" ca="1" si="0"/>
        <v>0</v>
      </c>
      <c r="AP8" s="17"/>
      <c r="AQ8" s="4"/>
      <c r="AW8" s="91">
        <f>IFERROR(INDEX(Calculations!BL$69:BL$81,MATCH($S8,Calculations!$A$9:$A$21,0)),0)</f>
        <v>0</v>
      </c>
      <c r="AX8" s="91">
        <f>IFERROR(INDEX(Calculations!BM$69:BM$81,MATCH($S8,Calculations!$A$9:$A$21,0)),0)</f>
        <v>0</v>
      </c>
      <c r="AY8" s="91">
        <f>IFERROR(INDEX(Calculations!BN$69:BN$81,MATCH($S8,Calculations!$A$9:$A$21,0)),0)</f>
        <v>0</v>
      </c>
      <c r="AZ8" s="91">
        <f>IFERROR(INDEX(Calculations!BO$69:BO$81,MATCH($S8,Calculations!$A$9:$A$21,0)),0)</f>
        <v>0</v>
      </c>
      <c r="BA8" s="91">
        <f>IFERROR(INDEX(Calculations!BP$69:BP$81,MATCH($S8,Calculations!$A$9:$A$21,0)),0)</f>
        <v>0</v>
      </c>
    </row>
    <row r="9" spans="1:53">
      <c r="B9" s="59" t="s">
        <v>102</v>
      </c>
      <c r="C9" s="59" t="str">
        <f>_xlfn.CONCAT(IF('Project Info'!$I$4="SI",Menus!$G$6,Menus!$G$7))</f>
        <v>kg CO2e</v>
      </c>
      <c r="D9" s="71">
        <f>IFERROR(INDEX(Calculations!$BL$69:$BQ$81,MATCH(D$5,Calculations!$A$69:$A$81,0),MATCH($B9,Calculations!$BL$5:$BQ$5,0)),0)</f>
        <v>0</v>
      </c>
      <c r="E9" s="71">
        <f>IFERROR(INDEX(Calculations!$BL$69:$BQ$81,MATCH(E$5,Calculations!$A$69:$A$81,0),MATCH($B9,Calculations!$BL$5:$BQ$5,0)),0)</f>
        <v>0</v>
      </c>
      <c r="F9" s="71">
        <f>IFERROR(INDEX(Calculations!$BL$69:$BQ$81,MATCH(F$5,Calculations!$A$69:$A$81,0),MATCH($B9,Calculations!$BL$5:$BQ$5,0)),0)</f>
        <v>0</v>
      </c>
      <c r="G9" s="71">
        <f>IFERROR(INDEX(Calculations!$BL$69:$BQ$81,MATCH(G$5,Calculations!$A$69:$A$81,0),MATCH($B9,Calculations!$BL$5:$BQ$5,0)),0)</f>
        <v>0</v>
      </c>
      <c r="H9" s="71">
        <f>IFERROR(INDEX(Calculations!$BL$69:$BQ$81,MATCH(H$5,Calculations!$A$69:$A$81,0),MATCH($B9,Calculations!$BL$5:$BQ$5,0)),0)</f>
        <v>0</v>
      </c>
      <c r="I9" s="71">
        <f>IFERROR(INDEX(Calculations!$BL$69:$BQ$81,MATCH(I$5,Calculations!$A$69:$A$81,0),MATCH($B9,Calculations!$BL$5:$BQ$5,0)),0)</f>
        <v>0</v>
      </c>
      <c r="J9" s="71">
        <f>IFERROR(INDEX(Calculations!$BL$69:$BQ$81,MATCH(J$5,Calculations!$A$69:$A$81,0),MATCH($B9,Calculations!$BL$5:$BQ$5,0)),0)</f>
        <v>0</v>
      </c>
      <c r="K9" s="71">
        <f>IFERROR(INDEX(Calculations!$BL$69:$BQ$81,MATCH(K$5,Calculations!$A$69:$A$81,0),MATCH($B9,Calculations!$BL$5:$BQ$5,0)),0)</f>
        <v>0</v>
      </c>
      <c r="L9" s="71">
        <f>IFERROR(INDEX(Calculations!$BL$69:$BQ$81,MATCH(L$5,Calculations!$A$69:$A$81,0),MATCH($B9,Calculations!$BL$5:$BQ$5,0)),0)</f>
        <v>0</v>
      </c>
      <c r="M9" s="71">
        <f>IFERROR(INDEX(Calculations!$BL$69:$BQ$81,MATCH(M$5,Calculations!$A$69:$A$81,0),MATCH($B9,Calculations!$BL$5:$BQ$5,0)),0)</f>
        <v>0</v>
      </c>
      <c r="N9" s="71">
        <f>IFERROR(INDEX(Calculations!$BL$69:$BQ$81,MATCH(N$5,Calculations!$A$69:$A$81,0),MATCH($B9,Calculations!$BL$5:$BQ$5,0)),0)</f>
        <v>0</v>
      </c>
      <c r="O9" s="71">
        <f>IFERROR(INDEX(Calculations!$BL$69:$BQ$81,MATCH(O$5,Calculations!$A$69:$A$81,0),MATCH($B9,Calculations!$BL$5:$BQ$5,0)),0)</f>
        <v>0</v>
      </c>
      <c r="Q9" s="12"/>
      <c r="S9" s="20" t="str">
        <f>SiteE!S9</f>
        <v xml:space="preserve"> </v>
      </c>
      <c r="U9" s="91">
        <f>IFERROR(IF(U$4="Yes",0,INDEX(Calculations!AC$69:AC$81,MATCH(Carbon!$S9,Calculations!$A$69:$A$81,0))),0)</f>
        <v>0</v>
      </c>
      <c r="V9" s="91">
        <f>IFERROR(IF(V$4="Yes",0,INDEX(Calculations!AD$69:AD$81,MATCH(Carbon!$S9,Calculations!$A$69:$A$81,0))),0)</f>
        <v>0</v>
      </c>
      <c r="W9" s="91">
        <f>IFERROR(IF(W$4="Yes",0,INDEX(Calculations!AE$69:AE$81,MATCH(Carbon!$S9,Calculations!$A$69:$A$81,0))),0)</f>
        <v>0</v>
      </c>
      <c r="X9" s="91">
        <f>IFERROR(IF(X$4="Yes",0,INDEX(Calculations!AF$69:AF$81,MATCH(Carbon!$S9,Calculations!$A$69:$A$81,0))),0)</f>
        <v>0</v>
      </c>
      <c r="Y9" s="91">
        <f>IFERROR(IF(Y$4="Yes",0,INDEX(Calculations!AG$69:AG$81,MATCH(Carbon!$S9,Calculations!$A$69:$A$81,0))),0)</f>
        <v>0</v>
      </c>
      <c r="Z9" s="91">
        <f>IFERROR(IF(Z$4="Yes",0,INDEX(Calculations!AH$69:AH$81,MATCH(Carbon!$S9,Calculations!$A$69:$A$81,0))),0)</f>
        <v>0</v>
      </c>
      <c r="AA9" s="91">
        <f>IFERROR(IF(AA$4="Yes",0,INDEX(Calculations!AI$69:AI$81,MATCH(Carbon!$S9,Calculations!$A$69:$A$81,0))),0)</f>
        <v>0</v>
      </c>
      <c r="AB9" s="91">
        <f>IFERROR(IF(AB$4="Yes",0,INDEX(Calculations!AJ$69:AJ$81,MATCH(Carbon!$S9,Calculations!$A$69:$A$81,0))),0)</f>
        <v>0</v>
      </c>
      <c r="AC9" s="91">
        <f>IFERROR(IF(AC$4="Yes",0,INDEX(Calculations!AK$69:AK$81,MATCH(Carbon!$S9,Calculations!$A$69:$A$81,0))),0)</f>
        <v>0</v>
      </c>
      <c r="AD9" s="91">
        <f>IFERROR(IF(AD$4="Yes",0,INDEX(Calculations!AL$69:AL$81,MATCH(Carbon!$S9,Calculations!$A$69:$A$81,0))),0)</f>
        <v>0</v>
      </c>
      <c r="AE9" s="91">
        <f>IFERROR(IF(AE$4="Yes",0,INDEX(Calculations!AM$69:AM$81,MATCH(Carbon!$S9,Calculations!$A$69:$A$81,0))),0)</f>
        <v>0</v>
      </c>
      <c r="AF9" s="91">
        <f>IFERROR(IF(AF$4="Yes",0,INDEX(Calculations!AN$69:AN$81,MATCH(Carbon!$S9,Calculations!$A$69:$A$81,0))),0)</f>
        <v>0</v>
      </c>
      <c r="AG9" s="91">
        <f>IFERROR(IF(AG$4="Yes",0,INDEX(Calculations!AO$69:AO$81,MATCH(Carbon!$S9,Calculations!$A$69:$A$81,0))),0)</f>
        <v>0</v>
      </c>
      <c r="AH9" s="91">
        <f>IFERROR(IF(AH$4="Yes",0,INDEX(Calculations!AP$69:AP$81,MATCH(Carbon!$S9,Calculations!$A$69:$A$81,0))),0)</f>
        <v>0</v>
      </c>
      <c r="AI9" s="91">
        <f>IFERROR(IF(AI$4="Yes",0,INDEX(Calculations!AQ$69:AQ$81,MATCH(Carbon!$S9,Calculations!$A$69:$A$81,0))),0)</f>
        <v>0</v>
      </c>
      <c r="AJ9" s="91">
        <f>IFERROR(IF(AJ$4="Yes",0,INDEX(Calculations!AR$69:AR$81,MATCH(Carbon!$S9,Calculations!$A$69:$A$81,0))),0)</f>
        <v>0</v>
      </c>
      <c r="AK9" s="124">
        <f>IFERROR(SUM(U9:AI9)*'Project Info'!$D$28,0)</f>
        <v>0</v>
      </c>
      <c r="AL9" s="91">
        <f>IFERROR(INDEX(Calculations!BC$69:BC$81,MATCH(Carbon!$S9,Calculations!$A$69:$A$81,0))*-1,0)</f>
        <v>0</v>
      </c>
      <c r="AM9" s="91">
        <f>IFERROR(INDEX(Calculations!BD$69:BD$81,MATCH(Carbon!$S9,Calculations!$A$69:$A$81,0))*-1,0)</f>
        <v>0</v>
      </c>
      <c r="AN9" s="123">
        <f ca="1">IFERROR(SUM(OFFSET(Calculations!BE$69,MATCH($S9,Calculations!$A$69:$A$81,0)-1,0,1,4))*-1,0)</f>
        <v>0</v>
      </c>
      <c r="AO9" s="91">
        <f t="shared" ca="1" si="0"/>
        <v>0</v>
      </c>
      <c r="AP9" s="17"/>
      <c r="AQ9" s="4"/>
      <c r="AW9" s="91">
        <f>IFERROR(INDEX(Calculations!BL$69:BL$81,MATCH($S9,Calculations!$A$9:$A$21,0)),0)</f>
        <v>0</v>
      </c>
      <c r="AX9" s="91">
        <f>IFERROR(INDEX(Calculations!BM$69:BM$81,MATCH($S9,Calculations!$A$9:$A$21,0)),0)</f>
        <v>0</v>
      </c>
      <c r="AY9" s="91">
        <f>IFERROR(INDEX(Calculations!BN$69:BN$81,MATCH($S9,Calculations!$A$9:$A$21,0)),0)</f>
        <v>0</v>
      </c>
      <c r="AZ9" s="91">
        <f>IFERROR(INDEX(Calculations!BO$69:BO$81,MATCH($S9,Calculations!$A$9:$A$21,0)),0)</f>
        <v>0</v>
      </c>
      <c r="BA9" s="91">
        <f>IFERROR(INDEX(Calculations!BP$69:BP$81,MATCH($S9,Calculations!$A$9:$A$21,0)),0)</f>
        <v>0</v>
      </c>
    </row>
    <row r="10" spans="1:53">
      <c r="B10" s="59" t="s">
        <v>103</v>
      </c>
      <c r="C10" s="59" t="str">
        <f>_xlfn.CONCAT(IF('Project Info'!$I$4="SI",Menus!$G$6,Menus!$G$7))</f>
        <v>kg CO2e</v>
      </c>
      <c r="D10" s="71">
        <f>IFERROR(INDEX(Calculations!$BL$69:$BQ$81,MATCH(D$5,Calculations!$A$69:$A$81,0),MATCH($B10,Calculations!$BL$5:$BQ$5,0)),0)</f>
        <v>0</v>
      </c>
      <c r="E10" s="71">
        <f>IFERROR(INDEX(Calculations!$BL$69:$BQ$81,MATCH(E$5,Calculations!$A$69:$A$81,0),MATCH($B10,Calculations!$BL$5:$BQ$5,0)),0)</f>
        <v>0</v>
      </c>
      <c r="F10" s="71">
        <f>IFERROR(INDEX(Calculations!$BL$69:$BQ$81,MATCH(F$5,Calculations!$A$69:$A$81,0),MATCH($B10,Calculations!$BL$5:$BQ$5,0)),0)</f>
        <v>0</v>
      </c>
      <c r="G10" s="71">
        <f>IFERROR(INDEX(Calculations!$BL$69:$BQ$81,MATCH(G$5,Calculations!$A$69:$A$81,0),MATCH($B10,Calculations!$BL$5:$BQ$5,0)),0)</f>
        <v>0</v>
      </c>
      <c r="H10" s="71">
        <f>IFERROR(INDEX(Calculations!$BL$69:$BQ$81,MATCH(H$5,Calculations!$A$69:$A$81,0),MATCH($B10,Calculations!$BL$5:$BQ$5,0)),0)</f>
        <v>0</v>
      </c>
      <c r="I10" s="71">
        <f>IFERROR(INDEX(Calculations!$BL$69:$BQ$81,MATCH(I$5,Calculations!$A$69:$A$81,0),MATCH($B10,Calculations!$BL$5:$BQ$5,0)),0)</f>
        <v>0</v>
      </c>
      <c r="J10" s="71">
        <f>IFERROR(INDEX(Calculations!$BL$69:$BQ$81,MATCH(J$5,Calculations!$A$69:$A$81,0),MATCH($B10,Calculations!$BL$5:$BQ$5,0)),0)</f>
        <v>0</v>
      </c>
      <c r="K10" s="71">
        <f>IFERROR(INDEX(Calculations!$BL$69:$BQ$81,MATCH(K$5,Calculations!$A$69:$A$81,0),MATCH($B10,Calculations!$BL$5:$BQ$5,0)),0)</f>
        <v>0</v>
      </c>
      <c r="L10" s="71">
        <f>IFERROR(INDEX(Calculations!$BL$69:$BQ$81,MATCH(L$5,Calculations!$A$69:$A$81,0),MATCH($B10,Calculations!$BL$5:$BQ$5,0)),0)</f>
        <v>0</v>
      </c>
      <c r="M10" s="71">
        <f>IFERROR(INDEX(Calculations!$BL$69:$BQ$81,MATCH(M$5,Calculations!$A$69:$A$81,0),MATCH($B10,Calculations!$BL$5:$BQ$5,0)),0)</f>
        <v>0</v>
      </c>
      <c r="N10" s="71">
        <f>IFERROR(INDEX(Calculations!$BL$69:$BQ$81,MATCH(N$5,Calculations!$A$69:$A$81,0),MATCH($B10,Calculations!$BL$5:$BQ$5,0)),0)</f>
        <v>0</v>
      </c>
      <c r="O10" s="71">
        <f>IFERROR(INDEX(Calculations!$BL$69:$BQ$81,MATCH(O$5,Calculations!$A$69:$A$81,0),MATCH($B10,Calculations!$BL$5:$BQ$5,0)),0)</f>
        <v>0</v>
      </c>
      <c r="Q10" s="12"/>
      <c r="S10" s="20" t="str">
        <f>SiteE!S10</f>
        <v xml:space="preserve"> </v>
      </c>
      <c r="U10" s="91">
        <f>IFERROR(IF(U$4="Yes",0,INDEX(Calculations!AC$69:AC$81,MATCH(Carbon!$S10,Calculations!$A$69:$A$81,0))),0)</f>
        <v>0</v>
      </c>
      <c r="V10" s="91">
        <f>IFERROR(IF(V$4="Yes",0,INDEX(Calculations!AD$69:AD$81,MATCH(Carbon!$S10,Calculations!$A$69:$A$81,0))),0)</f>
        <v>0</v>
      </c>
      <c r="W10" s="91">
        <f>IFERROR(IF(W$4="Yes",0,INDEX(Calculations!AE$69:AE$81,MATCH(Carbon!$S10,Calculations!$A$69:$A$81,0))),0)</f>
        <v>0</v>
      </c>
      <c r="X10" s="91">
        <f>IFERROR(IF(X$4="Yes",0,INDEX(Calculations!AF$69:AF$81,MATCH(Carbon!$S10,Calculations!$A$69:$A$81,0))),0)</f>
        <v>0</v>
      </c>
      <c r="Y10" s="91">
        <f>IFERROR(IF(Y$4="Yes",0,INDEX(Calculations!AG$69:AG$81,MATCH(Carbon!$S10,Calculations!$A$69:$A$81,0))),0)</f>
        <v>0</v>
      </c>
      <c r="Z10" s="91">
        <f>IFERROR(IF(Z$4="Yes",0,INDEX(Calculations!AH$69:AH$81,MATCH(Carbon!$S10,Calculations!$A$69:$A$81,0))),0)</f>
        <v>0</v>
      </c>
      <c r="AA10" s="91">
        <f>IFERROR(IF(AA$4="Yes",0,INDEX(Calculations!AI$69:AI$81,MATCH(Carbon!$S10,Calculations!$A$69:$A$81,0))),0)</f>
        <v>0</v>
      </c>
      <c r="AB10" s="91">
        <f>IFERROR(IF(AB$4="Yes",0,INDEX(Calculations!AJ$69:AJ$81,MATCH(Carbon!$S10,Calculations!$A$69:$A$81,0))),0)</f>
        <v>0</v>
      </c>
      <c r="AC10" s="91">
        <f>IFERROR(IF(AC$4="Yes",0,INDEX(Calculations!AK$69:AK$81,MATCH(Carbon!$S10,Calculations!$A$69:$A$81,0))),0)</f>
        <v>0</v>
      </c>
      <c r="AD10" s="91">
        <f>IFERROR(IF(AD$4="Yes",0,INDEX(Calculations!AL$69:AL$81,MATCH(Carbon!$S10,Calculations!$A$69:$A$81,0))),0)</f>
        <v>0</v>
      </c>
      <c r="AE10" s="91">
        <f>IFERROR(IF(AE$4="Yes",0,INDEX(Calculations!AM$69:AM$81,MATCH(Carbon!$S10,Calculations!$A$69:$A$81,0))),0)</f>
        <v>0</v>
      </c>
      <c r="AF10" s="91">
        <f>IFERROR(IF(AF$4="Yes",0,INDEX(Calculations!AN$69:AN$81,MATCH(Carbon!$S10,Calculations!$A$69:$A$81,0))),0)</f>
        <v>0</v>
      </c>
      <c r="AG10" s="91">
        <f>IFERROR(IF(AG$4="Yes",0,INDEX(Calculations!AO$69:AO$81,MATCH(Carbon!$S10,Calculations!$A$69:$A$81,0))),0)</f>
        <v>0</v>
      </c>
      <c r="AH10" s="91">
        <f>IFERROR(IF(AH$4="Yes",0,INDEX(Calculations!AP$69:AP$81,MATCH(Carbon!$S10,Calculations!$A$69:$A$81,0))),0)</f>
        <v>0</v>
      </c>
      <c r="AI10" s="91">
        <f>IFERROR(IF(AI$4="Yes",0,INDEX(Calculations!AQ$69:AQ$81,MATCH(Carbon!$S10,Calculations!$A$69:$A$81,0))),0)</f>
        <v>0</v>
      </c>
      <c r="AJ10" s="91">
        <f>IFERROR(IF(AJ$4="Yes",0,INDEX(Calculations!AR$69:AR$81,MATCH(Carbon!$S10,Calculations!$A$69:$A$81,0))),0)</f>
        <v>0</v>
      </c>
      <c r="AK10" s="124">
        <f>IFERROR(SUM(U10:AI10)*'Project Info'!$D$28,0)</f>
        <v>0</v>
      </c>
      <c r="AL10" s="91">
        <f>IFERROR(INDEX(Calculations!BC$69:BC$81,MATCH(Carbon!$S10,Calculations!$A$69:$A$81,0))*-1,0)</f>
        <v>0</v>
      </c>
      <c r="AM10" s="91">
        <f>IFERROR(INDEX(Calculations!BD$69:BD$81,MATCH(Carbon!$S10,Calculations!$A$69:$A$81,0))*-1,0)</f>
        <v>0</v>
      </c>
      <c r="AN10" s="123">
        <f ca="1">IFERROR(SUM(OFFSET(Calculations!BE$69,MATCH($S10,Calculations!$A$69:$A$81,0)-1,0,1,4))*-1,0)</f>
        <v>0</v>
      </c>
      <c r="AO10" s="91">
        <f t="shared" ca="1" si="0"/>
        <v>0</v>
      </c>
      <c r="AP10" s="17"/>
      <c r="AQ10" s="4"/>
      <c r="AW10" s="91">
        <f>IFERROR(INDEX(Calculations!BL$69:BL$81,MATCH($S10,Calculations!$A$9:$A$21,0)),0)</f>
        <v>0</v>
      </c>
      <c r="AX10" s="91">
        <f>IFERROR(INDEX(Calculations!BM$69:BM$81,MATCH($S10,Calculations!$A$9:$A$21,0)),0)</f>
        <v>0</v>
      </c>
      <c r="AY10" s="91">
        <f>IFERROR(INDEX(Calculations!BN$69:BN$81,MATCH($S10,Calculations!$A$9:$A$21,0)),0)</f>
        <v>0</v>
      </c>
      <c r="AZ10" s="91">
        <f>IFERROR(INDEX(Calculations!BO$69:BO$81,MATCH($S10,Calculations!$A$9:$A$21,0)),0)</f>
        <v>0</v>
      </c>
      <c r="BA10" s="91">
        <f>IFERROR(INDEX(Calculations!BP$69:BP$81,MATCH($S10,Calculations!$A$9:$A$21,0)),0)</f>
        <v>0</v>
      </c>
    </row>
    <row r="11" spans="1:53">
      <c r="B11" s="60" t="s">
        <v>174</v>
      </c>
      <c r="C11" s="59" t="str">
        <f>_xlfn.CONCAT(IF('Project Info'!$I$4="SI",Menus!$G$6,Menus!$G$7))</f>
        <v>kg CO2e</v>
      </c>
      <c r="D11" s="71">
        <f>SUM(D6:D10)</f>
        <v>81633.839428628373</v>
      </c>
      <c r="E11" s="71">
        <f t="shared" ref="E11:O11" si="1">SUM(E6:E10)</f>
        <v>0</v>
      </c>
      <c r="F11" s="71">
        <f t="shared" si="1"/>
        <v>0</v>
      </c>
      <c r="G11" s="71">
        <f t="shared" si="1"/>
        <v>0</v>
      </c>
      <c r="H11" s="71">
        <f t="shared" si="1"/>
        <v>0</v>
      </c>
      <c r="I11" s="71">
        <f t="shared" si="1"/>
        <v>0</v>
      </c>
      <c r="J11" s="71">
        <f t="shared" si="1"/>
        <v>0</v>
      </c>
      <c r="K11" s="71">
        <f t="shared" si="1"/>
        <v>0</v>
      </c>
      <c r="L11" s="71">
        <f t="shared" si="1"/>
        <v>0</v>
      </c>
      <c r="M11" s="71">
        <f t="shared" si="1"/>
        <v>0</v>
      </c>
      <c r="N11" s="71">
        <f t="shared" si="1"/>
        <v>0</v>
      </c>
      <c r="O11" s="71">
        <f t="shared" si="1"/>
        <v>0</v>
      </c>
      <c r="Q11" s="12"/>
      <c r="S11" s="20" t="str">
        <f>SiteE!S12</f>
        <v xml:space="preserve"> </v>
      </c>
      <c r="U11" s="91">
        <f>IFERROR(IF(U$4="Yes",0,INDEX(Calculations!AC$69:AC$81,MATCH(Carbon!$S11,Calculations!$A$69:$A$81,0))),0)</f>
        <v>0</v>
      </c>
      <c r="V11" s="91">
        <f>IFERROR(IF(V$4="Yes",0,INDEX(Calculations!AD$69:AD$81,MATCH(Carbon!$S11,Calculations!$A$69:$A$81,0))),0)</f>
        <v>0</v>
      </c>
      <c r="W11" s="91">
        <f>IFERROR(IF(W$4="Yes",0,INDEX(Calculations!AE$69:AE$81,MATCH(Carbon!$S11,Calculations!$A$69:$A$81,0))),0)</f>
        <v>0</v>
      </c>
      <c r="X11" s="91">
        <f>IFERROR(IF(X$4="Yes",0,INDEX(Calculations!AF$69:AF$81,MATCH(Carbon!$S11,Calculations!$A$69:$A$81,0))),0)</f>
        <v>0</v>
      </c>
      <c r="Y11" s="91">
        <f>IFERROR(IF(Y$4="Yes",0,INDEX(Calculations!AG$69:AG$81,MATCH(Carbon!$S11,Calculations!$A$69:$A$81,0))),0)</f>
        <v>0</v>
      </c>
      <c r="Z11" s="91">
        <f>IFERROR(IF(Z$4="Yes",0,INDEX(Calculations!AH$69:AH$81,MATCH(Carbon!$S11,Calculations!$A$69:$A$81,0))),0)</f>
        <v>0</v>
      </c>
      <c r="AA11" s="91">
        <f>IFERROR(IF(AA$4="Yes",0,INDEX(Calculations!AI$69:AI$81,MATCH(Carbon!$S11,Calculations!$A$69:$A$81,0))),0)</f>
        <v>0</v>
      </c>
      <c r="AB11" s="91">
        <f>IFERROR(IF(AB$4="Yes",0,INDEX(Calculations!AJ$69:AJ$81,MATCH(Carbon!$S11,Calculations!$A$69:$A$81,0))),0)</f>
        <v>0</v>
      </c>
      <c r="AC11" s="91">
        <f>IFERROR(IF(AC$4="Yes",0,INDEX(Calculations!AK$69:AK$81,MATCH(Carbon!$S11,Calculations!$A$69:$A$81,0))),0)</f>
        <v>0</v>
      </c>
      <c r="AD11" s="91">
        <f>IFERROR(IF(AD$4="Yes",0,INDEX(Calculations!AL$69:AL$81,MATCH(Carbon!$S11,Calculations!$A$69:$A$81,0))),0)</f>
        <v>0</v>
      </c>
      <c r="AE11" s="91">
        <f>IFERROR(IF(AE$4="Yes",0,INDEX(Calculations!AM$69:AM$81,MATCH(Carbon!$S11,Calculations!$A$69:$A$81,0))),0)</f>
        <v>0</v>
      </c>
      <c r="AF11" s="91">
        <f>IFERROR(IF(AF$4="Yes",0,INDEX(Calculations!AN$69:AN$81,MATCH(Carbon!$S11,Calculations!$A$69:$A$81,0))),0)</f>
        <v>0</v>
      </c>
      <c r="AG11" s="91">
        <f>IFERROR(IF(AG$4="Yes",0,INDEX(Calculations!AO$69:AO$81,MATCH(Carbon!$S11,Calculations!$A$69:$A$81,0))),0)</f>
        <v>0</v>
      </c>
      <c r="AH11" s="91">
        <f>IFERROR(IF(AH$4="Yes",0,INDEX(Calculations!AP$69:AP$81,MATCH(Carbon!$S11,Calculations!$A$69:$A$81,0))),0)</f>
        <v>0</v>
      </c>
      <c r="AI11" s="91">
        <f>IFERROR(IF(AI$4="Yes",0,INDEX(Calculations!AQ$69:AQ$81,MATCH(Carbon!$S11,Calculations!$A$69:$A$81,0))),0)</f>
        <v>0</v>
      </c>
      <c r="AJ11" s="91">
        <f>IFERROR(IF(AJ$4="Yes",0,INDEX(Calculations!AR$69:AR$81,MATCH(Carbon!$S11,Calculations!$A$69:$A$81,0))),0)</f>
        <v>0</v>
      </c>
      <c r="AK11" s="124">
        <f>IFERROR(SUM(U11:AI11)*'Project Info'!$D$28,0)</f>
        <v>0</v>
      </c>
      <c r="AL11" s="91">
        <f>IFERROR(INDEX(Calculations!BC$69:BC$81,MATCH(Carbon!$S11,Calculations!$A$69:$A$81,0))*-1,0)</f>
        <v>0</v>
      </c>
      <c r="AM11" s="91">
        <f>IFERROR(INDEX(Calculations!BD$69:BD$81,MATCH(Carbon!$S11,Calculations!$A$69:$A$81,0))*-1,0)</f>
        <v>0</v>
      </c>
      <c r="AN11" s="123">
        <f ca="1">IFERROR(SUM(OFFSET(Calculations!BE$69,MATCH($S11,Calculations!$A$69:$A$81,0)-1,0,1,4))*-1,0)</f>
        <v>0</v>
      </c>
      <c r="AO11" s="91">
        <f t="shared" ca="1" si="0"/>
        <v>0</v>
      </c>
      <c r="AP11" s="17"/>
      <c r="AQ11" s="4"/>
      <c r="AW11" s="91">
        <f>IFERROR(INDEX(Calculations!BL$69:BL$81,MATCH($S11,Calculations!$A$9:$A$21,0)),0)</f>
        <v>0</v>
      </c>
      <c r="AX11" s="91">
        <f>IFERROR(INDEX(Calculations!BM$69:BM$81,MATCH($S11,Calculations!$A$9:$A$21,0)),0)</f>
        <v>0</v>
      </c>
      <c r="AY11" s="91">
        <f>IFERROR(INDEX(Calculations!BN$69:BN$81,MATCH($S11,Calculations!$A$9:$A$21,0)),0)</f>
        <v>0</v>
      </c>
      <c r="AZ11" s="91">
        <f>IFERROR(INDEX(Calculations!BO$69:BO$81,MATCH($S11,Calculations!$A$9:$A$21,0)),0)</f>
        <v>0</v>
      </c>
      <c r="BA11" s="91">
        <f>IFERROR(INDEX(Calculations!BP$69:BP$81,MATCH($S11,Calculations!$A$9:$A$21,0)),0)</f>
        <v>0</v>
      </c>
    </row>
    <row r="12" spans="1:53">
      <c r="B12" s="60" t="str">
        <f>_xlfn.CONCAT(A1," Intensity")</f>
        <v>Carbon Emissions Intensity</v>
      </c>
      <c r="C12" s="60" t="str">
        <f>_xlfn.CONCAT(IF('Project Info'!$I$4="SI",Menus!$G$6,Menus!$G$7),"/",IF('Project Info'!$I$4="SI","m²","ft²"))</f>
        <v>kg CO2e/ft²</v>
      </c>
      <c r="D12" s="129">
        <f>IFERROR(INDEX(Calculations!$BQ$84:$BQ$96,MATCH(D$5,Calculations!$A$9:$A$21,0)),0)</f>
        <v>5.9796249215227348</v>
      </c>
      <c r="E12" s="129">
        <f>IFERROR(INDEX(Calculations!$BQ$84:$BQ$96,MATCH(E$5,Calculations!$A$9:$A$21,0)),0)</f>
        <v>0</v>
      </c>
      <c r="F12" s="129">
        <f>IFERROR(INDEX(Calculations!$BQ$84:$BQ$96,MATCH(F$5,Calculations!$A$9:$A$21,0)),0)</f>
        <v>0</v>
      </c>
      <c r="G12" s="129">
        <f>IFERROR(INDEX(Calculations!$BQ$84:$BQ$96,MATCH(G$5,Calculations!$A$9:$A$21,0)),0)</f>
        <v>0</v>
      </c>
      <c r="H12" s="129">
        <f>IFERROR(INDEX(Calculations!$BQ$84:$BQ$96,MATCH(H$5,Calculations!$A$9:$A$21,0)),0)</f>
        <v>0</v>
      </c>
      <c r="I12" s="129">
        <f>IFERROR(INDEX(Calculations!$BQ$84:$BQ$96,MATCH(I$5,Calculations!$A$9:$A$21,0)),0)</f>
        <v>0</v>
      </c>
      <c r="J12" s="129">
        <f>IFERROR(INDEX(Calculations!$BQ$84:$BQ$96,MATCH(J$5,Calculations!$A$9:$A$21,0)),0)</f>
        <v>0</v>
      </c>
      <c r="K12" s="129">
        <f>IFERROR(INDEX(Calculations!$BQ$84:$BQ$96,MATCH(K$5,Calculations!$A$9:$A$21,0)),0)</f>
        <v>0</v>
      </c>
      <c r="L12" s="129">
        <f>IFERROR(INDEX(Calculations!$BQ$84:$BQ$96,MATCH(L$5,Calculations!$A$9:$A$21,0)),0)</f>
        <v>0</v>
      </c>
      <c r="M12" s="129">
        <f>IFERROR(INDEX(Calculations!$BQ$84:$BQ$96,MATCH(M$5,Calculations!$A$9:$A$21,0)),0)</f>
        <v>0</v>
      </c>
      <c r="N12" s="129">
        <f>IFERROR(INDEX(Calculations!$BQ$84:$BQ$96,MATCH(N$5,Calculations!$A$9:$A$21,0)),0)</f>
        <v>0</v>
      </c>
      <c r="O12" s="129">
        <f>IFERROR(INDEX(Calculations!$BQ$84:$BQ$96,MATCH(O$5,Calculations!$A$9:$A$21,0)),0)</f>
        <v>0</v>
      </c>
      <c r="Q12" s="12"/>
      <c r="S12" s="20" t="str">
        <f>SiteE!S13</f>
        <v xml:space="preserve"> </v>
      </c>
      <c r="U12" s="91">
        <f>IFERROR(IF(U$4="Yes",0,INDEX(Calculations!AC$69:AC$81,MATCH(Carbon!$S12,Calculations!$A$69:$A$81,0))),0)</f>
        <v>0</v>
      </c>
      <c r="V12" s="91">
        <f>IFERROR(IF(V$4="Yes",0,INDEX(Calculations!AD$69:AD$81,MATCH(Carbon!$S12,Calculations!$A$69:$A$81,0))),0)</f>
        <v>0</v>
      </c>
      <c r="W12" s="91">
        <f>IFERROR(IF(W$4="Yes",0,INDEX(Calculations!AE$69:AE$81,MATCH(Carbon!$S12,Calculations!$A$69:$A$81,0))),0)</f>
        <v>0</v>
      </c>
      <c r="X12" s="91">
        <f>IFERROR(IF(X$4="Yes",0,INDEX(Calculations!AF$69:AF$81,MATCH(Carbon!$S12,Calculations!$A$69:$A$81,0))),0)</f>
        <v>0</v>
      </c>
      <c r="Y12" s="91">
        <f>IFERROR(IF(Y$4="Yes",0,INDEX(Calculations!AG$69:AG$81,MATCH(Carbon!$S12,Calculations!$A$69:$A$81,0))),0)</f>
        <v>0</v>
      </c>
      <c r="Z12" s="91">
        <f>IFERROR(IF(Z$4="Yes",0,INDEX(Calculations!AH$69:AH$81,MATCH(Carbon!$S12,Calculations!$A$69:$A$81,0))),0)</f>
        <v>0</v>
      </c>
      <c r="AA12" s="91">
        <f>IFERROR(IF(AA$4="Yes",0,INDEX(Calculations!AI$69:AI$81,MATCH(Carbon!$S12,Calculations!$A$69:$A$81,0))),0)</f>
        <v>0</v>
      </c>
      <c r="AB12" s="91">
        <f>IFERROR(IF(AB$4="Yes",0,INDEX(Calculations!AJ$69:AJ$81,MATCH(Carbon!$S12,Calculations!$A$69:$A$81,0))),0)</f>
        <v>0</v>
      </c>
      <c r="AC12" s="91">
        <f>IFERROR(IF(AC$4="Yes",0,INDEX(Calculations!AK$69:AK$81,MATCH(Carbon!$S12,Calculations!$A$69:$A$81,0))),0)</f>
        <v>0</v>
      </c>
      <c r="AD12" s="91">
        <f>IFERROR(IF(AD$4="Yes",0,INDEX(Calculations!AL$69:AL$81,MATCH(Carbon!$S12,Calculations!$A$69:$A$81,0))),0)</f>
        <v>0</v>
      </c>
      <c r="AE12" s="91">
        <f>IFERROR(IF(AE$4="Yes",0,INDEX(Calculations!AM$69:AM$81,MATCH(Carbon!$S12,Calculations!$A$69:$A$81,0))),0)</f>
        <v>0</v>
      </c>
      <c r="AF12" s="91">
        <f>IFERROR(IF(AF$4="Yes",0,INDEX(Calculations!AN$69:AN$81,MATCH(Carbon!$S12,Calculations!$A$69:$A$81,0))),0)</f>
        <v>0</v>
      </c>
      <c r="AG12" s="91">
        <f>IFERROR(IF(AG$4="Yes",0,INDEX(Calculations!AO$69:AO$81,MATCH(Carbon!$S12,Calculations!$A$69:$A$81,0))),0)</f>
        <v>0</v>
      </c>
      <c r="AH12" s="91">
        <f>IFERROR(IF(AH$4="Yes",0,INDEX(Calculations!AP$69:AP$81,MATCH(Carbon!$S12,Calculations!$A$69:$A$81,0))),0)</f>
        <v>0</v>
      </c>
      <c r="AI12" s="91">
        <f>IFERROR(IF(AI$4="Yes",0,INDEX(Calculations!AQ$69:AQ$81,MATCH(Carbon!$S12,Calculations!$A$69:$A$81,0))),0)</f>
        <v>0</v>
      </c>
      <c r="AJ12" s="91">
        <f>IFERROR(IF(AJ$4="Yes",0,INDEX(Calculations!AR$69:AR$81,MATCH(Carbon!$S12,Calculations!$A$69:$A$81,0))),0)</f>
        <v>0</v>
      </c>
      <c r="AK12" s="124">
        <f>IFERROR(SUM(U12:AI12)*'Project Info'!$D$28,0)</f>
        <v>0</v>
      </c>
      <c r="AL12" s="91">
        <f>IFERROR(INDEX(Calculations!BC$69:BC$81,MATCH(Carbon!$S12,Calculations!$A$69:$A$81,0))*-1,0)</f>
        <v>0</v>
      </c>
      <c r="AM12" s="91">
        <f>IFERROR(INDEX(Calculations!BD$69:BD$81,MATCH(Carbon!$S12,Calculations!$A$69:$A$81,0))*-1,0)</f>
        <v>0</v>
      </c>
      <c r="AN12" s="123">
        <f ca="1">IFERROR(SUM(OFFSET(Calculations!BE$69,MATCH($S12,Calculations!$A$69:$A$81,0)-1,0,1,4))*-1,0)</f>
        <v>0</v>
      </c>
      <c r="AO12" s="91">
        <f t="shared" ca="1" si="0"/>
        <v>0</v>
      </c>
      <c r="AP12" s="17"/>
      <c r="AQ12" s="4"/>
      <c r="AW12" s="91">
        <f>IFERROR(INDEX(Calculations!BL$69:BL$81,MATCH($S12,Calculations!$A$9:$A$21,0)),0)</f>
        <v>0</v>
      </c>
      <c r="AX12" s="91">
        <f>IFERROR(INDEX(Calculations!BM$69:BM$81,MATCH($S12,Calculations!$A$9:$A$21,0)),0)</f>
        <v>0</v>
      </c>
      <c r="AY12" s="91">
        <f>IFERROR(INDEX(Calculations!BN$69:BN$81,MATCH($S12,Calculations!$A$9:$A$21,0)),0)</f>
        <v>0</v>
      </c>
      <c r="AZ12" s="91">
        <f>IFERROR(INDEX(Calculations!BO$69:BO$81,MATCH($S12,Calculations!$A$9:$A$21,0)),0)</f>
        <v>0</v>
      </c>
      <c r="BA12" s="91">
        <f>IFERROR(INDEX(Calculations!BP$69:BP$81,MATCH($S12,Calculations!$A$9:$A$21,0)),0)</f>
        <v>0</v>
      </c>
    </row>
    <row r="13" spans="1:53">
      <c r="B13" s="64" t="str">
        <f>_xlfn.CONCAT(A1," Savings")</f>
        <v>Carbon Emissions Savings</v>
      </c>
      <c r="C13" s="64" t="s">
        <v>209</v>
      </c>
      <c r="D13" s="69"/>
      <c r="E13" s="70" t="str">
        <f>IFERROR(IF(E$5=" "," ",1-(E11/$D11)),"0%")</f>
        <v xml:space="preserve"> </v>
      </c>
      <c r="F13" s="70" t="str">
        <f t="shared" ref="F13:O13" si="2">IFERROR(IF(F$5=" "," ",1-(F11/$D11)),"0%")</f>
        <v xml:space="preserve"> </v>
      </c>
      <c r="G13" s="70" t="str">
        <f t="shared" si="2"/>
        <v xml:space="preserve"> </v>
      </c>
      <c r="H13" s="70" t="str">
        <f t="shared" si="2"/>
        <v xml:space="preserve"> </v>
      </c>
      <c r="I13" s="70" t="str">
        <f t="shared" si="2"/>
        <v xml:space="preserve"> </v>
      </c>
      <c r="J13" s="70" t="str">
        <f t="shared" si="2"/>
        <v xml:space="preserve"> </v>
      </c>
      <c r="K13" s="70" t="str">
        <f t="shared" si="2"/>
        <v xml:space="preserve"> </v>
      </c>
      <c r="L13" s="70" t="str">
        <f t="shared" si="2"/>
        <v xml:space="preserve"> </v>
      </c>
      <c r="M13" s="70" t="str">
        <f t="shared" si="2"/>
        <v xml:space="preserve"> </v>
      </c>
      <c r="N13" s="70" t="str">
        <f t="shared" si="2"/>
        <v xml:space="preserve"> </v>
      </c>
      <c r="O13" s="70" t="str">
        <f t="shared" si="2"/>
        <v xml:space="preserve"> </v>
      </c>
      <c r="Q13" s="12"/>
      <c r="S13" s="20" t="str">
        <f>SiteE!S15</f>
        <v xml:space="preserve"> </v>
      </c>
      <c r="U13" s="91">
        <f>IFERROR(IF(U$4="Yes",0,INDEX(Calculations!AC$69:AC$81,MATCH(Carbon!$S13,Calculations!$A$69:$A$81,0))),0)</f>
        <v>0</v>
      </c>
      <c r="V13" s="91">
        <f>IFERROR(IF(V$4="Yes",0,INDEX(Calculations!AD$69:AD$81,MATCH(Carbon!$S13,Calculations!$A$69:$A$81,0))),0)</f>
        <v>0</v>
      </c>
      <c r="W13" s="91">
        <f>IFERROR(IF(W$4="Yes",0,INDEX(Calculations!AE$69:AE$81,MATCH(Carbon!$S13,Calculations!$A$69:$A$81,0))),0)</f>
        <v>0</v>
      </c>
      <c r="X13" s="91">
        <f>IFERROR(IF(X$4="Yes",0,INDEX(Calculations!AF$69:AF$81,MATCH(Carbon!$S13,Calculations!$A$69:$A$81,0))),0)</f>
        <v>0</v>
      </c>
      <c r="Y13" s="91">
        <f>IFERROR(IF(Y$4="Yes",0,INDEX(Calculations!AG$69:AG$81,MATCH(Carbon!$S13,Calculations!$A$69:$A$81,0))),0)</f>
        <v>0</v>
      </c>
      <c r="Z13" s="91">
        <f>IFERROR(IF(Z$4="Yes",0,INDEX(Calculations!AH$69:AH$81,MATCH(Carbon!$S13,Calculations!$A$69:$A$81,0))),0)</f>
        <v>0</v>
      </c>
      <c r="AA13" s="91">
        <f>IFERROR(IF(AA$4="Yes",0,INDEX(Calculations!AI$69:AI$81,MATCH(Carbon!$S13,Calculations!$A$69:$A$81,0))),0)</f>
        <v>0</v>
      </c>
      <c r="AB13" s="91">
        <f>IFERROR(IF(AB$4="Yes",0,INDEX(Calculations!AJ$69:AJ$81,MATCH(Carbon!$S13,Calculations!$A$69:$A$81,0))),0)</f>
        <v>0</v>
      </c>
      <c r="AC13" s="91">
        <f>IFERROR(IF(AC$4="Yes",0,INDEX(Calculations!AK$69:AK$81,MATCH(Carbon!$S13,Calculations!$A$69:$A$81,0))),0)</f>
        <v>0</v>
      </c>
      <c r="AD13" s="91">
        <f>IFERROR(IF(AD$4="Yes",0,INDEX(Calculations!AL$69:AL$81,MATCH(Carbon!$S13,Calculations!$A$69:$A$81,0))),0)</f>
        <v>0</v>
      </c>
      <c r="AE13" s="91">
        <f>IFERROR(IF(AE$4="Yes",0,INDEX(Calculations!AM$69:AM$81,MATCH(Carbon!$S13,Calculations!$A$69:$A$81,0))),0)</f>
        <v>0</v>
      </c>
      <c r="AF13" s="91">
        <f>IFERROR(IF(AF$4="Yes",0,INDEX(Calculations!AN$69:AN$81,MATCH(Carbon!$S13,Calculations!$A$69:$A$81,0))),0)</f>
        <v>0</v>
      </c>
      <c r="AG13" s="91">
        <f>IFERROR(IF(AG$4="Yes",0,INDEX(Calculations!AO$69:AO$81,MATCH(Carbon!$S13,Calculations!$A$69:$A$81,0))),0)</f>
        <v>0</v>
      </c>
      <c r="AH13" s="91">
        <f>IFERROR(IF(AH$4="Yes",0,INDEX(Calculations!AP$69:AP$81,MATCH(Carbon!$S13,Calculations!$A$69:$A$81,0))),0)</f>
        <v>0</v>
      </c>
      <c r="AI13" s="91">
        <f>IFERROR(IF(AI$4="Yes",0,INDEX(Calculations!AQ$69:AQ$81,MATCH(Carbon!$S13,Calculations!$A$69:$A$81,0))),0)</f>
        <v>0</v>
      </c>
      <c r="AJ13" s="91">
        <f>IFERROR(IF(AJ$4="Yes",0,INDEX(Calculations!AR$69:AR$81,MATCH(Carbon!$S13,Calculations!$A$69:$A$81,0))),0)</f>
        <v>0</v>
      </c>
      <c r="AK13" s="124">
        <f>IFERROR(SUM(U13:AI13)*'Project Info'!$D$28,0)</f>
        <v>0</v>
      </c>
      <c r="AL13" s="91">
        <f>IFERROR(INDEX(Calculations!BC$69:BC$81,MATCH(Carbon!$S13,Calculations!$A$69:$A$81,0))*-1,0)</f>
        <v>0</v>
      </c>
      <c r="AM13" s="91">
        <f>IFERROR(INDEX(Calculations!BD$69:BD$81,MATCH(Carbon!$S13,Calculations!$A$69:$A$81,0))*-1,0)</f>
        <v>0</v>
      </c>
      <c r="AN13" s="123">
        <f ca="1">IFERROR(SUM(OFFSET(Calculations!BE$69,MATCH($S13,Calculations!$A$69:$A$81,0)-1,0,1,4))*-1,0)</f>
        <v>0</v>
      </c>
      <c r="AO13" s="91">
        <f t="shared" ca="1" si="0"/>
        <v>0</v>
      </c>
      <c r="AP13" s="17"/>
      <c r="AQ13" s="4"/>
      <c r="AW13" s="91">
        <f>IFERROR(INDEX(Calculations!BL$69:BL$81,MATCH($S13,Calculations!$A$9:$A$21,0)),0)</f>
        <v>0</v>
      </c>
      <c r="AX13" s="91">
        <f>IFERROR(INDEX(Calculations!BM$69:BM$81,MATCH($S13,Calculations!$A$9:$A$21,0)),0)</f>
        <v>0</v>
      </c>
      <c r="AY13" s="91">
        <f>IFERROR(INDEX(Calculations!BN$69:BN$81,MATCH($S13,Calculations!$A$9:$A$21,0)),0)</f>
        <v>0</v>
      </c>
      <c r="AZ13" s="91">
        <f>IFERROR(INDEX(Calculations!BO$69:BO$81,MATCH($S13,Calculations!$A$9:$A$21,0)),0)</f>
        <v>0</v>
      </c>
      <c r="BA13" s="91">
        <f>IFERROR(INDEX(Calculations!BP$69:BP$81,MATCH($S13,Calculations!$A$9:$A$21,0)),0)</f>
        <v>0</v>
      </c>
    </row>
    <row r="14" spans="1:53">
      <c r="B14" s="59" t="str">
        <f>IF(MATCH('Project Info'!$D$12,LEED_Version,0)&lt;4," ","LEED Points")</f>
        <v xml:space="preserve"> </v>
      </c>
      <c r="C14" s="71"/>
      <c r="D14" s="71"/>
      <c r="E14" s="71" t="str">
        <f>IFERROR(IF(MATCH('Project Info'!$D$12,LEED_Version,0)&lt;4," ",INDEX('RefTable LEED'!$BD$6:$BD$25,MATCH(E13,'RefTable LEED'!$BC$6:$BC$25,1))),0)</f>
        <v xml:space="preserve"> </v>
      </c>
      <c r="F14" s="71" t="str">
        <f>IFERROR(IF(MATCH('Project Info'!$D$12,LEED_Version,0)&lt;4," ",INDEX('RefTable LEED'!$BD$6:$BD$25,MATCH(F13,'RefTable LEED'!$BC$6:$BC$25,1))),0)</f>
        <v xml:space="preserve"> </v>
      </c>
      <c r="G14" s="71" t="str">
        <f>IFERROR(IF(MATCH('Project Info'!$D$12,LEED_Version,0)&lt;4," ",INDEX('RefTable LEED'!$BD$6:$BD$25,MATCH(G13,'RefTable LEED'!$BC$6:$BC$25,1))),0)</f>
        <v xml:space="preserve"> </v>
      </c>
      <c r="H14" s="71" t="str">
        <f>IFERROR(IF(MATCH('Project Info'!$D$12,LEED_Version,0)&lt;4," ",INDEX('RefTable LEED'!$BD$6:$BD$25,MATCH(H13,'RefTable LEED'!$BC$6:$BC$25,1))),0)</f>
        <v xml:space="preserve"> </v>
      </c>
      <c r="I14" s="71" t="str">
        <f>IFERROR(IF(MATCH('Project Info'!$D$12,LEED_Version,0)&lt;4," ",INDEX('RefTable LEED'!$BD$6:$BD$25,MATCH(I13,'RefTable LEED'!$BC$6:$BC$25,1))),0)</f>
        <v xml:space="preserve"> </v>
      </c>
      <c r="J14" s="71" t="str">
        <f>IFERROR(IF(MATCH('Project Info'!$D$12,LEED_Version,0)&lt;4," ",INDEX('RefTable LEED'!$BD$6:$BD$25,MATCH(J13,'RefTable LEED'!$BC$6:$BC$25,1))),0)</f>
        <v xml:space="preserve"> </v>
      </c>
      <c r="K14" s="71" t="str">
        <f>IFERROR(IF(MATCH('Project Info'!$D$12,LEED_Version,0)&lt;4," ",INDEX('RefTable LEED'!$BD$6:$BD$25,MATCH(K13,'RefTable LEED'!$BC$6:$BC$25,1))),0)</f>
        <v xml:space="preserve"> </v>
      </c>
      <c r="L14" s="71" t="str">
        <f>IFERROR(IF(MATCH('Project Info'!$D$12,LEED_Version,0)&lt;4," ",INDEX('RefTable LEED'!$BD$6:$BD$25,MATCH(L13,'RefTable LEED'!$BC$6:$BC$25,1))),0)</f>
        <v xml:space="preserve"> </v>
      </c>
      <c r="M14" s="71" t="str">
        <f>IFERROR(IF(MATCH('Project Info'!$D$12,LEED_Version,0)&lt;4," ",INDEX('RefTable LEED'!$BD$6:$BD$25,MATCH(M13,'RefTable LEED'!$BC$6:$BC$25,1))),0)</f>
        <v xml:space="preserve"> </v>
      </c>
      <c r="N14" s="71" t="str">
        <f>IFERROR(IF(MATCH('Project Info'!$D$12,LEED_Version,0)&lt;4," ",INDEX('RefTable LEED'!$BD$6:$BD$25,MATCH(N13,'RefTable LEED'!$BC$6:$BC$25,1))),0)</f>
        <v xml:space="preserve"> </v>
      </c>
      <c r="O14" s="71" t="str">
        <f>IFERROR(IF(MATCH('Project Info'!$D$12,LEED_Version,0)&lt;4," ",INDEX('RefTable LEED'!$BD$6:$BD$25,MATCH(O13,'RefTable LEED'!$BC$6:$BC$25,1))),0)</f>
        <v xml:space="preserve"> </v>
      </c>
      <c r="Q14" s="12"/>
      <c r="S14" s="20" t="str">
        <f>SiteE!S16</f>
        <v xml:space="preserve"> </v>
      </c>
      <c r="U14" s="91">
        <f>IFERROR(IF(U$4="Yes",0,INDEX(Calculations!AC$69:AC$81,MATCH(Carbon!$S14,Calculations!$A$69:$A$81,0))),0)</f>
        <v>0</v>
      </c>
      <c r="V14" s="91">
        <f>IFERROR(IF(V$4="Yes",0,INDEX(Calculations!AD$69:AD$81,MATCH(Carbon!$S14,Calculations!$A$69:$A$81,0))),0)</f>
        <v>0</v>
      </c>
      <c r="W14" s="91">
        <f>IFERROR(IF(W$4="Yes",0,INDEX(Calculations!AE$69:AE$81,MATCH(Carbon!$S14,Calculations!$A$69:$A$81,0))),0)</f>
        <v>0</v>
      </c>
      <c r="X14" s="91">
        <f>IFERROR(IF(X$4="Yes",0,INDEX(Calculations!AF$69:AF$81,MATCH(Carbon!$S14,Calculations!$A$69:$A$81,0))),0)</f>
        <v>0</v>
      </c>
      <c r="Y14" s="91">
        <f>IFERROR(IF(Y$4="Yes",0,INDEX(Calculations!AG$69:AG$81,MATCH(Carbon!$S14,Calculations!$A$69:$A$81,0))),0)</f>
        <v>0</v>
      </c>
      <c r="Z14" s="91">
        <f>IFERROR(IF(Z$4="Yes",0,INDEX(Calculations!AH$69:AH$81,MATCH(Carbon!$S14,Calculations!$A$69:$A$81,0))),0)</f>
        <v>0</v>
      </c>
      <c r="AA14" s="91">
        <f>IFERROR(IF(AA$4="Yes",0,INDEX(Calculations!AI$69:AI$81,MATCH(Carbon!$S14,Calculations!$A$69:$A$81,0))),0)</f>
        <v>0</v>
      </c>
      <c r="AB14" s="91">
        <f>IFERROR(IF(AB$4="Yes",0,INDEX(Calculations!AJ$69:AJ$81,MATCH(Carbon!$S14,Calculations!$A$69:$A$81,0))),0)</f>
        <v>0</v>
      </c>
      <c r="AC14" s="91">
        <f>IFERROR(IF(AC$4="Yes",0,INDEX(Calculations!AK$69:AK$81,MATCH(Carbon!$S14,Calculations!$A$69:$A$81,0))),0)</f>
        <v>0</v>
      </c>
      <c r="AD14" s="91">
        <f>IFERROR(IF(AD$4="Yes",0,INDEX(Calculations!AL$69:AL$81,MATCH(Carbon!$S14,Calculations!$A$69:$A$81,0))),0)</f>
        <v>0</v>
      </c>
      <c r="AE14" s="91">
        <f>IFERROR(IF(AE$4="Yes",0,INDEX(Calculations!AM$69:AM$81,MATCH(Carbon!$S14,Calculations!$A$69:$A$81,0))),0)</f>
        <v>0</v>
      </c>
      <c r="AF14" s="91">
        <f>IFERROR(IF(AF$4="Yes",0,INDEX(Calculations!AN$69:AN$81,MATCH(Carbon!$S14,Calculations!$A$69:$A$81,0))),0)</f>
        <v>0</v>
      </c>
      <c r="AG14" s="91">
        <f>IFERROR(IF(AG$4="Yes",0,INDEX(Calculations!AO$69:AO$81,MATCH(Carbon!$S14,Calculations!$A$69:$A$81,0))),0)</f>
        <v>0</v>
      </c>
      <c r="AH14" s="91">
        <f>IFERROR(IF(AH$4="Yes",0,INDEX(Calculations!AP$69:AP$81,MATCH(Carbon!$S14,Calculations!$A$69:$A$81,0))),0)</f>
        <v>0</v>
      </c>
      <c r="AI14" s="91">
        <f>IFERROR(IF(AI$4="Yes",0,INDEX(Calculations!AQ$69:AQ$81,MATCH(Carbon!$S14,Calculations!$A$69:$A$81,0))),0)</f>
        <v>0</v>
      </c>
      <c r="AJ14" s="91">
        <f>IFERROR(IF(AJ$4="Yes",0,INDEX(Calculations!AR$69:AR$81,MATCH(Carbon!$S14,Calculations!$A$69:$A$81,0))),0)</f>
        <v>0</v>
      </c>
      <c r="AK14" s="124">
        <f>IFERROR(SUM(U14:AI14)*'Project Info'!$D$28,0)</f>
        <v>0</v>
      </c>
      <c r="AL14" s="91">
        <f>IFERROR(INDEX(Calculations!BC$69:BC$81,MATCH(Carbon!$S14,Calculations!$A$69:$A$81,0))*-1,0)</f>
        <v>0</v>
      </c>
      <c r="AM14" s="91">
        <f>IFERROR(INDEX(Calculations!BD$69:BD$81,MATCH(Carbon!$S14,Calculations!$A$69:$A$81,0))*-1,0)</f>
        <v>0</v>
      </c>
      <c r="AN14" s="123">
        <f ca="1">IFERROR(SUM(OFFSET(Calculations!BE$69,MATCH($S14,Calculations!$A$69:$A$81,0)-1,0,1,4))*-1,0)</f>
        <v>0</v>
      </c>
      <c r="AO14" s="91">
        <f t="shared" ca="1" si="0"/>
        <v>0</v>
      </c>
      <c r="AP14" s="17"/>
      <c r="AQ14" s="4"/>
      <c r="AW14" s="91">
        <f>IFERROR(INDEX(Calculations!BL$69:BL$81,MATCH($S14,Calculations!$A$9:$A$21,0)),0)</f>
        <v>0</v>
      </c>
      <c r="AX14" s="91">
        <f>IFERROR(INDEX(Calculations!BM$69:BM$81,MATCH($S14,Calculations!$A$9:$A$21,0)),0)</f>
        <v>0</v>
      </c>
      <c r="AY14" s="91">
        <f>IFERROR(INDEX(Calculations!BN$69:BN$81,MATCH($S14,Calculations!$A$9:$A$21,0)),0)</f>
        <v>0</v>
      </c>
      <c r="AZ14" s="91">
        <f>IFERROR(INDEX(Calculations!BO$69:BO$81,MATCH($S14,Calculations!$A$9:$A$21,0)),0)</f>
        <v>0</v>
      </c>
      <c r="BA14" s="91">
        <f>IFERROR(INDEX(Calculations!BP$69:BP$81,MATCH($S14,Calculations!$A$9:$A$21,0)),0)</f>
        <v>0</v>
      </c>
    </row>
    <row r="15" spans="1:53">
      <c r="C15" s="19"/>
      <c r="D15" s="4"/>
      <c r="E15" s="4"/>
      <c r="F15" s="4"/>
      <c r="G15" s="4"/>
      <c r="H15" s="4"/>
      <c r="I15" s="4"/>
      <c r="J15" s="4"/>
      <c r="K15" s="4"/>
      <c r="L15" s="4"/>
      <c r="M15" s="4"/>
      <c r="N15" s="4"/>
      <c r="O15" s="4"/>
      <c r="P15" s="1" t="str">
        <f ca="1">OFFSET(S6,$S$3,0)</f>
        <v xml:space="preserve"> </v>
      </c>
      <c r="Q15" s="12"/>
      <c r="S15" s="20" t="str">
        <f>SiteE!S17</f>
        <v xml:space="preserve"> </v>
      </c>
      <c r="U15" s="91">
        <f>IFERROR(IF(U$4="Yes",0,INDEX(Calculations!AC$69:AC$81,MATCH(Carbon!$S15,Calculations!$A$69:$A$81,0))),0)</f>
        <v>0</v>
      </c>
      <c r="V15" s="91">
        <f>IFERROR(IF(V$4="Yes",0,INDEX(Calculations!AD$69:AD$81,MATCH(Carbon!$S15,Calculations!$A$69:$A$81,0))),0)</f>
        <v>0</v>
      </c>
      <c r="W15" s="91">
        <f>IFERROR(IF(W$4="Yes",0,INDEX(Calculations!AE$69:AE$81,MATCH(Carbon!$S15,Calculations!$A$69:$A$81,0))),0)</f>
        <v>0</v>
      </c>
      <c r="X15" s="91">
        <f>IFERROR(IF(X$4="Yes",0,INDEX(Calculations!AF$69:AF$81,MATCH(Carbon!$S15,Calculations!$A$69:$A$81,0))),0)</f>
        <v>0</v>
      </c>
      <c r="Y15" s="91">
        <f>IFERROR(IF(Y$4="Yes",0,INDEX(Calculations!AG$69:AG$81,MATCH(Carbon!$S15,Calculations!$A$69:$A$81,0))),0)</f>
        <v>0</v>
      </c>
      <c r="Z15" s="91">
        <f>IFERROR(IF(Z$4="Yes",0,INDEX(Calculations!AH$69:AH$81,MATCH(Carbon!$S15,Calculations!$A$69:$A$81,0))),0)</f>
        <v>0</v>
      </c>
      <c r="AA15" s="91">
        <f>IFERROR(IF(AA$4="Yes",0,INDEX(Calculations!AI$69:AI$81,MATCH(Carbon!$S15,Calculations!$A$69:$A$81,0))),0)</f>
        <v>0</v>
      </c>
      <c r="AB15" s="91">
        <f>IFERROR(IF(AB$4="Yes",0,INDEX(Calculations!AJ$69:AJ$81,MATCH(Carbon!$S15,Calculations!$A$69:$A$81,0))),0)</f>
        <v>0</v>
      </c>
      <c r="AC15" s="91">
        <f>IFERROR(IF(AC$4="Yes",0,INDEX(Calculations!AK$69:AK$81,MATCH(Carbon!$S15,Calculations!$A$69:$A$81,0))),0)</f>
        <v>0</v>
      </c>
      <c r="AD15" s="91">
        <f>IFERROR(IF(AD$4="Yes",0,INDEX(Calculations!AL$69:AL$81,MATCH(Carbon!$S15,Calculations!$A$69:$A$81,0))),0)</f>
        <v>0</v>
      </c>
      <c r="AE15" s="91">
        <f>IFERROR(IF(AE$4="Yes",0,INDEX(Calculations!AM$69:AM$81,MATCH(Carbon!$S15,Calculations!$A$69:$A$81,0))),0)</f>
        <v>0</v>
      </c>
      <c r="AF15" s="91">
        <f>IFERROR(IF(AF$4="Yes",0,INDEX(Calculations!AN$69:AN$81,MATCH(Carbon!$S15,Calculations!$A$69:$A$81,0))),0)</f>
        <v>0</v>
      </c>
      <c r="AG15" s="91">
        <f>IFERROR(IF(AG$4="Yes",0,INDEX(Calculations!AO$69:AO$81,MATCH(Carbon!$S15,Calculations!$A$69:$A$81,0))),0)</f>
        <v>0</v>
      </c>
      <c r="AH15" s="91">
        <f>IFERROR(IF(AH$4="Yes",0,INDEX(Calculations!AP$69:AP$81,MATCH(Carbon!$S15,Calculations!$A$69:$A$81,0))),0)</f>
        <v>0</v>
      </c>
      <c r="AI15" s="91">
        <f>IFERROR(IF(AI$4="Yes",0,INDEX(Calculations!AQ$69:AQ$81,MATCH(Carbon!$S15,Calculations!$A$69:$A$81,0))),0)</f>
        <v>0</v>
      </c>
      <c r="AJ15" s="91">
        <f>IFERROR(IF(AJ$4="Yes",0,INDEX(Calculations!AR$69:AR$81,MATCH(Carbon!$S15,Calculations!$A$69:$A$81,0))),0)</f>
        <v>0</v>
      </c>
      <c r="AK15" s="124">
        <f>IFERROR(SUM(U15:AI15)*'Project Info'!$D$28,0)</f>
        <v>0</v>
      </c>
      <c r="AL15" s="91">
        <f>IFERROR(INDEX(Calculations!BC$69:BC$81,MATCH(Carbon!$S15,Calculations!$A$69:$A$81,0))*-1,0)</f>
        <v>0</v>
      </c>
      <c r="AM15" s="91">
        <f>IFERROR(INDEX(Calculations!BD$69:BD$81,MATCH(Carbon!$S15,Calculations!$A$69:$A$81,0))*-1,0)</f>
        <v>0</v>
      </c>
      <c r="AN15" s="123">
        <f ca="1">IFERROR(SUM(OFFSET(Calculations!BE$69,MATCH($S15,Calculations!$A$69:$A$81,0)-1,0,1,4))*-1,0)</f>
        <v>0</v>
      </c>
      <c r="AO15" s="91">
        <f t="shared" ca="1" si="0"/>
        <v>0</v>
      </c>
      <c r="AP15" s="17"/>
      <c r="AQ15" s="4"/>
      <c r="AW15" s="91">
        <f>IFERROR(INDEX(Calculations!BL$69:BL$81,MATCH($S15,Calculations!$A$9:$A$21,0)),0)</f>
        <v>0</v>
      </c>
      <c r="AX15" s="91">
        <f>IFERROR(INDEX(Calculations!BM$69:BM$81,MATCH($S15,Calculations!$A$9:$A$21,0)),0)</f>
        <v>0</v>
      </c>
      <c r="AY15" s="91">
        <f>IFERROR(INDEX(Calculations!BN$69:BN$81,MATCH($S15,Calculations!$A$9:$A$21,0)),0)</f>
        <v>0</v>
      </c>
      <c r="AZ15" s="91">
        <f>IFERROR(INDEX(Calculations!BO$69:BO$81,MATCH($S15,Calculations!$A$9:$A$21,0)),0)</f>
        <v>0</v>
      </c>
      <c r="BA15" s="91">
        <f>IFERROR(INDEX(Calculations!BP$69:BP$81,MATCH($S15,Calculations!$A$9:$A$21,0)),0)</f>
        <v>0</v>
      </c>
    </row>
    <row r="16" spans="1:53">
      <c r="Q16" s="12"/>
      <c r="S16" s="20" t="e">
        <f>SiteE!#REF!</f>
        <v>#REF!</v>
      </c>
      <c r="U16" s="91">
        <f>IFERROR(IF(U$4="Yes",0,INDEX(Calculations!AC$69:AC$81,MATCH(Carbon!$S16,Calculations!$A$69:$A$81,0))),0)</f>
        <v>0</v>
      </c>
      <c r="V16" s="91">
        <f>IFERROR(IF(V$4="Yes",0,INDEX(Calculations!AD$69:AD$81,MATCH(Carbon!$S16,Calculations!$A$69:$A$81,0))),0)</f>
        <v>0</v>
      </c>
      <c r="W16" s="91">
        <f>IFERROR(IF(W$4="Yes",0,INDEX(Calculations!AE$69:AE$81,MATCH(Carbon!$S16,Calculations!$A$69:$A$81,0))),0)</f>
        <v>0</v>
      </c>
      <c r="X16" s="91">
        <f>IFERROR(IF(X$4="Yes",0,INDEX(Calculations!AF$69:AF$81,MATCH(Carbon!$S16,Calculations!$A$69:$A$81,0))),0)</f>
        <v>0</v>
      </c>
      <c r="Y16" s="91">
        <f>IFERROR(IF(Y$4="Yes",0,INDEX(Calculations!AG$69:AG$81,MATCH(Carbon!$S16,Calculations!$A$69:$A$81,0))),0)</f>
        <v>0</v>
      </c>
      <c r="Z16" s="91">
        <f>IFERROR(IF(Z$4="Yes",0,INDEX(Calculations!AH$69:AH$81,MATCH(Carbon!$S16,Calculations!$A$69:$A$81,0))),0)</f>
        <v>0</v>
      </c>
      <c r="AA16" s="91">
        <f>IFERROR(IF(AA$4="Yes",0,INDEX(Calculations!AI$69:AI$81,MATCH(Carbon!$S16,Calculations!$A$69:$A$81,0))),0)</f>
        <v>0</v>
      </c>
      <c r="AB16" s="91">
        <f>IFERROR(IF(AB$4="Yes",0,INDEX(Calculations!AJ$69:AJ$81,MATCH(Carbon!$S16,Calculations!$A$69:$A$81,0))),0)</f>
        <v>0</v>
      </c>
      <c r="AC16" s="91">
        <f>IFERROR(IF(AC$4="Yes",0,INDEX(Calculations!AK$69:AK$81,MATCH(Carbon!$S16,Calculations!$A$69:$A$81,0))),0)</f>
        <v>0</v>
      </c>
      <c r="AD16" s="91">
        <f>IFERROR(IF(AD$4="Yes",0,INDEX(Calculations!AL$69:AL$81,MATCH(Carbon!$S16,Calculations!$A$69:$A$81,0))),0)</f>
        <v>0</v>
      </c>
      <c r="AE16" s="91">
        <f>IFERROR(IF(AE$4="Yes",0,INDEX(Calculations!AM$69:AM$81,MATCH(Carbon!$S16,Calculations!$A$69:$A$81,0))),0)</f>
        <v>0</v>
      </c>
      <c r="AF16" s="91">
        <f>IFERROR(IF(AF$4="Yes",0,INDEX(Calculations!AN$69:AN$81,MATCH(Carbon!$S16,Calculations!$A$69:$A$81,0))),0)</f>
        <v>0</v>
      </c>
      <c r="AG16" s="91">
        <f>IFERROR(IF(AG$4="Yes",0,INDEX(Calculations!AO$69:AO$81,MATCH(Carbon!$S16,Calculations!$A$69:$A$81,0))),0)</f>
        <v>0</v>
      </c>
      <c r="AH16" s="91">
        <f>IFERROR(IF(AH$4="Yes",0,INDEX(Calculations!AP$69:AP$81,MATCH(Carbon!$S16,Calculations!$A$69:$A$81,0))),0)</f>
        <v>0</v>
      </c>
      <c r="AI16" s="91">
        <f>IFERROR(IF(AI$4="Yes",0,INDEX(Calculations!AQ$69:AQ$81,MATCH(Carbon!$S16,Calculations!$A$69:$A$81,0))),0)</f>
        <v>0</v>
      </c>
      <c r="AJ16" s="91">
        <f>IFERROR(IF(AJ$4="Yes",0,INDEX(Calculations!AR$69:AR$81,MATCH(Carbon!$S16,Calculations!$A$69:$A$81,0))),0)</f>
        <v>0</v>
      </c>
      <c r="AK16" s="124">
        <f>IFERROR(SUM(U16:AI16)*'Project Info'!$D$28,0)</f>
        <v>0</v>
      </c>
      <c r="AL16" s="91">
        <f>IFERROR(INDEX(Calculations!BC$69:BC$81,MATCH(Carbon!$S16,Calculations!$A$69:$A$81,0))*-1,0)</f>
        <v>0</v>
      </c>
      <c r="AM16" s="91">
        <f>IFERROR(INDEX(Calculations!BD$69:BD$81,MATCH(Carbon!$S16,Calculations!$A$69:$A$81,0))*-1,0)</f>
        <v>0</v>
      </c>
      <c r="AN16" s="123">
        <f ca="1">IFERROR(SUM(OFFSET(Calculations!BE$69,MATCH($S16,Calculations!$A$69:$A$81,0)-1,0,1,4))*-1,0)</f>
        <v>0</v>
      </c>
      <c r="AO16" s="91">
        <f t="shared" ca="1" si="0"/>
        <v>0</v>
      </c>
      <c r="AP16" s="17"/>
      <c r="AQ16" s="4"/>
      <c r="AW16" s="91">
        <f>IFERROR(INDEX(Calculations!BL$69:BL$81,MATCH($S16,Calculations!$A$9:$A$21,0)),0)</f>
        <v>0</v>
      </c>
      <c r="AX16" s="91">
        <f>IFERROR(INDEX(Calculations!BM$69:BM$81,MATCH($S16,Calculations!$A$9:$A$21,0)),0)</f>
        <v>0</v>
      </c>
      <c r="AY16" s="91">
        <f>IFERROR(INDEX(Calculations!BN$69:BN$81,MATCH($S16,Calculations!$A$9:$A$21,0)),0)</f>
        <v>0</v>
      </c>
      <c r="AZ16" s="91">
        <f>IFERROR(INDEX(Calculations!BO$69:BO$81,MATCH($S16,Calculations!$A$9:$A$21,0)),0)</f>
        <v>0</v>
      </c>
      <c r="BA16" s="91">
        <f>IFERROR(INDEX(Calculations!BP$69:BP$81,MATCH($S16,Calculations!$A$9:$A$21,0)),0)</f>
        <v>0</v>
      </c>
    </row>
    <row r="17" spans="17:53">
      <c r="Q17" s="12"/>
      <c r="S17" s="20" t="e">
        <f>SiteE!#REF!</f>
        <v>#REF!</v>
      </c>
      <c r="U17" s="91">
        <f>IFERROR(IF(U$4="Yes",0,INDEX(Calculations!AC$69:AC$81,MATCH(Carbon!$S17,Calculations!$A$69:$A$81,0))),0)</f>
        <v>0</v>
      </c>
      <c r="V17" s="91">
        <f>IFERROR(IF(V$4="Yes",0,INDEX(Calculations!AD$69:AD$81,MATCH(Carbon!$S17,Calculations!$A$69:$A$81,0))),0)</f>
        <v>0</v>
      </c>
      <c r="W17" s="91">
        <f>IFERROR(IF(W$4="Yes",0,INDEX(Calculations!AE$69:AE$81,MATCH(Carbon!$S17,Calculations!$A$69:$A$81,0))),0)</f>
        <v>0</v>
      </c>
      <c r="X17" s="91">
        <f>IFERROR(IF(X$4="Yes",0,INDEX(Calculations!AF$69:AF$81,MATCH(Carbon!$S17,Calculations!$A$69:$A$81,0))),0)</f>
        <v>0</v>
      </c>
      <c r="Y17" s="91">
        <f>IFERROR(IF(Y$4="Yes",0,INDEX(Calculations!AG$69:AG$81,MATCH(Carbon!$S17,Calculations!$A$69:$A$81,0))),0)</f>
        <v>0</v>
      </c>
      <c r="Z17" s="91">
        <f>IFERROR(IF(Z$4="Yes",0,INDEX(Calculations!AH$69:AH$81,MATCH(Carbon!$S17,Calculations!$A$69:$A$81,0))),0)</f>
        <v>0</v>
      </c>
      <c r="AA17" s="91">
        <f>IFERROR(IF(AA$4="Yes",0,INDEX(Calculations!AI$69:AI$81,MATCH(Carbon!$S17,Calculations!$A$69:$A$81,0))),0)</f>
        <v>0</v>
      </c>
      <c r="AB17" s="91">
        <f>IFERROR(IF(AB$4="Yes",0,INDEX(Calculations!AJ$69:AJ$81,MATCH(Carbon!$S17,Calculations!$A$69:$A$81,0))),0)</f>
        <v>0</v>
      </c>
      <c r="AC17" s="91">
        <f>IFERROR(IF(AC$4="Yes",0,INDEX(Calculations!AK$69:AK$81,MATCH(Carbon!$S17,Calculations!$A$69:$A$81,0))),0)</f>
        <v>0</v>
      </c>
      <c r="AD17" s="91">
        <f>IFERROR(IF(AD$4="Yes",0,INDEX(Calculations!AL$69:AL$81,MATCH(Carbon!$S17,Calculations!$A$69:$A$81,0))),0)</f>
        <v>0</v>
      </c>
      <c r="AE17" s="91">
        <f>IFERROR(IF(AE$4="Yes",0,INDEX(Calculations!AM$69:AM$81,MATCH(Carbon!$S17,Calculations!$A$69:$A$81,0))),0)</f>
        <v>0</v>
      </c>
      <c r="AF17" s="91">
        <f>IFERROR(IF(AF$4="Yes",0,INDEX(Calculations!AN$69:AN$81,MATCH(Carbon!$S17,Calculations!$A$69:$A$81,0))),0)</f>
        <v>0</v>
      </c>
      <c r="AG17" s="91">
        <f>IFERROR(IF(AG$4="Yes",0,INDEX(Calculations!AO$69:AO$81,MATCH(Carbon!$S17,Calculations!$A$69:$A$81,0))),0)</f>
        <v>0</v>
      </c>
      <c r="AH17" s="91">
        <f>IFERROR(IF(AH$4="Yes",0,INDEX(Calculations!AP$69:AP$81,MATCH(Carbon!$S17,Calculations!$A$69:$A$81,0))),0)</f>
        <v>0</v>
      </c>
      <c r="AI17" s="91">
        <f>IFERROR(IF(AI$4="Yes",0,INDEX(Calculations!AQ$69:AQ$81,MATCH(Carbon!$S17,Calculations!$A$69:$A$81,0))),0)</f>
        <v>0</v>
      </c>
      <c r="AJ17" s="91">
        <f>IFERROR(IF(AJ$4="Yes",0,INDEX(Calculations!AR$69:AR$81,MATCH(Carbon!$S17,Calculations!$A$69:$A$81,0))),0)</f>
        <v>0</v>
      </c>
      <c r="AK17" s="124">
        <f>IFERROR(SUM(U17:AI17)*'Project Info'!$D$28,0)</f>
        <v>0</v>
      </c>
      <c r="AL17" s="91">
        <f>IFERROR(INDEX(Calculations!BC$69:BC$81,MATCH(Carbon!$S17,Calculations!$A$69:$A$81,0))*-1,0)</f>
        <v>0</v>
      </c>
      <c r="AM17" s="91">
        <f>IFERROR(INDEX(Calculations!BD$69:BD$81,MATCH(Carbon!$S17,Calculations!$A$69:$A$81,0))*-1,0)</f>
        <v>0</v>
      </c>
      <c r="AN17" s="123">
        <f ca="1">IFERROR(SUM(OFFSET(Calculations!BE$69,MATCH($S17,Calculations!$A$69:$A$81,0)-1,0,1,4))*-1,0)</f>
        <v>0</v>
      </c>
      <c r="AO17" s="91">
        <f t="shared" ca="1" si="0"/>
        <v>0</v>
      </c>
      <c r="AP17" s="17"/>
      <c r="AQ17" s="4"/>
      <c r="AW17" s="91">
        <f>IFERROR(INDEX(Calculations!BL$69:BL$81,MATCH($S17,Calculations!$A$9:$A$21,0)),0)</f>
        <v>0</v>
      </c>
      <c r="AX17" s="91">
        <f>IFERROR(INDEX(Calculations!BM$69:BM$81,MATCH($S17,Calculations!$A$9:$A$21,0)),0)</f>
        <v>0</v>
      </c>
      <c r="AY17" s="91">
        <f>IFERROR(INDEX(Calculations!BN$69:BN$81,MATCH($S17,Calculations!$A$9:$A$21,0)),0)</f>
        <v>0</v>
      </c>
      <c r="AZ17" s="91">
        <f>IFERROR(INDEX(Calculations!BO$69:BO$81,MATCH($S17,Calculations!$A$9:$A$21,0)),0)</f>
        <v>0</v>
      </c>
      <c r="BA17" s="91">
        <f>IFERROR(INDEX(Calculations!BP$69:BP$81,MATCH($S17,Calculations!$A$9:$A$21,0)),0)</f>
        <v>0</v>
      </c>
    </row>
    <row r="18" spans="17:53">
      <c r="Q18" s="12"/>
      <c r="AK18" s="46"/>
      <c r="AN18" s="47"/>
    </row>
    <row r="19" spans="17:53" ht="15.6" thickBot="1">
      <c r="Q19" s="12"/>
      <c r="S19" s="61" t="str">
        <f>Calculations!A83</f>
        <v>Carbon Emissions Intensity (kg CO2e/ft²)</v>
      </c>
      <c r="T19" s="193"/>
      <c r="U19" s="193"/>
      <c r="V19" s="193"/>
      <c r="W19" s="193"/>
      <c r="X19" s="193"/>
      <c r="Y19" s="193"/>
      <c r="Z19" s="193"/>
      <c r="AA19" s="193"/>
      <c r="AB19" s="193"/>
      <c r="AC19" s="193"/>
      <c r="AD19" s="193"/>
      <c r="AE19" s="193"/>
      <c r="AF19" s="193"/>
      <c r="AG19" s="193"/>
      <c r="AH19" s="193"/>
      <c r="AI19" s="193"/>
      <c r="AJ19" s="193"/>
      <c r="AK19" s="193"/>
      <c r="AL19" s="193"/>
      <c r="AM19" s="193"/>
      <c r="AN19" s="193"/>
      <c r="AO19" s="193"/>
      <c r="AP19" s="193"/>
      <c r="AQ19" s="193"/>
      <c r="AR19" s="193"/>
      <c r="AS19" s="193"/>
      <c r="AT19" s="193"/>
      <c r="AU19" s="193"/>
      <c r="AV19" s="193"/>
      <c r="AW19" s="193"/>
      <c r="AX19" s="193"/>
      <c r="AY19" s="193"/>
      <c r="AZ19" s="193"/>
      <c r="BA19" s="193"/>
    </row>
    <row r="20" spans="17:53">
      <c r="Q20" s="12"/>
      <c r="S20" s="20" t="str">
        <f>SiteE!S20</f>
        <v>Proposed Design</v>
      </c>
      <c r="U20" s="103">
        <f>IFERROR(IF(U$4="Yes",0,INDEX(Calculations!AC$84:AC$96,MATCH(Carbon!$S20,Calculations!$A$9:$A$21,0))),0)</f>
        <v>0.3324903128372621</v>
      </c>
      <c r="V20" s="103">
        <f>IFERROR(IF(V$4="Yes",0,INDEX(Calculations!AD$84:AD$96,MATCH(Carbon!$S20,Calculations!$A$9:$A$21,0))),0)</f>
        <v>1.2391892653550738</v>
      </c>
      <c r="W20" s="103">
        <f>IFERROR(IF(W$4="Yes",0,INDEX(Calculations!AE$84:AE$96,MATCH(Carbon!$S20,Calculations!$A$9:$A$21,0))),0)</f>
        <v>1.3301683919853837</v>
      </c>
      <c r="X20" s="103">
        <f>IFERROR(IF(X$4="Yes",0,INDEX(Calculations!AF$84:AF$96,MATCH(Carbon!$S20,Calculations!$A$9:$A$21,0))),0)</f>
        <v>0</v>
      </c>
      <c r="Y20" s="103">
        <f>IFERROR(IF(Y$4="Yes",0,INDEX(Calculations!AG$84:AG$96,MATCH(Carbon!$S20,Calculations!$A$9:$A$21,0))),0)</f>
        <v>1.5618108064469438</v>
      </c>
      <c r="Z20" s="103">
        <f>IFERROR(IF(Z$4="Yes",0,INDEX(Calculations!AH$84:AH$96,MATCH(Carbon!$S20,Calculations!$A$9:$A$21,0))),0)</f>
        <v>0</v>
      </c>
      <c r="AA20" s="103">
        <f>IFERROR(IF(AA$4="Yes",0,INDEX(Calculations!AI$84:AI$96,MATCH(Carbon!$S20,Calculations!$A$9:$A$21,0))),0)</f>
        <v>1.5159661448980715</v>
      </c>
      <c r="AB20" s="103">
        <f>IFERROR(IF(AB$4="Yes",0,INDEX(Calculations!AJ$84:AJ$96,MATCH(Carbon!$S20,Calculations!$A$9:$A$21,0))),0)</f>
        <v>0</v>
      </c>
      <c r="AC20" s="103">
        <f>IFERROR(IF(AC$4="Yes",0,INDEX(Calculations!AK$84:AK$96,MATCH(Carbon!$S20,Calculations!$A$9:$A$21,0))),0)</f>
        <v>0</v>
      </c>
      <c r="AD20" s="103">
        <f>IFERROR(IF(AD$4="Yes",0,INDEX(Calculations!AL$84:AL$96,MATCH(Carbon!$S20,Calculations!$A$9:$A$21,0))),0)</f>
        <v>0</v>
      </c>
      <c r="AE20" s="103">
        <f>IFERROR(IF(AE$4="Yes",0,INDEX(Calculations!AM$84:AM$96,MATCH(Carbon!$S20,Calculations!$A$9:$A$21,0))),0)</f>
        <v>0</v>
      </c>
      <c r="AF20" s="103">
        <f>IFERROR(IF(AF$4="Yes",0,INDEX(Calculations!AN$84:AN$96,MATCH(Carbon!$S20,Calculations!$A$9:$A$21,0))),0)</f>
        <v>0</v>
      </c>
      <c r="AG20" s="103">
        <f>IFERROR(IF(AG$4="Yes",0,INDEX(Calculations!AO$84:AO$96,MATCH(Carbon!$S20,Calculations!$A$9:$A$21,0))),0)</f>
        <v>0</v>
      </c>
      <c r="AH20" s="103">
        <f>IFERROR(IF(AH$4="Yes",0,INDEX(Calculations!AP$84:AP$96,MATCH(Carbon!$S20,Calculations!$A$9:$A$21,0))),0)</f>
        <v>0</v>
      </c>
      <c r="AI20" s="103">
        <f>IFERROR(IF(AI$4="Yes",0,INDEX(Calculations!AQ$84:AQ$96,MATCH(Carbon!$S20,Calculations!$A$9:$A$21,0))),0)</f>
        <v>0</v>
      </c>
      <c r="AJ20" s="103">
        <f>IFERROR(IF(AJ$4="Yes",0,INDEX(Calculations!AR$84:AR$96,MATCH(Carbon!$S20,Calculations!$A$9:$A$21,0))),0)</f>
        <v>0</v>
      </c>
      <c r="AK20" s="126">
        <f>IFERROR(SUM(U20:AI20)*'Project Info'!$D$28,0)</f>
        <v>0</v>
      </c>
      <c r="AL20" s="103">
        <f>IFERROR(INDEX(Calculations!BC$84:BC$96,MATCH(Carbon!$S20,Calculations!$A$9:$A$21,0))*-1,0)</f>
        <v>0</v>
      </c>
      <c r="AM20" s="103">
        <f>IFERROR(INDEX(Calculations!BD$84:BD$96,MATCH(Carbon!$S20,Calculations!$A$9:$A$21,0))*-1,0)</f>
        <v>0</v>
      </c>
      <c r="AN20" s="125">
        <f ca="1">IFERROR(SUM(OFFSET(Calculations!BE$84,MATCH($S20,Calculations!$A$9:$A$21,0)-1,0,1,4))*-1,0)</f>
        <v>0</v>
      </c>
      <c r="AO20" s="103">
        <f t="shared" ref="AO20:AO31" ca="1" si="3">SUM(U20:AN20)</f>
        <v>5.9796249215227348</v>
      </c>
      <c r="AP20" s="17"/>
      <c r="AQ20" s="4" t="str">
        <f>'Project Info'!D21</f>
        <v>NA</v>
      </c>
      <c r="AS20" s="4" t="e">
        <f>CONCATENATE(AQ20*100,"% LEED Target")</f>
        <v>#VALUE!</v>
      </c>
      <c r="AT20" s="103" t="e">
        <f>Calculations!BQ84*(1-AQ20)</f>
        <v>#VALUE!</v>
      </c>
      <c r="AU20" s="103" t="e">
        <f>AT20</f>
        <v>#VALUE!</v>
      </c>
      <c r="AW20" s="103">
        <f>IFERROR(INDEX(Calculations!BL$24:BL$36,MATCH($S20,Calculations!$A$24:$A$36,0)),0)</f>
        <v>50.503260840902435</v>
      </c>
      <c r="AX20" s="103">
        <f>IFERROR(INDEX(Calculations!BM$24:BM$36,MATCH($S20,Calculations!$A$24:$A$36,0)),0)</f>
        <v>0</v>
      </c>
      <c r="AY20" s="103">
        <f>IFERROR(INDEX(Calculations!BN$24:BN$36,MATCH($S20,Calculations!$A$24:$A$36,0)),0)</f>
        <v>0</v>
      </c>
      <c r="AZ20" s="103">
        <f>IFERROR(INDEX(Calculations!BO$24:BO$36,MATCH($S20,Calculations!$A$24:$A$36,0)),0)</f>
        <v>0</v>
      </c>
      <c r="BA20" s="103">
        <f>IFERROR(INDEX(Calculations!BP$24:BP$36,MATCH($S20,Calculations!$A$24:$A$36,0)),0)</f>
        <v>0</v>
      </c>
    </row>
    <row r="21" spans="17:53">
      <c r="Q21" s="12"/>
      <c r="S21" s="20" t="str">
        <f>SiteE!S21</f>
        <v xml:space="preserve"> </v>
      </c>
      <c r="U21" s="103">
        <f>IFERROR(IF(U$4="Yes",0,INDEX(Calculations!AC$84:AC$96,MATCH(Carbon!$S21,Calculations!$A$9:$A$21,0))),0)</f>
        <v>0</v>
      </c>
      <c r="V21" s="103">
        <f>IFERROR(IF(V$4="Yes",0,INDEX(Calculations!AD$84:AD$96,MATCH(Carbon!$S21,Calculations!$A$9:$A$21,0))),0)</f>
        <v>0</v>
      </c>
      <c r="W21" s="103">
        <f>IFERROR(IF(W$4="Yes",0,INDEX(Calculations!AE$84:AE$96,MATCH(Carbon!$S21,Calculations!$A$9:$A$21,0))),0)</f>
        <v>0</v>
      </c>
      <c r="X21" s="103">
        <f>IFERROR(IF(X$4="Yes",0,INDEX(Calculations!AF$84:AF$96,MATCH(Carbon!$S21,Calculations!$A$9:$A$21,0))),0)</f>
        <v>0</v>
      </c>
      <c r="Y21" s="103">
        <f>IFERROR(IF(Y$4="Yes",0,INDEX(Calculations!AG$84:AG$96,MATCH(Carbon!$S21,Calculations!$A$9:$A$21,0))),0)</f>
        <v>0</v>
      </c>
      <c r="Z21" s="103">
        <f>IFERROR(IF(Z$4="Yes",0,INDEX(Calculations!AH$84:AH$96,MATCH(Carbon!$S21,Calculations!$A$9:$A$21,0))),0)</f>
        <v>0</v>
      </c>
      <c r="AA21" s="103">
        <f>IFERROR(IF(AA$4="Yes",0,INDEX(Calculations!AI$84:AI$96,MATCH(Carbon!$S21,Calculations!$A$9:$A$21,0))),0)</f>
        <v>0</v>
      </c>
      <c r="AB21" s="103">
        <f>IFERROR(IF(AB$4="Yes",0,INDEX(Calculations!AJ$84:AJ$96,MATCH(Carbon!$S21,Calculations!$A$9:$A$21,0))),0)</f>
        <v>0</v>
      </c>
      <c r="AC21" s="103">
        <f>IFERROR(IF(AC$4="Yes",0,INDEX(Calculations!AK$84:AK$96,MATCH(Carbon!$S21,Calculations!$A$9:$A$21,0))),0)</f>
        <v>0</v>
      </c>
      <c r="AD21" s="103">
        <f>IFERROR(IF(AD$4="Yes",0,INDEX(Calculations!AL$84:AL$96,MATCH(Carbon!$S21,Calculations!$A$9:$A$21,0))),0)</f>
        <v>0</v>
      </c>
      <c r="AE21" s="103">
        <f>IFERROR(IF(AE$4="Yes",0,INDEX(Calculations!AM$84:AM$96,MATCH(Carbon!$S21,Calculations!$A$9:$A$21,0))),0)</f>
        <v>0</v>
      </c>
      <c r="AF21" s="103">
        <f>IFERROR(IF(AF$4="Yes",0,INDEX(Calculations!AN$84:AN$96,MATCH(Carbon!$S21,Calculations!$A$9:$A$21,0))),0)</f>
        <v>0</v>
      </c>
      <c r="AG21" s="103">
        <f>IFERROR(IF(AG$4="Yes",0,INDEX(Calculations!AO$84:AO$96,MATCH(Carbon!$S21,Calculations!$A$9:$A$21,0))),0)</f>
        <v>0</v>
      </c>
      <c r="AH21" s="103">
        <f>IFERROR(IF(AH$4="Yes",0,INDEX(Calculations!AP$84:AP$96,MATCH(Carbon!$S21,Calculations!$A$9:$A$21,0))),0)</f>
        <v>0</v>
      </c>
      <c r="AI21" s="103">
        <f>IFERROR(IF(AI$4="Yes",0,INDEX(Calculations!AQ$84:AQ$96,MATCH(Carbon!$S21,Calculations!$A$9:$A$21,0))),0)</f>
        <v>0</v>
      </c>
      <c r="AJ21" s="103">
        <f>IFERROR(IF(AJ$4="Yes",0,INDEX(Calculations!AR$84:AR$96,MATCH(Carbon!$S21,Calculations!$A$9:$A$21,0))),0)</f>
        <v>0</v>
      </c>
      <c r="AK21" s="126">
        <f>IFERROR(SUM(U21:AI21)*'Project Info'!$D$28,0)</f>
        <v>0</v>
      </c>
      <c r="AL21" s="103">
        <f>IFERROR(INDEX(Calculations!BC$84:BC$96,MATCH(Carbon!$S21,Calculations!$A$9:$A$21,0))*-1,0)</f>
        <v>0</v>
      </c>
      <c r="AM21" s="103">
        <f>IFERROR(INDEX(Calculations!BD$84:BD$96,MATCH(Carbon!$S21,Calculations!$A$9:$A$21,0))*-1,0)</f>
        <v>0</v>
      </c>
      <c r="AN21" s="125">
        <f ca="1">IFERROR(SUM(OFFSET(Calculations!BE$84,MATCH($S21,Calculations!$A$9:$A$21,0)-1,0,1,4))*-1,0)</f>
        <v>0</v>
      </c>
      <c r="AO21" s="103">
        <f t="shared" ca="1" si="3"/>
        <v>0</v>
      </c>
      <c r="AP21" s="17"/>
      <c r="AQ21" s="4" t="str">
        <f>'Project Info'!E21</f>
        <v>NA</v>
      </c>
      <c r="AS21" s="4" t="e">
        <f>CONCATENATE(AQ21*100,"% Code Target")</f>
        <v>#VALUE!</v>
      </c>
      <c r="AT21" s="103" t="e">
        <f>Calculations!BQ85*(1-AQ21)</f>
        <v>#VALUE!</v>
      </c>
      <c r="AU21" s="103" t="e">
        <f>AT21</f>
        <v>#VALUE!</v>
      </c>
      <c r="AW21" s="103">
        <f>IFERROR(INDEX(Calculations!BL$24:BL$36,MATCH($S21,Calculations!$A$24:$A$36,0)),0)</f>
        <v>0</v>
      </c>
      <c r="AX21" s="103">
        <f>IFERROR(INDEX(Calculations!BM$24:BM$36,MATCH($S21,Calculations!$A$24:$A$36,0)),0)</f>
        <v>0</v>
      </c>
      <c r="AY21" s="103">
        <f>IFERROR(INDEX(Calculations!BN$24:BN$36,MATCH($S21,Calculations!$A$24:$A$36,0)),0)</f>
        <v>0</v>
      </c>
      <c r="AZ21" s="103">
        <f>IFERROR(INDEX(Calculations!BO$24:BO$36,MATCH($S21,Calculations!$A$24:$A$36,0)),0)</f>
        <v>0</v>
      </c>
      <c r="BA21" s="103">
        <f>IFERROR(INDEX(Calculations!BP$24:BP$36,MATCH($S21,Calculations!$A$24:$A$36,0)),0)</f>
        <v>0</v>
      </c>
    </row>
    <row r="22" spans="17:53">
      <c r="Q22" s="12"/>
      <c r="S22" s="20" t="str">
        <f>SiteE!S22</f>
        <v xml:space="preserve"> </v>
      </c>
      <c r="U22" s="103">
        <f>IFERROR(IF(U$4="Yes",0,INDEX(Calculations!AC$84:AC$96,MATCH(Carbon!$S22,Calculations!$A$9:$A$21,0))),0)</f>
        <v>0</v>
      </c>
      <c r="V22" s="103">
        <f>IFERROR(IF(V$4="Yes",0,INDEX(Calculations!AD$84:AD$96,MATCH(Carbon!$S22,Calculations!$A$9:$A$21,0))),0)</f>
        <v>0</v>
      </c>
      <c r="W22" s="103">
        <f>IFERROR(IF(W$4="Yes",0,INDEX(Calculations!AE$84:AE$96,MATCH(Carbon!$S22,Calculations!$A$9:$A$21,0))),0)</f>
        <v>0</v>
      </c>
      <c r="X22" s="103">
        <f>IFERROR(IF(X$4="Yes",0,INDEX(Calculations!AF$84:AF$96,MATCH(Carbon!$S22,Calculations!$A$9:$A$21,0))),0)</f>
        <v>0</v>
      </c>
      <c r="Y22" s="103">
        <f>IFERROR(IF(Y$4="Yes",0,INDEX(Calculations!AG$84:AG$96,MATCH(Carbon!$S22,Calculations!$A$9:$A$21,0))),0)</f>
        <v>0</v>
      </c>
      <c r="Z22" s="103">
        <f>IFERROR(IF(Z$4="Yes",0,INDEX(Calculations!AH$84:AH$96,MATCH(Carbon!$S22,Calculations!$A$9:$A$21,0))),0)</f>
        <v>0</v>
      </c>
      <c r="AA22" s="103">
        <f>IFERROR(IF(AA$4="Yes",0,INDEX(Calculations!AI$84:AI$96,MATCH(Carbon!$S22,Calculations!$A$9:$A$21,0))),0)</f>
        <v>0</v>
      </c>
      <c r="AB22" s="103">
        <f>IFERROR(IF(AB$4="Yes",0,INDEX(Calculations!AJ$84:AJ$96,MATCH(Carbon!$S22,Calculations!$A$9:$A$21,0))),0)</f>
        <v>0</v>
      </c>
      <c r="AC22" s="103">
        <f>IFERROR(IF(AC$4="Yes",0,INDEX(Calculations!AK$84:AK$96,MATCH(Carbon!$S22,Calculations!$A$9:$A$21,0))),0)</f>
        <v>0</v>
      </c>
      <c r="AD22" s="103">
        <f>IFERROR(IF(AD$4="Yes",0,INDEX(Calculations!AL$84:AL$96,MATCH(Carbon!$S22,Calculations!$A$9:$A$21,0))),0)</f>
        <v>0</v>
      </c>
      <c r="AE22" s="103">
        <f>IFERROR(IF(AE$4="Yes",0,INDEX(Calculations!AM$84:AM$96,MATCH(Carbon!$S22,Calculations!$A$9:$A$21,0))),0)</f>
        <v>0</v>
      </c>
      <c r="AF22" s="103">
        <f>IFERROR(IF(AF$4="Yes",0,INDEX(Calculations!AN$84:AN$96,MATCH(Carbon!$S22,Calculations!$A$9:$A$21,0))),0)</f>
        <v>0</v>
      </c>
      <c r="AG22" s="103">
        <f>IFERROR(IF(AG$4="Yes",0,INDEX(Calculations!AO$84:AO$96,MATCH(Carbon!$S22,Calculations!$A$9:$A$21,0))),0)</f>
        <v>0</v>
      </c>
      <c r="AH22" s="103">
        <f>IFERROR(IF(AH$4="Yes",0,INDEX(Calculations!AP$84:AP$96,MATCH(Carbon!$S22,Calculations!$A$9:$A$21,0))),0)</f>
        <v>0</v>
      </c>
      <c r="AI22" s="103">
        <f>IFERROR(IF(AI$4="Yes",0,INDEX(Calculations!AQ$84:AQ$96,MATCH(Carbon!$S22,Calculations!$A$9:$A$21,0))),0)</f>
        <v>0</v>
      </c>
      <c r="AJ22" s="103">
        <f>IFERROR(IF(AJ$4="Yes",0,INDEX(Calculations!AR$84:AR$96,MATCH(Carbon!$S22,Calculations!$A$9:$A$21,0))),0)</f>
        <v>0</v>
      </c>
      <c r="AK22" s="126">
        <f>IFERROR(SUM(U22:AI22)*'Project Info'!$D$28,0)</f>
        <v>0</v>
      </c>
      <c r="AL22" s="103">
        <f>IFERROR(INDEX(Calculations!BC$84:BC$96,MATCH(Carbon!$S22,Calculations!$A$9:$A$21,0))*-1,0)</f>
        <v>0</v>
      </c>
      <c r="AM22" s="103">
        <f>IFERROR(INDEX(Calculations!BD$84:BD$96,MATCH(Carbon!$S22,Calculations!$A$9:$A$21,0))*-1,0)</f>
        <v>0</v>
      </c>
      <c r="AN22" s="125">
        <f ca="1">IFERROR(SUM(OFFSET(Calculations!BE$84,MATCH($S22,Calculations!$A$9:$A$21,0)-1,0,1,4))*-1,0)</f>
        <v>0</v>
      </c>
      <c r="AO22" s="103">
        <f t="shared" ca="1" si="3"/>
        <v>0</v>
      </c>
      <c r="AP22" s="17"/>
      <c r="AQ22" s="4"/>
      <c r="AW22" s="103">
        <f>IFERROR(INDEX(Calculations!BL$24:BL$36,MATCH($S22,Calculations!$A$24:$A$36,0)),0)</f>
        <v>0</v>
      </c>
      <c r="AX22" s="103">
        <f>IFERROR(INDEX(Calculations!BM$24:BM$36,MATCH($S22,Calculations!$A$24:$A$36,0)),0)</f>
        <v>0</v>
      </c>
      <c r="AY22" s="103">
        <f>IFERROR(INDEX(Calculations!BN$24:BN$36,MATCH($S22,Calculations!$A$24:$A$36,0)),0)</f>
        <v>0</v>
      </c>
      <c r="AZ22" s="103">
        <f>IFERROR(INDEX(Calculations!BO$24:BO$36,MATCH($S22,Calculations!$A$24:$A$36,0)),0)</f>
        <v>0</v>
      </c>
      <c r="BA22" s="103">
        <f>IFERROR(INDEX(Calculations!BP$24:BP$36,MATCH($S22,Calculations!$A$24:$A$36,0)),0)</f>
        <v>0</v>
      </c>
    </row>
    <row r="23" spans="17:53">
      <c r="Q23" s="12"/>
      <c r="S23" s="20" t="str">
        <f>SiteE!S23</f>
        <v xml:space="preserve"> </v>
      </c>
      <c r="U23" s="103">
        <f>IFERROR(IF(U$4="Yes",0,INDEX(Calculations!AC$84:AC$96,MATCH(Carbon!$S23,Calculations!$A$9:$A$21,0))),0)</f>
        <v>0</v>
      </c>
      <c r="V23" s="103">
        <f>IFERROR(IF(V$4="Yes",0,INDEX(Calculations!AD$84:AD$96,MATCH(Carbon!$S23,Calculations!$A$9:$A$21,0))),0)</f>
        <v>0</v>
      </c>
      <c r="W23" s="103">
        <f>IFERROR(IF(W$4="Yes",0,INDEX(Calculations!AE$84:AE$96,MATCH(Carbon!$S23,Calculations!$A$9:$A$21,0))),0)</f>
        <v>0</v>
      </c>
      <c r="X23" s="103">
        <f>IFERROR(IF(X$4="Yes",0,INDEX(Calculations!AF$84:AF$96,MATCH(Carbon!$S23,Calculations!$A$9:$A$21,0))),0)</f>
        <v>0</v>
      </c>
      <c r="Y23" s="103">
        <f>IFERROR(IF(Y$4="Yes",0,INDEX(Calculations!AG$84:AG$96,MATCH(Carbon!$S23,Calculations!$A$9:$A$21,0))),0)</f>
        <v>0</v>
      </c>
      <c r="Z23" s="103">
        <f>IFERROR(IF(Z$4="Yes",0,INDEX(Calculations!AH$84:AH$96,MATCH(Carbon!$S23,Calculations!$A$9:$A$21,0))),0)</f>
        <v>0</v>
      </c>
      <c r="AA23" s="103">
        <f>IFERROR(IF(AA$4="Yes",0,INDEX(Calculations!AI$84:AI$96,MATCH(Carbon!$S23,Calculations!$A$9:$A$21,0))),0)</f>
        <v>0</v>
      </c>
      <c r="AB23" s="103">
        <f>IFERROR(IF(AB$4="Yes",0,INDEX(Calculations!AJ$84:AJ$96,MATCH(Carbon!$S23,Calculations!$A$9:$A$21,0))),0)</f>
        <v>0</v>
      </c>
      <c r="AC23" s="103">
        <f>IFERROR(IF(AC$4="Yes",0,INDEX(Calculations!AK$84:AK$96,MATCH(Carbon!$S23,Calculations!$A$9:$A$21,0))),0)</f>
        <v>0</v>
      </c>
      <c r="AD23" s="103">
        <f>IFERROR(IF(AD$4="Yes",0,INDEX(Calculations!AL$84:AL$96,MATCH(Carbon!$S23,Calculations!$A$9:$A$21,0))),0)</f>
        <v>0</v>
      </c>
      <c r="AE23" s="103">
        <f>IFERROR(IF(AE$4="Yes",0,INDEX(Calculations!AM$84:AM$96,MATCH(Carbon!$S23,Calculations!$A$9:$A$21,0))),0)</f>
        <v>0</v>
      </c>
      <c r="AF23" s="103">
        <f>IFERROR(IF(AF$4="Yes",0,INDEX(Calculations!AN$84:AN$96,MATCH(Carbon!$S23,Calculations!$A$9:$A$21,0))),0)</f>
        <v>0</v>
      </c>
      <c r="AG23" s="103">
        <f>IFERROR(IF(AG$4="Yes",0,INDEX(Calculations!AO$84:AO$96,MATCH(Carbon!$S23,Calculations!$A$9:$A$21,0))),0)</f>
        <v>0</v>
      </c>
      <c r="AH23" s="103">
        <f>IFERROR(IF(AH$4="Yes",0,INDEX(Calculations!AP$84:AP$96,MATCH(Carbon!$S23,Calculations!$A$9:$A$21,0))),0)</f>
        <v>0</v>
      </c>
      <c r="AI23" s="103">
        <f>IFERROR(IF(AI$4="Yes",0,INDEX(Calculations!AQ$84:AQ$96,MATCH(Carbon!$S23,Calculations!$A$9:$A$21,0))),0)</f>
        <v>0</v>
      </c>
      <c r="AJ23" s="103">
        <f>IFERROR(IF(AJ$4="Yes",0,INDEX(Calculations!AR$84:AR$96,MATCH(Carbon!$S23,Calculations!$A$9:$A$21,0))),0)</f>
        <v>0</v>
      </c>
      <c r="AK23" s="126">
        <f>IFERROR(SUM(U23:AI23)*'Project Info'!$D$28,0)</f>
        <v>0</v>
      </c>
      <c r="AL23" s="103">
        <f>IFERROR(INDEX(Calculations!BC$84:BC$96,MATCH(Carbon!$S23,Calculations!$A$9:$A$21,0))*-1,0)</f>
        <v>0</v>
      </c>
      <c r="AM23" s="103">
        <f>IFERROR(INDEX(Calculations!BD$84:BD$96,MATCH(Carbon!$S23,Calculations!$A$9:$A$21,0))*-1,0)</f>
        <v>0</v>
      </c>
      <c r="AN23" s="125">
        <f ca="1">IFERROR(SUM(OFFSET(Calculations!BE$84,MATCH($S23,Calculations!$A$9:$A$21,0)-1,0,1,4))*-1,0)</f>
        <v>0</v>
      </c>
      <c r="AO23" s="103">
        <f t="shared" ca="1" si="3"/>
        <v>0</v>
      </c>
      <c r="AP23" s="17"/>
      <c r="AQ23" s="4"/>
      <c r="AW23" s="103">
        <f>IFERROR(INDEX(Calculations!BL$24:BL$36,MATCH($S23,Calculations!$A$24:$A$36,0)),0)</f>
        <v>0</v>
      </c>
      <c r="AX23" s="103">
        <f>IFERROR(INDEX(Calculations!BM$24:BM$36,MATCH($S23,Calculations!$A$24:$A$36,0)),0)</f>
        <v>0</v>
      </c>
      <c r="AY23" s="103">
        <f>IFERROR(INDEX(Calculations!BN$24:BN$36,MATCH($S23,Calculations!$A$24:$A$36,0)),0)</f>
        <v>0</v>
      </c>
      <c r="AZ23" s="103">
        <f>IFERROR(INDEX(Calculations!BO$24:BO$36,MATCH($S23,Calculations!$A$24:$A$36,0)),0)</f>
        <v>0</v>
      </c>
      <c r="BA23" s="103">
        <f>IFERROR(INDEX(Calculations!BP$24:BP$36,MATCH($S23,Calculations!$A$24:$A$36,0)),0)</f>
        <v>0</v>
      </c>
    </row>
    <row r="24" spans="17:53">
      <c r="Q24" s="12"/>
      <c r="S24" s="20" t="str">
        <f>SiteE!S24</f>
        <v xml:space="preserve"> </v>
      </c>
      <c r="U24" s="103">
        <f>IFERROR(IF(U$4="Yes",0,INDEX(Calculations!AC$84:AC$96,MATCH(Carbon!$S24,Calculations!$A$9:$A$21,0))),0)</f>
        <v>0</v>
      </c>
      <c r="V24" s="103">
        <f>IFERROR(IF(V$4="Yes",0,INDEX(Calculations!AD$84:AD$96,MATCH(Carbon!$S24,Calculations!$A$9:$A$21,0))),0)</f>
        <v>0</v>
      </c>
      <c r="W24" s="103">
        <f>IFERROR(IF(W$4="Yes",0,INDEX(Calculations!AE$84:AE$96,MATCH(Carbon!$S24,Calculations!$A$9:$A$21,0))),0)</f>
        <v>0</v>
      </c>
      <c r="X24" s="103">
        <f>IFERROR(IF(X$4="Yes",0,INDEX(Calculations!AF$84:AF$96,MATCH(Carbon!$S24,Calculations!$A$9:$A$21,0))),0)</f>
        <v>0</v>
      </c>
      <c r="Y24" s="103">
        <f>IFERROR(IF(Y$4="Yes",0,INDEX(Calculations!AG$84:AG$96,MATCH(Carbon!$S24,Calculations!$A$9:$A$21,0))),0)</f>
        <v>0</v>
      </c>
      <c r="Z24" s="103">
        <f>IFERROR(IF(Z$4="Yes",0,INDEX(Calculations!AH$84:AH$96,MATCH(Carbon!$S24,Calculations!$A$9:$A$21,0))),0)</f>
        <v>0</v>
      </c>
      <c r="AA24" s="103">
        <f>IFERROR(IF(AA$4="Yes",0,INDEX(Calculations!AI$84:AI$96,MATCH(Carbon!$S24,Calculations!$A$9:$A$21,0))),0)</f>
        <v>0</v>
      </c>
      <c r="AB24" s="103">
        <f>IFERROR(IF(AB$4="Yes",0,INDEX(Calculations!AJ$84:AJ$96,MATCH(Carbon!$S24,Calculations!$A$9:$A$21,0))),0)</f>
        <v>0</v>
      </c>
      <c r="AC24" s="103">
        <f>IFERROR(IF(AC$4="Yes",0,INDEX(Calculations!AK$84:AK$96,MATCH(Carbon!$S24,Calculations!$A$9:$A$21,0))),0)</f>
        <v>0</v>
      </c>
      <c r="AD24" s="103">
        <f>IFERROR(IF(AD$4="Yes",0,INDEX(Calculations!AL$84:AL$96,MATCH(Carbon!$S24,Calculations!$A$9:$A$21,0))),0)</f>
        <v>0</v>
      </c>
      <c r="AE24" s="103">
        <f>IFERROR(IF(AE$4="Yes",0,INDEX(Calculations!AM$84:AM$96,MATCH(Carbon!$S24,Calculations!$A$9:$A$21,0))),0)</f>
        <v>0</v>
      </c>
      <c r="AF24" s="103">
        <f>IFERROR(IF(AF$4="Yes",0,INDEX(Calculations!AN$84:AN$96,MATCH(Carbon!$S24,Calculations!$A$9:$A$21,0))),0)</f>
        <v>0</v>
      </c>
      <c r="AG24" s="103">
        <f>IFERROR(IF(AG$4="Yes",0,INDEX(Calculations!AO$84:AO$96,MATCH(Carbon!$S24,Calculations!$A$9:$A$21,0))),0)</f>
        <v>0</v>
      </c>
      <c r="AH24" s="103">
        <f>IFERROR(IF(AH$4="Yes",0,INDEX(Calculations!AP$84:AP$96,MATCH(Carbon!$S24,Calculations!$A$9:$A$21,0))),0)</f>
        <v>0</v>
      </c>
      <c r="AI24" s="103">
        <f>IFERROR(IF(AI$4="Yes",0,INDEX(Calculations!AQ$84:AQ$96,MATCH(Carbon!$S24,Calculations!$A$9:$A$21,0))),0)</f>
        <v>0</v>
      </c>
      <c r="AJ24" s="103">
        <f>IFERROR(IF(AJ$4="Yes",0,INDEX(Calculations!AR$84:AR$96,MATCH(Carbon!$S24,Calculations!$A$9:$A$21,0))),0)</f>
        <v>0</v>
      </c>
      <c r="AK24" s="126">
        <f>IFERROR(SUM(U24:AI24)*'Project Info'!$D$28,0)</f>
        <v>0</v>
      </c>
      <c r="AL24" s="103">
        <f>IFERROR(INDEX(Calculations!BC$84:BC$96,MATCH(Carbon!$S24,Calculations!$A$9:$A$21,0))*-1,0)</f>
        <v>0</v>
      </c>
      <c r="AM24" s="103">
        <f>IFERROR(INDEX(Calculations!BD$84:BD$96,MATCH(Carbon!$S24,Calculations!$A$9:$A$21,0))*-1,0)</f>
        <v>0</v>
      </c>
      <c r="AN24" s="125">
        <f ca="1">IFERROR(SUM(OFFSET(Calculations!BE$84,MATCH($S24,Calculations!$A$9:$A$21,0)-1,0,1,4))*-1,0)</f>
        <v>0</v>
      </c>
      <c r="AO24" s="103">
        <f t="shared" ca="1" si="3"/>
        <v>0</v>
      </c>
      <c r="AP24" s="17"/>
      <c r="AQ24" s="4"/>
      <c r="AW24" s="103">
        <f>IFERROR(INDEX(Calculations!BL$24:BL$36,MATCH($S24,Calculations!$A$24:$A$36,0)),0)</f>
        <v>0</v>
      </c>
      <c r="AX24" s="103">
        <f>IFERROR(INDEX(Calculations!BM$24:BM$36,MATCH($S24,Calculations!$A$24:$A$36,0)),0)</f>
        <v>0</v>
      </c>
      <c r="AY24" s="103">
        <f>IFERROR(INDEX(Calculations!BN$24:BN$36,MATCH($S24,Calculations!$A$24:$A$36,0)),0)</f>
        <v>0</v>
      </c>
      <c r="AZ24" s="103">
        <f>IFERROR(INDEX(Calculations!BO$24:BO$36,MATCH($S24,Calculations!$A$24:$A$36,0)),0)</f>
        <v>0</v>
      </c>
      <c r="BA24" s="103">
        <f>IFERROR(INDEX(Calculations!BP$24:BP$36,MATCH($S24,Calculations!$A$24:$A$36,0)),0)</f>
        <v>0</v>
      </c>
    </row>
    <row r="25" spans="17:53">
      <c r="Q25" s="12"/>
      <c r="S25" s="20" t="str">
        <f>SiteE!S25</f>
        <v xml:space="preserve"> </v>
      </c>
      <c r="U25" s="103">
        <f>IFERROR(IF(U$4="Yes",0,INDEX(Calculations!AC$84:AC$96,MATCH(Carbon!$S25,Calculations!$A$9:$A$21,0))),0)</f>
        <v>0</v>
      </c>
      <c r="V25" s="103">
        <f>IFERROR(IF(V$4="Yes",0,INDEX(Calculations!AD$84:AD$96,MATCH(Carbon!$S25,Calculations!$A$9:$A$21,0))),0)</f>
        <v>0</v>
      </c>
      <c r="W25" s="103">
        <f>IFERROR(IF(W$4="Yes",0,INDEX(Calculations!AE$84:AE$96,MATCH(Carbon!$S25,Calculations!$A$9:$A$21,0))),0)</f>
        <v>0</v>
      </c>
      <c r="X25" s="103">
        <f>IFERROR(IF(X$4="Yes",0,INDEX(Calculations!AF$84:AF$96,MATCH(Carbon!$S25,Calculations!$A$9:$A$21,0))),0)</f>
        <v>0</v>
      </c>
      <c r="Y25" s="103">
        <f>IFERROR(IF(Y$4="Yes",0,INDEX(Calculations!AG$84:AG$96,MATCH(Carbon!$S25,Calculations!$A$9:$A$21,0))),0)</f>
        <v>0</v>
      </c>
      <c r="Z25" s="103">
        <f>IFERROR(IF(Z$4="Yes",0,INDEX(Calculations!AH$84:AH$96,MATCH(Carbon!$S25,Calculations!$A$9:$A$21,0))),0)</f>
        <v>0</v>
      </c>
      <c r="AA25" s="103">
        <f>IFERROR(IF(AA$4="Yes",0,INDEX(Calculations!AI$84:AI$96,MATCH(Carbon!$S25,Calculations!$A$9:$A$21,0))),0)</f>
        <v>0</v>
      </c>
      <c r="AB25" s="103">
        <f>IFERROR(IF(AB$4="Yes",0,INDEX(Calculations!AJ$84:AJ$96,MATCH(Carbon!$S25,Calculations!$A$9:$A$21,0))),0)</f>
        <v>0</v>
      </c>
      <c r="AC25" s="103">
        <f>IFERROR(IF(AC$4="Yes",0,INDEX(Calculations!AK$84:AK$96,MATCH(Carbon!$S25,Calculations!$A$9:$A$21,0))),0)</f>
        <v>0</v>
      </c>
      <c r="AD25" s="103">
        <f>IFERROR(IF(AD$4="Yes",0,INDEX(Calculations!AL$84:AL$96,MATCH(Carbon!$S25,Calculations!$A$9:$A$21,0))),0)</f>
        <v>0</v>
      </c>
      <c r="AE25" s="103">
        <f>IFERROR(IF(AE$4="Yes",0,INDEX(Calculations!AM$84:AM$96,MATCH(Carbon!$S25,Calculations!$A$9:$A$21,0))),0)</f>
        <v>0</v>
      </c>
      <c r="AF25" s="103">
        <f>IFERROR(IF(AF$4="Yes",0,INDEX(Calculations!AN$84:AN$96,MATCH(Carbon!$S25,Calculations!$A$9:$A$21,0))),0)</f>
        <v>0</v>
      </c>
      <c r="AG25" s="103">
        <f>IFERROR(IF(AG$4="Yes",0,INDEX(Calculations!AO$84:AO$96,MATCH(Carbon!$S25,Calculations!$A$9:$A$21,0))),0)</f>
        <v>0</v>
      </c>
      <c r="AH25" s="103">
        <f>IFERROR(IF(AH$4="Yes",0,INDEX(Calculations!AP$84:AP$96,MATCH(Carbon!$S25,Calculations!$A$9:$A$21,0))),0)</f>
        <v>0</v>
      </c>
      <c r="AI25" s="103">
        <f>IFERROR(IF(AI$4="Yes",0,INDEX(Calculations!AQ$84:AQ$96,MATCH(Carbon!$S25,Calculations!$A$9:$A$21,0))),0)</f>
        <v>0</v>
      </c>
      <c r="AJ25" s="103">
        <f>IFERROR(IF(AJ$4="Yes",0,INDEX(Calculations!AR$84:AR$96,MATCH(Carbon!$S25,Calculations!$A$9:$A$21,0))),0)</f>
        <v>0</v>
      </c>
      <c r="AK25" s="126">
        <f>IFERROR(SUM(U25:AI25)*'Project Info'!$D$28,0)</f>
        <v>0</v>
      </c>
      <c r="AL25" s="103">
        <f>IFERROR(INDEX(Calculations!BC$84:BC$96,MATCH(Carbon!$S25,Calculations!$A$9:$A$21,0))*-1,0)</f>
        <v>0</v>
      </c>
      <c r="AM25" s="103">
        <f>IFERROR(INDEX(Calculations!BD$84:BD$96,MATCH(Carbon!$S25,Calculations!$A$9:$A$21,0))*-1,0)</f>
        <v>0</v>
      </c>
      <c r="AN25" s="125">
        <f ca="1">IFERROR(SUM(OFFSET(Calculations!BE$84,MATCH($S25,Calculations!$A$9:$A$21,0)-1,0,1,4))*-1,0)</f>
        <v>0</v>
      </c>
      <c r="AO25" s="103">
        <f t="shared" ca="1" si="3"/>
        <v>0</v>
      </c>
      <c r="AP25" s="17"/>
      <c r="AQ25" s="4"/>
      <c r="AW25" s="103">
        <f>IFERROR(INDEX(Calculations!BL$24:BL$36,MATCH($S25,Calculations!$A$24:$A$36,0)),0)</f>
        <v>0</v>
      </c>
      <c r="AX25" s="103">
        <f>IFERROR(INDEX(Calculations!BM$24:BM$36,MATCH($S25,Calculations!$A$24:$A$36,0)),0)</f>
        <v>0</v>
      </c>
      <c r="AY25" s="103">
        <f>IFERROR(INDEX(Calculations!BN$24:BN$36,MATCH($S25,Calculations!$A$24:$A$36,0)),0)</f>
        <v>0</v>
      </c>
      <c r="AZ25" s="103">
        <f>IFERROR(INDEX(Calculations!BO$24:BO$36,MATCH($S25,Calculations!$A$24:$A$36,0)),0)</f>
        <v>0</v>
      </c>
      <c r="BA25" s="103">
        <f>IFERROR(INDEX(Calculations!BP$24:BP$36,MATCH($S25,Calculations!$A$24:$A$36,0)),0)</f>
        <v>0</v>
      </c>
    </row>
    <row r="26" spans="17:53">
      <c r="Q26" s="12"/>
      <c r="S26" s="20" t="str">
        <f>SiteE!S26</f>
        <v xml:space="preserve"> </v>
      </c>
      <c r="U26" s="103">
        <f>IFERROR(IF(U$4="Yes",0,INDEX(Calculations!AC$84:AC$96,MATCH(Carbon!$S26,Calculations!$A$9:$A$21,0))),0)</f>
        <v>0</v>
      </c>
      <c r="V26" s="103">
        <f>IFERROR(IF(V$4="Yes",0,INDEX(Calculations!AD$84:AD$96,MATCH(Carbon!$S26,Calculations!$A$9:$A$21,0))),0)</f>
        <v>0</v>
      </c>
      <c r="W26" s="103">
        <f>IFERROR(IF(W$4="Yes",0,INDEX(Calculations!AE$84:AE$96,MATCH(Carbon!$S26,Calculations!$A$9:$A$21,0))),0)</f>
        <v>0</v>
      </c>
      <c r="X26" s="103">
        <f>IFERROR(IF(X$4="Yes",0,INDEX(Calculations!AF$84:AF$96,MATCH(Carbon!$S26,Calculations!$A$9:$A$21,0))),0)</f>
        <v>0</v>
      </c>
      <c r="Y26" s="103">
        <f>IFERROR(IF(Y$4="Yes",0,INDEX(Calculations!AG$84:AG$96,MATCH(Carbon!$S26,Calculations!$A$9:$A$21,0))),0)</f>
        <v>0</v>
      </c>
      <c r="Z26" s="103">
        <f>IFERROR(IF(Z$4="Yes",0,INDEX(Calculations!AH$84:AH$96,MATCH(Carbon!$S26,Calculations!$A$9:$A$21,0))),0)</f>
        <v>0</v>
      </c>
      <c r="AA26" s="103">
        <f>IFERROR(IF(AA$4="Yes",0,INDEX(Calculations!AI$84:AI$96,MATCH(Carbon!$S26,Calculations!$A$9:$A$21,0))),0)</f>
        <v>0</v>
      </c>
      <c r="AB26" s="103">
        <f>IFERROR(IF(AB$4="Yes",0,INDEX(Calculations!AJ$84:AJ$96,MATCH(Carbon!$S26,Calculations!$A$9:$A$21,0))),0)</f>
        <v>0</v>
      </c>
      <c r="AC26" s="103">
        <f>IFERROR(IF(AC$4="Yes",0,INDEX(Calculations!AK$84:AK$96,MATCH(Carbon!$S26,Calculations!$A$9:$A$21,0))),0)</f>
        <v>0</v>
      </c>
      <c r="AD26" s="103">
        <f>IFERROR(IF(AD$4="Yes",0,INDEX(Calculations!AL$84:AL$96,MATCH(Carbon!$S26,Calculations!$A$9:$A$21,0))),0)</f>
        <v>0</v>
      </c>
      <c r="AE26" s="103">
        <f>IFERROR(IF(AE$4="Yes",0,INDEX(Calculations!AM$84:AM$96,MATCH(Carbon!$S26,Calculations!$A$9:$A$21,0))),0)</f>
        <v>0</v>
      </c>
      <c r="AF26" s="103">
        <f>IFERROR(IF(AF$4="Yes",0,INDEX(Calculations!AN$84:AN$96,MATCH(Carbon!$S26,Calculations!$A$9:$A$21,0))),0)</f>
        <v>0</v>
      </c>
      <c r="AG26" s="103">
        <f>IFERROR(IF(AG$4="Yes",0,INDEX(Calculations!AO$84:AO$96,MATCH(Carbon!$S26,Calculations!$A$9:$A$21,0))),0)</f>
        <v>0</v>
      </c>
      <c r="AH26" s="103">
        <f>IFERROR(IF(AH$4="Yes",0,INDEX(Calculations!AP$84:AP$96,MATCH(Carbon!$S26,Calculations!$A$9:$A$21,0))),0)</f>
        <v>0</v>
      </c>
      <c r="AI26" s="103">
        <f>IFERROR(IF(AI$4="Yes",0,INDEX(Calculations!AQ$84:AQ$96,MATCH(Carbon!$S26,Calculations!$A$9:$A$21,0))),0)</f>
        <v>0</v>
      </c>
      <c r="AJ26" s="103">
        <f>IFERROR(IF(AJ$4="Yes",0,INDEX(Calculations!AR$84:AR$96,MATCH(Carbon!$S26,Calculations!$A$9:$A$21,0))),0)</f>
        <v>0</v>
      </c>
      <c r="AK26" s="126">
        <f>IFERROR(SUM(U26:AI26)*'Project Info'!$D$28,0)</f>
        <v>0</v>
      </c>
      <c r="AL26" s="103">
        <f>IFERROR(INDEX(Calculations!BC$84:BC$96,MATCH(Carbon!$S26,Calculations!$A$9:$A$21,0))*-1,0)</f>
        <v>0</v>
      </c>
      <c r="AM26" s="103">
        <f>IFERROR(INDEX(Calculations!BD$84:BD$96,MATCH(Carbon!$S26,Calculations!$A$9:$A$21,0))*-1,0)</f>
        <v>0</v>
      </c>
      <c r="AN26" s="125">
        <f ca="1">IFERROR(SUM(OFFSET(Calculations!BE$84,MATCH($S26,Calculations!$A$9:$A$21,0)-1,0,1,4))*-1,0)</f>
        <v>0</v>
      </c>
      <c r="AO26" s="103">
        <f t="shared" ca="1" si="3"/>
        <v>0</v>
      </c>
      <c r="AP26" s="17"/>
      <c r="AQ26" s="4"/>
      <c r="AW26" s="103">
        <f>IFERROR(INDEX(Calculations!BL$24:BL$36,MATCH($S26,Calculations!$A$24:$A$36,0)),0)</f>
        <v>0</v>
      </c>
      <c r="AX26" s="103">
        <f>IFERROR(INDEX(Calculations!BM$24:BM$36,MATCH($S26,Calculations!$A$24:$A$36,0)),0)</f>
        <v>0</v>
      </c>
      <c r="AY26" s="103">
        <f>IFERROR(INDEX(Calculations!BN$24:BN$36,MATCH($S26,Calculations!$A$24:$A$36,0)),0)</f>
        <v>0</v>
      </c>
      <c r="AZ26" s="103">
        <f>IFERROR(INDEX(Calculations!BO$24:BO$36,MATCH($S26,Calculations!$A$24:$A$36,0)),0)</f>
        <v>0</v>
      </c>
      <c r="BA26" s="103">
        <f>IFERROR(INDEX(Calculations!BP$24:BP$36,MATCH($S26,Calculations!$A$24:$A$36,0)),0)</f>
        <v>0</v>
      </c>
    </row>
    <row r="27" spans="17:53">
      <c r="Q27" s="12"/>
      <c r="S27" s="20" t="str">
        <f>SiteE!S27</f>
        <v xml:space="preserve"> </v>
      </c>
      <c r="U27" s="103">
        <f>IFERROR(IF(U$4="Yes",0,INDEX(Calculations!AC$84:AC$96,MATCH(Carbon!$S27,Calculations!$A$9:$A$21,0))),0)</f>
        <v>0</v>
      </c>
      <c r="V27" s="103">
        <f>IFERROR(IF(V$4="Yes",0,INDEX(Calculations!AD$84:AD$96,MATCH(Carbon!$S27,Calculations!$A$9:$A$21,0))),0)</f>
        <v>0</v>
      </c>
      <c r="W27" s="103">
        <f>IFERROR(IF(W$4="Yes",0,INDEX(Calculations!AE$84:AE$96,MATCH(Carbon!$S27,Calculations!$A$9:$A$21,0))),0)</f>
        <v>0</v>
      </c>
      <c r="X27" s="103">
        <f>IFERROR(IF(X$4="Yes",0,INDEX(Calculations!AF$84:AF$96,MATCH(Carbon!$S27,Calculations!$A$9:$A$21,0))),0)</f>
        <v>0</v>
      </c>
      <c r="Y27" s="103">
        <f>IFERROR(IF(Y$4="Yes",0,INDEX(Calculations!AG$84:AG$96,MATCH(Carbon!$S27,Calculations!$A$9:$A$21,0))),0)</f>
        <v>0</v>
      </c>
      <c r="Z27" s="103">
        <f>IFERROR(IF(Z$4="Yes",0,INDEX(Calculations!AH$84:AH$96,MATCH(Carbon!$S27,Calculations!$A$9:$A$21,0))),0)</f>
        <v>0</v>
      </c>
      <c r="AA27" s="103">
        <f>IFERROR(IF(AA$4="Yes",0,INDEX(Calculations!AI$84:AI$96,MATCH(Carbon!$S27,Calculations!$A$9:$A$21,0))),0)</f>
        <v>0</v>
      </c>
      <c r="AB27" s="103">
        <f>IFERROR(IF(AB$4="Yes",0,INDEX(Calculations!AJ$84:AJ$96,MATCH(Carbon!$S27,Calculations!$A$9:$A$21,0))),0)</f>
        <v>0</v>
      </c>
      <c r="AC27" s="103">
        <f>IFERROR(IF(AC$4="Yes",0,INDEX(Calculations!AK$84:AK$96,MATCH(Carbon!$S27,Calculations!$A$9:$A$21,0))),0)</f>
        <v>0</v>
      </c>
      <c r="AD27" s="103">
        <f>IFERROR(IF(AD$4="Yes",0,INDEX(Calculations!AL$84:AL$96,MATCH(Carbon!$S27,Calculations!$A$9:$A$21,0))),0)</f>
        <v>0</v>
      </c>
      <c r="AE27" s="103">
        <f>IFERROR(IF(AE$4="Yes",0,INDEX(Calculations!AM$84:AM$96,MATCH(Carbon!$S27,Calculations!$A$9:$A$21,0))),0)</f>
        <v>0</v>
      </c>
      <c r="AF27" s="103">
        <f>IFERROR(IF(AF$4="Yes",0,INDEX(Calculations!AN$84:AN$96,MATCH(Carbon!$S27,Calculations!$A$9:$A$21,0))),0)</f>
        <v>0</v>
      </c>
      <c r="AG27" s="103">
        <f>IFERROR(IF(AG$4="Yes",0,INDEX(Calculations!AO$84:AO$96,MATCH(Carbon!$S27,Calculations!$A$9:$A$21,0))),0)</f>
        <v>0</v>
      </c>
      <c r="AH27" s="103">
        <f>IFERROR(IF(AH$4="Yes",0,INDEX(Calculations!AP$84:AP$96,MATCH(Carbon!$S27,Calculations!$A$9:$A$21,0))),0)</f>
        <v>0</v>
      </c>
      <c r="AI27" s="103">
        <f>IFERROR(IF(AI$4="Yes",0,INDEX(Calculations!AQ$84:AQ$96,MATCH(Carbon!$S27,Calculations!$A$9:$A$21,0))),0)</f>
        <v>0</v>
      </c>
      <c r="AJ27" s="103">
        <f>IFERROR(IF(AJ$4="Yes",0,INDEX(Calculations!AR$84:AR$96,MATCH(Carbon!$S27,Calculations!$A$9:$A$21,0))),0)</f>
        <v>0</v>
      </c>
      <c r="AK27" s="126">
        <f>IFERROR(SUM(U27:AI27)*'Project Info'!$D$28,0)</f>
        <v>0</v>
      </c>
      <c r="AL27" s="103">
        <f>IFERROR(INDEX(Calculations!BC$84:BC$96,MATCH(Carbon!$S27,Calculations!$A$9:$A$21,0))*-1,0)</f>
        <v>0</v>
      </c>
      <c r="AM27" s="103">
        <f>IFERROR(INDEX(Calculations!BD$84:BD$96,MATCH(Carbon!$S27,Calculations!$A$9:$A$21,0))*-1,0)</f>
        <v>0</v>
      </c>
      <c r="AN27" s="125">
        <f ca="1">IFERROR(SUM(OFFSET(Calculations!BE$84,MATCH($S27,Calculations!$A$9:$A$21,0)-1,0,1,4))*-1,0)</f>
        <v>0</v>
      </c>
      <c r="AO27" s="103">
        <f t="shared" ca="1" si="3"/>
        <v>0</v>
      </c>
      <c r="AP27" s="17"/>
      <c r="AQ27" s="4"/>
      <c r="AW27" s="103">
        <f>IFERROR(INDEX(Calculations!BL$24:BL$36,MATCH($S27,Calculations!$A$24:$A$36,0)),0)</f>
        <v>0</v>
      </c>
      <c r="AX27" s="103">
        <f>IFERROR(INDEX(Calculations!BM$24:BM$36,MATCH($S27,Calculations!$A$24:$A$36,0)),0)</f>
        <v>0</v>
      </c>
      <c r="AY27" s="103">
        <f>IFERROR(INDEX(Calculations!BN$24:BN$36,MATCH($S27,Calculations!$A$24:$A$36,0)),0)</f>
        <v>0</v>
      </c>
      <c r="AZ27" s="103">
        <f>IFERROR(INDEX(Calculations!BO$24:BO$36,MATCH($S27,Calculations!$A$24:$A$36,0)),0)</f>
        <v>0</v>
      </c>
      <c r="BA27" s="103">
        <f>IFERROR(INDEX(Calculations!BP$24:BP$36,MATCH($S27,Calculations!$A$24:$A$36,0)),0)</f>
        <v>0</v>
      </c>
    </row>
    <row r="28" spans="17:53">
      <c r="Q28" s="12"/>
      <c r="S28" s="20" t="str">
        <f>SiteE!S28</f>
        <v xml:space="preserve"> </v>
      </c>
      <c r="U28" s="103">
        <f>IFERROR(IF(U$4="Yes",0,INDEX(Calculations!AC$84:AC$96,MATCH(Carbon!$S28,Calculations!$A$9:$A$21,0))),0)</f>
        <v>0</v>
      </c>
      <c r="V28" s="103">
        <f>IFERROR(IF(V$4="Yes",0,INDEX(Calculations!AD$84:AD$96,MATCH(Carbon!$S28,Calculations!$A$9:$A$21,0))),0)</f>
        <v>0</v>
      </c>
      <c r="W28" s="103">
        <f>IFERROR(IF(W$4="Yes",0,INDEX(Calculations!AE$84:AE$96,MATCH(Carbon!$S28,Calculations!$A$9:$A$21,0))),0)</f>
        <v>0</v>
      </c>
      <c r="X28" s="103">
        <f>IFERROR(IF(X$4="Yes",0,INDEX(Calculations!AF$84:AF$96,MATCH(Carbon!$S28,Calculations!$A$9:$A$21,0))),0)</f>
        <v>0</v>
      </c>
      <c r="Y28" s="103">
        <f>IFERROR(IF(Y$4="Yes",0,INDEX(Calculations!AG$84:AG$96,MATCH(Carbon!$S28,Calculations!$A$9:$A$21,0))),0)</f>
        <v>0</v>
      </c>
      <c r="Z28" s="103">
        <f>IFERROR(IF(Z$4="Yes",0,INDEX(Calculations!AH$84:AH$96,MATCH(Carbon!$S28,Calculations!$A$9:$A$21,0))),0)</f>
        <v>0</v>
      </c>
      <c r="AA28" s="103">
        <f>IFERROR(IF(AA$4="Yes",0,INDEX(Calculations!AI$84:AI$96,MATCH(Carbon!$S28,Calculations!$A$9:$A$21,0))),0)</f>
        <v>0</v>
      </c>
      <c r="AB28" s="103">
        <f>IFERROR(IF(AB$4="Yes",0,INDEX(Calculations!AJ$84:AJ$96,MATCH(Carbon!$S28,Calculations!$A$9:$A$21,0))),0)</f>
        <v>0</v>
      </c>
      <c r="AC28" s="103">
        <f>IFERROR(IF(AC$4="Yes",0,INDEX(Calculations!AK$84:AK$96,MATCH(Carbon!$S28,Calculations!$A$9:$A$21,0))),0)</f>
        <v>0</v>
      </c>
      <c r="AD28" s="103">
        <f>IFERROR(IF(AD$4="Yes",0,INDEX(Calculations!AL$84:AL$96,MATCH(Carbon!$S28,Calculations!$A$9:$A$21,0))),0)</f>
        <v>0</v>
      </c>
      <c r="AE28" s="103">
        <f>IFERROR(IF(AE$4="Yes",0,INDEX(Calculations!AM$84:AM$96,MATCH(Carbon!$S28,Calculations!$A$9:$A$21,0))),0)</f>
        <v>0</v>
      </c>
      <c r="AF28" s="103">
        <f>IFERROR(IF(AF$4="Yes",0,INDEX(Calculations!AN$84:AN$96,MATCH(Carbon!$S28,Calculations!$A$9:$A$21,0))),0)</f>
        <v>0</v>
      </c>
      <c r="AG28" s="103">
        <f>IFERROR(IF(AG$4="Yes",0,INDEX(Calculations!AO$84:AO$96,MATCH(Carbon!$S28,Calculations!$A$9:$A$21,0))),0)</f>
        <v>0</v>
      </c>
      <c r="AH28" s="103">
        <f>IFERROR(IF(AH$4="Yes",0,INDEX(Calculations!AP$84:AP$96,MATCH(Carbon!$S28,Calculations!$A$9:$A$21,0))),0)</f>
        <v>0</v>
      </c>
      <c r="AI28" s="103">
        <f>IFERROR(IF(AI$4="Yes",0,INDEX(Calculations!AQ$84:AQ$96,MATCH(Carbon!$S28,Calculations!$A$9:$A$21,0))),0)</f>
        <v>0</v>
      </c>
      <c r="AJ28" s="103">
        <f>IFERROR(IF(AJ$4="Yes",0,INDEX(Calculations!AR$84:AR$96,MATCH(Carbon!$S28,Calculations!$A$9:$A$21,0))),0)</f>
        <v>0</v>
      </c>
      <c r="AK28" s="126">
        <f>IFERROR(SUM(U28:AI28)*'Project Info'!$D$28,0)</f>
        <v>0</v>
      </c>
      <c r="AL28" s="103">
        <f>IFERROR(INDEX(Calculations!BC$84:BC$96,MATCH(Carbon!$S31,Calculations!$A$9:$A$21,0))*-1,0)</f>
        <v>0</v>
      </c>
      <c r="AM28" s="103">
        <f>IFERROR(INDEX(Calculations!BD$84:BD$96,MATCH(Carbon!$S31,Calculations!$A$9:$A$21,0))*-1,0)</f>
        <v>0</v>
      </c>
      <c r="AN28" s="125">
        <f ca="1">IFERROR(SUM(OFFSET(Calculations!BE$84,MATCH($S28,Calculations!$A$9:$A$21,0)-1,0,1,4))*-1,0)</f>
        <v>0</v>
      </c>
      <c r="AO28" s="103">
        <f t="shared" ca="1" si="3"/>
        <v>0</v>
      </c>
      <c r="AP28" s="17"/>
      <c r="AQ28" s="4"/>
      <c r="AW28" s="103">
        <f>IFERROR(INDEX(Calculations!BL$24:BL$36,MATCH($S28,Calculations!$A$24:$A$36,0)),0)</f>
        <v>0</v>
      </c>
      <c r="AX28" s="103">
        <f>IFERROR(INDEX(Calculations!BM$24:BM$36,MATCH($S28,Calculations!$A$24:$A$36,0)),0)</f>
        <v>0</v>
      </c>
      <c r="AY28" s="103">
        <f>IFERROR(INDEX(Calculations!BN$24:BN$36,MATCH($S28,Calculations!$A$24:$A$36,0)),0)</f>
        <v>0</v>
      </c>
      <c r="AZ28" s="103">
        <f>IFERROR(INDEX(Calculations!BO$24:BO$36,MATCH($S28,Calculations!$A$24:$A$36,0)),0)</f>
        <v>0</v>
      </c>
      <c r="BA28" s="103">
        <f>IFERROR(INDEX(Calculations!BP$24:BP$36,MATCH($S28,Calculations!$A$24:$A$36,0)),0)</f>
        <v>0</v>
      </c>
    </row>
    <row r="29" spans="17:53">
      <c r="Q29" s="12"/>
      <c r="S29" s="20" t="str">
        <f>SiteE!S29</f>
        <v xml:space="preserve"> </v>
      </c>
      <c r="U29" s="103">
        <f>IFERROR(IF(U$4="Yes",0,INDEX(Calculations!AC$84:AC$96,MATCH(Carbon!$S29,Calculations!$A$9:$A$21,0))),0)</f>
        <v>0</v>
      </c>
      <c r="V29" s="103">
        <f>IFERROR(IF(V$4="Yes",0,INDEX(Calculations!AD$84:AD$96,MATCH(Carbon!$S29,Calculations!$A$9:$A$21,0))),0)</f>
        <v>0</v>
      </c>
      <c r="W29" s="103">
        <f>IFERROR(IF(W$4="Yes",0,INDEX(Calculations!AE$84:AE$96,MATCH(Carbon!$S29,Calculations!$A$9:$A$21,0))),0)</f>
        <v>0</v>
      </c>
      <c r="X29" s="103">
        <f>IFERROR(IF(X$4="Yes",0,INDEX(Calculations!AF$84:AF$96,MATCH(Carbon!$S29,Calculations!$A$9:$A$21,0))),0)</f>
        <v>0</v>
      </c>
      <c r="Y29" s="103">
        <f>IFERROR(IF(Y$4="Yes",0,INDEX(Calculations!AG$84:AG$96,MATCH(Carbon!$S29,Calculations!$A$9:$A$21,0))),0)</f>
        <v>0</v>
      </c>
      <c r="Z29" s="103">
        <f>IFERROR(IF(Z$4="Yes",0,INDEX(Calculations!AH$84:AH$96,MATCH(Carbon!$S29,Calculations!$A$9:$A$21,0))),0)</f>
        <v>0</v>
      </c>
      <c r="AA29" s="103">
        <f>IFERROR(IF(AA$4="Yes",0,INDEX(Calculations!AI$84:AI$96,MATCH(Carbon!$S29,Calculations!$A$9:$A$21,0))),0)</f>
        <v>0</v>
      </c>
      <c r="AB29" s="103">
        <f>IFERROR(IF(AB$4="Yes",0,INDEX(Calculations!AJ$84:AJ$96,MATCH(Carbon!$S29,Calculations!$A$9:$A$21,0))),0)</f>
        <v>0</v>
      </c>
      <c r="AC29" s="103">
        <f>IFERROR(IF(AC$4="Yes",0,INDEX(Calculations!AK$84:AK$96,MATCH(Carbon!$S29,Calculations!$A$9:$A$21,0))),0)</f>
        <v>0</v>
      </c>
      <c r="AD29" s="103">
        <f>IFERROR(IF(AD$4="Yes",0,INDEX(Calculations!AL$84:AL$96,MATCH(Carbon!$S29,Calculations!$A$9:$A$21,0))),0)</f>
        <v>0</v>
      </c>
      <c r="AE29" s="103">
        <f>IFERROR(IF(AE$4="Yes",0,INDEX(Calculations!AM$84:AM$96,MATCH(Carbon!$S29,Calculations!$A$9:$A$21,0))),0)</f>
        <v>0</v>
      </c>
      <c r="AF29" s="103">
        <f>IFERROR(IF(AF$4="Yes",0,INDEX(Calculations!AN$84:AN$96,MATCH(Carbon!$S29,Calculations!$A$9:$A$21,0))),0)</f>
        <v>0</v>
      </c>
      <c r="AG29" s="103">
        <f>IFERROR(IF(AG$4="Yes",0,INDEX(Calculations!AO$84:AO$96,MATCH(Carbon!$S29,Calculations!$A$9:$A$21,0))),0)</f>
        <v>0</v>
      </c>
      <c r="AH29" s="103">
        <f>IFERROR(IF(AH$4="Yes",0,INDEX(Calculations!AP$84:AP$96,MATCH(Carbon!$S29,Calculations!$A$9:$A$21,0))),0)</f>
        <v>0</v>
      </c>
      <c r="AI29" s="103">
        <f>IFERROR(IF(AI$4="Yes",0,INDEX(Calculations!AQ$84:AQ$96,MATCH(Carbon!$S29,Calculations!$A$9:$A$21,0))),0)</f>
        <v>0</v>
      </c>
      <c r="AJ29" s="103">
        <f>IFERROR(IF(AJ$4="Yes",0,INDEX(Calculations!AR$84:AR$96,MATCH(Carbon!$S29,Calculations!$A$9:$A$21,0))),0)</f>
        <v>0</v>
      </c>
      <c r="AK29" s="126">
        <f>IFERROR(SUM(U29:AI29)*'Project Info'!$D$28,0)</f>
        <v>0</v>
      </c>
      <c r="AL29" s="103">
        <f>IFERROR(INDEX(Calculations!BC$84:BC$96,MATCH(Carbon!$S29,Calculations!$A$9:$A$21,0))*-1,0)</f>
        <v>0</v>
      </c>
      <c r="AM29" s="103">
        <f>IFERROR(INDEX(Calculations!BD$84:BD$96,MATCH(Carbon!$S29,Calculations!$A$9:$A$21,0))*-1,0)</f>
        <v>0</v>
      </c>
      <c r="AN29" s="125">
        <f ca="1">IFERROR(SUM(OFFSET(Calculations!BE$84,MATCH($S29,Calculations!$A$9:$A$21,0)-1,0,1,4))*-1,0)</f>
        <v>0</v>
      </c>
      <c r="AO29" s="103">
        <f t="shared" ca="1" si="3"/>
        <v>0</v>
      </c>
      <c r="AP29" s="17"/>
      <c r="AQ29" s="4"/>
      <c r="AW29" s="103">
        <f>IFERROR(INDEX(Calculations!BL$24:BL$36,MATCH($S29,Calculations!$A$24:$A$36,0)),0)</f>
        <v>0</v>
      </c>
      <c r="AX29" s="103">
        <f>IFERROR(INDEX(Calculations!BM$24:BM$36,MATCH($S29,Calculations!$A$24:$A$36,0)),0)</f>
        <v>0</v>
      </c>
      <c r="AY29" s="103">
        <f>IFERROR(INDEX(Calculations!BN$24:BN$36,MATCH($S29,Calculations!$A$24:$A$36,0)),0)</f>
        <v>0</v>
      </c>
      <c r="AZ29" s="103">
        <f>IFERROR(INDEX(Calculations!BO$24:BO$36,MATCH($S29,Calculations!$A$24:$A$36,0)),0)</f>
        <v>0</v>
      </c>
      <c r="BA29" s="103">
        <f>IFERROR(INDEX(Calculations!BP$24:BP$36,MATCH($S29,Calculations!$A$24:$A$36,0)),0)</f>
        <v>0</v>
      </c>
    </row>
    <row r="30" spans="17:53">
      <c r="Q30" s="12"/>
      <c r="S30" s="20" t="str">
        <f>SiteE!S30</f>
        <v xml:space="preserve"> </v>
      </c>
      <c r="U30" s="103">
        <f>IFERROR(IF(U$4="Yes",0,INDEX(Calculations!AC$84:AC$96,MATCH(Carbon!$S30,Calculations!$A$9:$A$21,0))),0)</f>
        <v>0</v>
      </c>
      <c r="V30" s="103">
        <f>IFERROR(IF(V$4="Yes",0,INDEX(Calculations!AD$84:AD$96,MATCH(Carbon!$S30,Calculations!$A$9:$A$21,0))),0)</f>
        <v>0</v>
      </c>
      <c r="W30" s="103">
        <f>IFERROR(IF(W$4="Yes",0,INDEX(Calculations!AE$84:AE$96,MATCH(Carbon!$S30,Calculations!$A$9:$A$21,0))),0)</f>
        <v>0</v>
      </c>
      <c r="X30" s="103">
        <f>IFERROR(IF(X$4="Yes",0,INDEX(Calculations!AF$84:AF$96,MATCH(Carbon!$S30,Calculations!$A$9:$A$21,0))),0)</f>
        <v>0</v>
      </c>
      <c r="Y30" s="103">
        <f>IFERROR(IF(Y$4="Yes",0,INDEX(Calculations!AG$84:AG$96,MATCH(Carbon!$S30,Calculations!$A$9:$A$21,0))),0)</f>
        <v>0</v>
      </c>
      <c r="Z30" s="103">
        <f>IFERROR(IF(Z$4="Yes",0,INDEX(Calculations!AH$84:AH$96,MATCH(Carbon!$S30,Calculations!$A$9:$A$21,0))),0)</f>
        <v>0</v>
      </c>
      <c r="AA30" s="103">
        <f>IFERROR(IF(AA$4="Yes",0,INDEX(Calculations!AI$84:AI$96,MATCH(Carbon!$S30,Calculations!$A$9:$A$21,0))),0)</f>
        <v>0</v>
      </c>
      <c r="AB30" s="103">
        <f>IFERROR(IF(AB$4="Yes",0,INDEX(Calculations!AJ$84:AJ$96,MATCH(Carbon!$S30,Calculations!$A$9:$A$21,0))),0)</f>
        <v>0</v>
      </c>
      <c r="AC30" s="103">
        <f>IFERROR(IF(AC$4="Yes",0,INDEX(Calculations!AK$84:AK$96,MATCH(Carbon!$S30,Calculations!$A$9:$A$21,0))),0)</f>
        <v>0</v>
      </c>
      <c r="AD30" s="103">
        <f>IFERROR(IF(AD$4="Yes",0,INDEX(Calculations!AL$84:AL$96,MATCH(Carbon!$S30,Calculations!$A$9:$A$21,0))),0)</f>
        <v>0</v>
      </c>
      <c r="AE30" s="103">
        <f>IFERROR(IF(AE$4="Yes",0,INDEX(Calculations!AM$84:AM$96,MATCH(Carbon!$S30,Calculations!$A$9:$A$21,0))),0)</f>
        <v>0</v>
      </c>
      <c r="AF30" s="103">
        <f>IFERROR(IF(AF$4="Yes",0,INDEX(Calculations!AN$84:AN$96,MATCH(Carbon!$S30,Calculations!$A$9:$A$21,0))),0)</f>
        <v>0</v>
      </c>
      <c r="AG30" s="103">
        <f>IFERROR(IF(AG$4="Yes",0,INDEX(Calculations!AO$84:AO$96,MATCH(Carbon!$S30,Calculations!$A$9:$A$21,0))),0)</f>
        <v>0</v>
      </c>
      <c r="AH30" s="103">
        <f>IFERROR(IF(AH$4="Yes",0,INDEX(Calculations!AP$84:AP$96,MATCH(Carbon!$S30,Calculations!$A$9:$A$21,0))),0)</f>
        <v>0</v>
      </c>
      <c r="AI30" s="103">
        <f>IFERROR(IF(AI$4="Yes",0,INDEX(Calculations!AQ$84:AQ$96,MATCH(Carbon!$S30,Calculations!$A$9:$A$21,0))),0)</f>
        <v>0</v>
      </c>
      <c r="AJ30" s="103">
        <f>IFERROR(IF(AJ$4="Yes",0,INDEX(Calculations!AR$84:AR$96,MATCH(Carbon!$S30,Calculations!$A$9:$A$21,0))),0)</f>
        <v>0</v>
      </c>
      <c r="AK30" s="126">
        <f>IFERROR(SUM(U30:AI30)*'Project Info'!$D$28,0)</f>
        <v>0</v>
      </c>
      <c r="AL30" s="103">
        <f>IFERROR(INDEX(Calculations!BC$84:BC$96,MATCH(Carbon!$S30,Calculations!$A$9:$A$21,0))*-1,0)</f>
        <v>0</v>
      </c>
      <c r="AM30" s="103">
        <f>IFERROR(INDEX(Calculations!BD$84:BD$96,MATCH(Carbon!$S30,Calculations!$A$9:$A$21,0))*-1,0)</f>
        <v>0</v>
      </c>
      <c r="AN30" s="125">
        <f ca="1">IFERROR(SUM(OFFSET(Calculations!BE$84,MATCH($S30,Calculations!$A$9:$A$21,0)-1,0,1,4))*-1,0)</f>
        <v>0</v>
      </c>
      <c r="AO30" s="103">
        <f t="shared" ca="1" si="3"/>
        <v>0</v>
      </c>
      <c r="AP30" s="17"/>
      <c r="AQ30" s="4"/>
      <c r="AW30" s="103">
        <f>IFERROR(INDEX(Calculations!BL$24:BL$36,MATCH($S30,Calculations!$A$24:$A$36,0)),0)</f>
        <v>0</v>
      </c>
      <c r="AX30" s="103">
        <f>IFERROR(INDEX(Calculations!BM$24:BM$36,MATCH($S30,Calculations!$A$24:$A$36,0)),0)</f>
        <v>0</v>
      </c>
      <c r="AY30" s="103">
        <f>IFERROR(INDEX(Calculations!BN$24:BN$36,MATCH($S30,Calculations!$A$24:$A$36,0)),0)</f>
        <v>0</v>
      </c>
      <c r="AZ30" s="103">
        <f>IFERROR(INDEX(Calculations!BO$24:BO$36,MATCH($S30,Calculations!$A$24:$A$36,0)),0)</f>
        <v>0</v>
      </c>
      <c r="BA30" s="103">
        <f>IFERROR(INDEX(Calculations!BP$24:BP$36,MATCH($S30,Calculations!$A$24:$A$36,0)),0)</f>
        <v>0</v>
      </c>
    </row>
    <row r="31" spans="17:53">
      <c r="Q31" s="12"/>
      <c r="S31" s="20" t="str">
        <f>SiteE!S31</f>
        <v xml:space="preserve"> </v>
      </c>
      <c r="U31" s="103">
        <f>IFERROR(IF(U$4="Yes",0,INDEX(Calculations!AC$84:AC$96,MATCH(Carbon!$S31,Calculations!$A$9:$A$21,0))),0)</f>
        <v>0</v>
      </c>
      <c r="V31" s="103">
        <f>IFERROR(IF(V$4="Yes",0,INDEX(Calculations!AD$84:AD$96,MATCH(Carbon!$S31,Calculations!$A$9:$A$21,0))),0)</f>
        <v>0</v>
      </c>
      <c r="W31" s="103">
        <f>IFERROR(IF(W$4="Yes",0,INDEX(Calculations!AE$84:AE$96,MATCH(Carbon!$S31,Calculations!$A$9:$A$21,0))),0)</f>
        <v>0</v>
      </c>
      <c r="X31" s="103">
        <f>IFERROR(IF(X$4="Yes",0,INDEX(Calculations!AF$84:AF$96,MATCH(Carbon!$S31,Calculations!$A$9:$A$21,0))),0)</f>
        <v>0</v>
      </c>
      <c r="Y31" s="103">
        <f>IFERROR(IF(Y$4="Yes",0,INDEX(Calculations!AG$84:AG$96,MATCH(Carbon!$S31,Calculations!$A$9:$A$21,0))),0)</f>
        <v>0</v>
      </c>
      <c r="Z31" s="103">
        <f>IFERROR(IF(Z$4="Yes",0,INDEX(Calculations!AH$84:AH$96,MATCH(Carbon!$S31,Calculations!$A$9:$A$21,0))),0)</f>
        <v>0</v>
      </c>
      <c r="AA31" s="103">
        <f>IFERROR(IF(AA$4="Yes",0,INDEX(Calculations!AI$84:AI$96,MATCH(Carbon!$S31,Calculations!$A$9:$A$21,0))),0)</f>
        <v>0</v>
      </c>
      <c r="AB31" s="103">
        <f>IFERROR(IF(AB$4="Yes",0,INDEX(Calculations!AJ$84:AJ$96,MATCH(Carbon!$S31,Calculations!$A$9:$A$21,0))),0)</f>
        <v>0</v>
      </c>
      <c r="AC31" s="103">
        <f>IFERROR(IF(AC$4="Yes",0,INDEX(Calculations!AK$84:AK$96,MATCH(Carbon!$S31,Calculations!$A$9:$A$21,0))),0)</f>
        <v>0</v>
      </c>
      <c r="AD31" s="103">
        <f>IFERROR(IF(AD$4="Yes",0,INDEX(Calculations!AL$84:AL$96,MATCH(Carbon!$S31,Calculations!$A$9:$A$21,0))),0)</f>
        <v>0</v>
      </c>
      <c r="AE31" s="103">
        <f>IFERROR(IF(AE$4="Yes",0,INDEX(Calculations!AM$84:AM$96,MATCH(Carbon!$S31,Calculations!$A$9:$A$21,0))),0)</f>
        <v>0</v>
      </c>
      <c r="AF31" s="103">
        <f>IFERROR(IF(AF$4="Yes",0,INDEX(Calculations!AN$84:AN$96,MATCH(Carbon!$S31,Calculations!$A$9:$A$21,0))),0)</f>
        <v>0</v>
      </c>
      <c r="AG31" s="103">
        <f>IFERROR(IF(AG$4="Yes",0,INDEX(Calculations!AO$84:AO$96,MATCH(Carbon!$S31,Calculations!$A$9:$A$21,0))),0)</f>
        <v>0</v>
      </c>
      <c r="AH31" s="103">
        <f>IFERROR(IF(AH$4="Yes",0,INDEX(Calculations!AP$84:AP$96,MATCH(Carbon!$S31,Calculations!$A$9:$A$21,0))),0)</f>
        <v>0</v>
      </c>
      <c r="AI31" s="103">
        <f>IFERROR(IF(AI$4="Yes",0,INDEX(Calculations!AQ$84:AQ$96,MATCH(Carbon!$S31,Calculations!$A$9:$A$21,0))),0)</f>
        <v>0</v>
      </c>
      <c r="AJ31" s="103">
        <f>IFERROR(IF(AJ$4="Yes",0,INDEX(Calculations!AR$84:AR$96,MATCH(Carbon!$S31,Calculations!$A$9:$A$21,0))),0)</f>
        <v>0</v>
      </c>
      <c r="AK31" s="126">
        <f>IFERROR(SUM(U31:AI31)*'Project Info'!$D$28,0)</f>
        <v>0</v>
      </c>
      <c r="AL31" s="103">
        <f>IFERROR(INDEX(Calculations!BC$84:BC$96,MATCH(Carbon!$S31,Calculations!$A$9:$A$21,0))*-1,0)</f>
        <v>0</v>
      </c>
      <c r="AM31" s="103">
        <f>IFERROR(INDEX(Calculations!BD$84:BD$96,MATCH(Carbon!$S31,Calculations!$A$9:$A$21,0))*-1,0)</f>
        <v>0</v>
      </c>
      <c r="AN31" s="125">
        <f ca="1">IFERROR(SUM(OFFSET(Calculations!BE$84,MATCH($S31,Calculations!$A$9:$A$21,0)-1,0,1,4))*-1,0)</f>
        <v>0</v>
      </c>
      <c r="AO31" s="103">
        <f t="shared" ca="1" si="3"/>
        <v>0</v>
      </c>
      <c r="AP31" s="17"/>
      <c r="AQ31" s="4"/>
      <c r="AW31" s="103">
        <f>IFERROR(INDEX(Calculations!BL$24:BL$36,MATCH($S31,Calculations!$A$24:$A$36,0)),0)</f>
        <v>0</v>
      </c>
      <c r="AX31" s="103">
        <f>IFERROR(INDEX(Calculations!BM$24:BM$36,MATCH($S31,Calculations!$A$24:$A$36,0)),0)</f>
        <v>0</v>
      </c>
      <c r="AY31" s="103">
        <f>IFERROR(INDEX(Calculations!BN$24:BN$36,MATCH($S31,Calculations!$A$24:$A$36,0)),0)</f>
        <v>0</v>
      </c>
      <c r="AZ31" s="103">
        <f>IFERROR(INDEX(Calculations!BO$24:BO$36,MATCH($S31,Calculations!$A$24:$A$36,0)),0)</f>
        <v>0</v>
      </c>
      <c r="BA31" s="103">
        <f>IFERROR(INDEX(Calculations!BP$24:BP$36,MATCH($S31,Calculations!$A$24:$A$36,0)),0)</f>
        <v>0</v>
      </c>
    </row>
    <row r="32" spans="17:53">
      <c r="Q32" s="12"/>
    </row>
    <row r="33" spans="17:17">
      <c r="Q33" s="12"/>
    </row>
    <row r="34" spans="17:17">
      <c r="Q34" s="12"/>
    </row>
    <row r="35" spans="17:17">
      <c r="Q35" s="12"/>
    </row>
    <row r="36" spans="17:17">
      <c r="Q36" s="12"/>
    </row>
    <row r="37" spans="17:17">
      <c r="Q37" s="12"/>
    </row>
    <row r="38" spans="17:17">
      <c r="Q38" s="12"/>
    </row>
    <row r="39" spans="17:17">
      <c r="Q39" s="12"/>
    </row>
    <row r="40" spans="17:17">
      <c r="Q40" s="12"/>
    </row>
    <row r="41" spans="17:17">
      <c r="Q41" s="12"/>
    </row>
    <row r="42" spans="17:17">
      <c r="Q42" s="12"/>
    </row>
    <row r="43" spans="17:17">
      <c r="Q43" s="12"/>
    </row>
    <row r="44" spans="17:17">
      <c r="Q44" s="12"/>
    </row>
    <row r="45" spans="17:17">
      <c r="Q45" s="12"/>
    </row>
    <row r="46" spans="17:17">
      <c r="Q46" s="12"/>
    </row>
    <row r="47" spans="17:17">
      <c r="Q47" s="12"/>
    </row>
    <row r="48" spans="17:17">
      <c r="Q48" s="12"/>
    </row>
    <row r="49" spans="11:17">
      <c r="Q49" s="12"/>
    </row>
    <row r="50" spans="11:17">
      <c r="Q50" s="12"/>
    </row>
    <row r="51" spans="11:17">
      <c r="Q51" s="12"/>
    </row>
    <row r="52" spans="11:17">
      <c r="Q52" s="12"/>
    </row>
    <row r="53" spans="11:17">
      <c r="Q53" s="12"/>
    </row>
    <row r="54" spans="11:17">
      <c r="Q54" s="12"/>
    </row>
    <row r="55" spans="11:17">
      <c r="Q55" s="12"/>
    </row>
    <row r="56" spans="11:17">
      <c r="Q56" s="12"/>
    </row>
    <row r="57" spans="11:17">
      <c r="Q57" s="12"/>
    </row>
    <row r="58" spans="11:17">
      <c r="Q58" s="12"/>
    </row>
    <row r="59" spans="11:17">
      <c r="Q59" s="12"/>
    </row>
    <row r="60" spans="11:17">
      <c r="K60" s="1" t="s">
        <v>210</v>
      </c>
      <c r="Q60" s="12"/>
    </row>
    <row r="61" spans="11:17">
      <c r="Q61" s="12"/>
    </row>
    <row r="62" spans="11:17">
      <c r="Q62" s="12"/>
    </row>
    <row r="63" spans="11:17">
      <c r="Q63" s="12"/>
    </row>
    <row r="64" spans="11:17">
      <c r="Q64" s="12"/>
    </row>
  </sheetData>
  <dataValidations disablePrompts="1" count="1">
    <dataValidation type="list" allowBlank="1" showInputMessage="1" showErrorMessage="1" sqref="B4" xr:uid="{B0297060-03FC-42E4-877F-CCD7ED97CB9F}">
      <formula1>Result_Set</formula1>
    </dataValidation>
  </dataValidations>
  <pageMargins left="0.7" right="0.7" top="0.75" bottom="0.75" header="0.3" footer="0.3"/>
  <pageSetup paperSize="258" orientation="portrait" horizontalDpi="300"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C4BDA9-BFB1-41BC-8135-FBE011D5E566}">
  <sheetPr>
    <tabColor theme="0" tint="-0.249977111117893"/>
  </sheetPr>
  <dimension ref="A1:BA64"/>
  <sheetViews>
    <sheetView showGridLines="0" topLeftCell="F7" zoomScaleNormal="100" workbookViewId="0">
      <selection activeCell="K32" sqref="K32"/>
    </sheetView>
  </sheetViews>
  <sheetFormatPr defaultColWidth="9.109375" defaultRowHeight="15"/>
  <cols>
    <col min="1" max="1" width="3.5546875" style="1" customWidth="1"/>
    <col min="2" max="2" width="27.5546875" style="1" customWidth="1"/>
    <col min="3" max="3" width="10.5546875" style="1" customWidth="1"/>
    <col min="4" max="15" width="18.5546875" style="1" customWidth="1"/>
    <col min="16" max="16" width="3.5546875" style="1" customWidth="1"/>
    <col min="17" max="17" width="9.109375" style="1"/>
    <col min="18" max="18" width="3.5546875" style="1" customWidth="1"/>
    <col min="19" max="37" width="10.5546875" style="1" customWidth="1"/>
    <col min="38" max="40" width="9.109375" style="1"/>
    <col min="41" max="41" width="15.5546875" style="1" customWidth="1"/>
    <col min="42" max="42" width="3.5546875" style="1" customWidth="1"/>
    <col min="43" max="43" width="10.5546875" style="1" bestFit="1" customWidth="1"/>
    <col min="44" max="44" width="3.5546875" style="1" customWidth="1"/>
    <col min="45" max="47" width="15.5546875" style="1" customWidth="1"/>
    <col min="48" max="48" width="9.109375" style="1"/>
    <col min="49" max="53" width="12.5546875" style="1" customWidth="1"/>
    <col min="54" max="16384" width="9.109375" style="1"/>
  </cols>
  <sheetData>
    <row r="1" spans="1:53">
      <c r="A1" s="76" t="str">
        <f>Menus!C27</f>
        <v>Energy Cost</v>
      </c>
      <c r="B1" s="77"/>
      <c r="C1" s="77"/>
      <c r="D1" s="77"/>
      <c r="E1" s="77"/>
      <c r="F1" s="77"/>
      <c r="G1" s="77"/>
      <c r="H1" s="77"/>
      <c r="I1" s="77"/>
      <c r="J1" s="77"/>
      <c r="K1" s="77"/>
      <c r="L1" s="77"/>
      <c r="M1" s="77"/>
      <c r="N1" s="77"/>
      <c r="O1" s="77"/>
      <c r="P1" s="77"/>
      <c r="Q1" s="77"/>
      <c r="R1" s="77"/>
      <c r="S1" s="77"/>
      <c r="T1" s="77"/>
      <c r="U1" s="77"/>
      <c r="V1" s="77"/>
      <c r="W1" s="77"/>
      <c r="X1" s="77"/>
      <c r="Y1" s="77"/>
      <c r="Z1" s="77"/>
      <c r="AA1" s="77"/>
      <c r="AB1" s="77"/>
      <c r="AC1" s="77"/>
      <c r="AD1" s="77"/>
      <c r="AE1" s="77"/>
      <c r="AF1" s="77"/>
      <c r="AG1" s="77"/>
      <c r="AH1" s="77"/>
      <c r="AI1" s="77"/>
      <c r="AJ1" s="77"/>
      <c r="AK1" s="77"/>
      <c r="AL1" s="77"/>
      <c r="AM1" s="77"/>
      <c r="AN1" s="77"/>
      <c r="AO1" s="77"/>
      <c r="AP1" s="77"/>
      <c r="AQ1" s="77"/>
      <c r="AR1" s="77"/>
      <c r="AS1" s="77"/>
      <c r="AT1" s="77"/>
      <c r="AU1" s="77"/>
      <c r="AV1" s="77"/>
      <c r="AW1" s="77"/>
      <c r="AX1" s="77"/>
      <c r="AY1" s="77"/>
      <c r="AZ1" s="77"/>
      <c r="BA1" s="77"/>
    </row>
    <row r="2" spans="1:53">
      <c r="D2" s="7"/>
      <c r="Q2" s="12"/>
      <c r="S2" s="4" t="str">
        <f>SiteE!S2</f>
        <v>LEED</v>
      </c>
      <c r="U2" s="4" t="str">
        <f>IF(AND(S2=Menus!I7,'Project Info'!D16="No"),"No","Yes")</f>
        <v>Yes</v>
      </c>
    </row>
    <row r="3" spans="1:53" s="15" customFormat="1" ht="28.2">
      <c r="B3" s="41"/>
      <c r="D3" s="17"/>
      <c r="E3" s="17"/>
      <c r="F3" s="17"/>
      <c r="G3" s="17"/>
      <c r="H3" s="17"/>
      <c r="I3" s="17"/>
      <c r="J3" s="17"/>
      <c r="K3" s="17"/>
      <c r="L3" s="17"/>
      <c r="M3" s="17"/>
      <c r="N3" s="17"/>
      <c r="O3" s="17"/>
      <c r="Q3" s="16"/>
      <c r="S3" s="17">
        <f>SiteE!S3</f>
        <v>1</v>
      </c>
      <c r="U3" s="17" t="str">
        <f>Calculations!AC4</f>
        <v>Heating</v>
      </c>
      <c r="V3" s="17" t="str">
        <f>Calculations!AD4</f>
        <v>Cooling</v>
      </c>
      <c r="W3" s="17" t="str">
        <f>Calculations!AE4</f>
        <v>Lighting</v>
      </c>
      <c r="X3" s="17" t="str">
        <f>Calculations!AF4</f>
        <v>Exterior Lighting</v>
      </c>
      <c r="Y3" s="17" t="str">
        <f>Calculations!AG4</f>
        <v>Equipment</v>
      </c>
      <c r="Z3" s="17" t="str">
        <f>Calculations!AH4</f>
        <v>Exterior Equipment</v>
      </c>
      <c r="AA3" s="17" t="str">
        <f>Calculations!AI4</f>
        <v>Fans</v>
      </c>
      <c r="AB3" s="17" t="str">
        <f>Calculations!AJ4</f>
        <v>Pumps</v>
      </c>
      <c r="AC3" s="17" t="str">
        <f>Calculations!AK4</f>
        <v>Heat Rejection</v>
      </c>
      <c r="AD3" s="17" t="str">
        <f>Calculations!AL4</f>
        <v>Humidification</v>
      </c>
      <c r="AE3" s="17" t="str">
        <f>Calculations!AM4</f>
        <v>Heat Recovery</v>
      </c>
      <c r="AF3" s="17" t="str">
        <f>Calculations!AN4</f>
        <v>Water Systems</v>
      </c>
      <c r="AG3" s="17" t="str">
        <f>Calculations!AO4</f>
        <v>Refrigeration</v>
      </c>
      <c r="AH3" s="17" t="str">
        <f>Calculations!AP4</f>
        <v>Generators</v>
      </c>
      <c r="AI3" s="17" t="str">
        <f>IF(ISBLANK('Project Info'!I10)," ",'Project Info'!I10)</f>
        <v xml:space="preserve"> </v>
      </c>
      <c r="AJ3" s="17" t="str">
        <f>IF(ISBLANK('Project Info'!J10)," ",'Project Info'!J10)</f>
        <v xml:space="preserve"> </v>
      </c>
      <c r="AK3" s="43" t="s">
        <v>206</v>
      </c>
      <c r="AL3" s="17" t="s">
        <v>201</v>
      </c>
      <c r="AM3" s="17" t="s">
        <v>202</v>
      </c>
      <c r="AN3" s="44" t="s">
        <v>207</v>
      </c>
      <c r="AO3" s="17" t="s">
        <v>174</v>
      </c>
      <c r="AP3" s="17"/>
      <c r="AQ3" s="17" t="s">
        <v>208</v>
      </c>
      <c r="AR3" s="17"/>
    </row>
    <row r="4" spans="1:53">
      <c r="B4" s="35"/>
      <c r="C4" s="19"/>
      <c r="E4" s="4"/>
      <c r="F4" s="4"/>
      <c r="G4" s="4"/>
      <c r="H4" s="4"/>
      <c r="I4" s="4"/>
      <c r="J4" s="4"/>
      <c r="K4" s="4"/>
      <c r="L4" s="4"/>
      <c r="M4" s="4"/>
      <c r="N4" s="4"/>
      <c r="O4" s="4"/>
      <c r="Q4" s="16"/>
      <c r="R4" s="15"/>
      <c r="S4" s="17"/>
      <c r="T4" s="15"/>
      <c r="U4" s="17" t="str">
        <f>IF(AND($S$2=Menus!$I$7,'Project Info'!$D$16="No"),Calculations!AC$6,"No")</f>
        <v>No</v>
      </c>
      <c r="V4" s="17" t="str">
        <f>IF(AND($S$2=Menus!$I$7,'Project Info'!$D$16="No"),Calculations!AD$6,"No")</f>
        <v>No</v>
      </c>
      <c r="W4" s="17" t="str">
        <f>IF(AND($S$2=Menus!$I$7,'Project Info'!$D$16="No"),Calculations!AE$6,"No")</f>
        <v>No</v>
      </c>
      <c r="X4" s="17" t="str">
        <f>IF(AND($S$2=Menus!$I$7,'Project Info'!$D$16="No"),Calculations!AF$6,"No")</f>
        <v>No</v>
      </c>
      <c r="Y4" s="17" t="str">
        <f>IF(AND($S$2=Menus!$I$7,'Project Info'!$D$16="No"),Calculations!AG$6,"No")</f>
        <v>No</v>
      </c>
      <c r="Z4" s="17" t="str">
        <f>IF(AND($S$2=Menus!$I$7,'Project Info'!$D$16="No"),Calculations!AH$6,"No")</f>
        <v>No</v>
      </c>
      <c r="AA4" s="17" t="str">
        <f>IF(AND($S$2=Menus!$I$7,'Project Info'!$D$16="No"),Calculations!AI$6,"No")</f>
        <v>No</v>
      </c>
      <c r="AB4" s="17" t="str">
        <f>IF(AND($S$2=Menus!$I$7,'Project Info'!$D$16="No"),Calculations!AJ$6,"No")</f>
        <v>No</v>
      </c>
      <c r="AC4" s="17" t="str">
        <f>IF(AND($S$2=Menus!$I$7,'Project Info'!$D$16="No"),Calculations!AK$6,"No")</f>
        <v>No</v>
      </c>
      <c r="AD4" s="17" t="str">
        <f>IF(AND($S$2=Menus!$I$7,'Project Info'!$D$16="No"),Calculations!AL$6,"No")</f>
        <v>No</v>
      </c>
      <c r="AE4" s="17" t="str">
        <f>IF(AND($S$2=Menus!$I$7,'Project Info'!$D$16="No"),Calculations!AM$6,"No")</f>
        <v>No</v>
      </c>
      <c r="AF4" s="17" t="str">
        <f>IF(AND($S$2=Menus!$I$7,'Project Info'!$D$16="No"),Calculations!AN$6,"No")</f>
        <v>No</v>
      </c>
      <c r="AG4" s="17" t="str">
        <f>IF(AND($S$2=Menus!$I$7,'Project Info'!$D$16="No"),Calculations!AO$6,"No")</f>
        <v>No</v>
      </c>
      <c r="AH4" s="17" t="str">
        <f>IF(AND($S$2=Menus!$I$7,'Project Info'!$D$16="No"),Calculations!AP$6,"No")</f>
        <v>No</v>
      </c>
      <c r="AI4" s="17" t="str">
        <f>IF(AND($S$2=Menus!$I$7,'Project Info'!$D$16="No"),Calculations!AQ$6,"No")</f>
        <v>No</v>
      </c>
      <c r="AJ4" s="17" t="str">
        <f>IF(AND($S$2=Menus!$I$7,'Project Info'!$D$16="No"),Calculations!AR$6,"No")</f>
        <v>No</v>
      </c>
      <c r="AK4" s="43"/>
      <c r="AL4" s="17"/>
      <c r="AM4" s="17"/>
      <c r="AN4" s="44"/>
      <c r="AO4" s="17"/>
      <c r="AP4" s="17"/>
      <c r="AQ4" s="17"/>
      <c r="AR4" s="17"/>
      <c r="AS4" s="15"/>
      <c r="AT4" s="15"/>
      <c r="AU4" s="15"/>
      <c r="AW4" s="18" t="s">
        <v>59</v>
      </c>
      <c r="AX4" s="18" t="s">
        <v>60</v>
      </c>
      <c r="AY4" s="18" t="s">
        <v>194</v>
      </c>
      <c r="AZ4" s="18" t="s">
        <v>102</v>
      </c>
      <c r="BA4" s="18" t="s">
        <v>103</v>
      </c>
    </row>
    <row r="5" spans="1:53" ht="28.8" thickBot="1">
      <c r="B5" s="62" t="str">
        <f>_xlfn.CONCAT(A1," Summary")</f>
        <v>Energy Cost Summary</v>
      </c>
      <c r="C5" s="61"/>
      <c r="D5" s="193" t="str">
        <f>SiteE!D5</f>
        <v>Proposed Design</v>
      </c>
      <c r="E5" s="193" t="str">
        <f>SiteE!E5</f>
        <v xml:space="preserve"> </v>
      </c>
      <c r="F5" s="193" t="str">
        <f>SiteE!F5</f>
        <v xml:space="preserve"> </v>
      </c>
      <c r="G5" s="193" t="str">
        <f>SiteE!G5</f>
        <v xml:space="preserve"> </v>
      </c>
      <c r="H5" s="193" t="str">
        <f>SiteE!H5</f>
        <v xml:space="preserve"> </v>
      </c>
      <c r="I5" s="193" t="str">
        <f>SiteE!I5</f>
        <v xml:space="preserve"> </v>
      </c>
      <c r="J5" s="193" t="str">
        <f>SiteE!J5</f>
        <v xml:space="preserve"> </v>
      </c>
      <c r="K5" s="193" t="str">
        <f>SiteE!K5</f>
        <v xml:space="preserve"> </v>
      </c>
      <c r="L5" s="193" t="str">
        <f>SiteE!L5</f>
        <v xml:space="preserve"> </v>
      </c>
      <c r="M5" s="193" t="str">
        <f>SiteE!M5</f>
        <v xml:space="preserve"> </v>
      </c>
      <c r="N5" s="193" t="str">
        <f>SiteE!N5</f>
        <v xml:space="preserve"> </v>
      </c>
      <c r="O5" s="193" t="str">
        <f>SiteE!O5</f>
        <v xml:space="preserve"> </v>
      </c>
      <c r="Q5" s="16"/>
      <c r="R5" s="15"/>
      <c r="S5" s="61" t="str">
        <f>Calculations!A98</f>
        <v>Energy Cost ($)</v>
      </c>
      <c r="T5" s="193"/>
      <c r="U5" s="193"/>
      <c r="V5" s="193"/>
      <c r="W5" s="193"/>
      <c r="X5" s="193"/>
      <c r="Y5" s="193"/>
      <c r="Z5" s="193"/>
      <c r="AA5" s="193"/>
      <c r="AB5" s="193"/>
      <c r="AC5" s="193"/>
      <c r="AD5" s="193"/>
      <c r="AE5" s="193"/>
      <c r="AF5" s="193"/>
      <c r="AG5" s="193"/>
      <c r="AH5" s="193"/>
      <c r="AI5" s="193"/>
      <c r="AJ5" s="193"/>
      <c r="AK5" s="193"/>
      <c r="AL5" s="193"/>
      <c r="AM5" s="193"/>
      <c r="AN5" s="193"/>
      <c r="AO5" s="193"/>
      <c r="AP5" s="193"/>
      <c r="AQ5" s="193"/>
      <c r="AR5" s="193"/>
      <c r="AS5" s="193"/>
      <c r="AT5" s="193"/>
      <c r="AU5" s="193"/>
      <c r="AV5" s="193"/>
      <c r="AW5" s="193"/>
      <c r="AX5" s="193"/>
      <c r="AY5" s="193"/>
      <c r="AZ5" s="193"/>
      <c r="BA5" s="193"/>
    </row>
    <row r="6" spans="1:53">
      <c r="B6" s="59" t="s">
        <v>59</v>
      </c>
      <c r="C6" s="59" t="s">
        <v>211</v>
      </c>
      <c r="D6" s="71">
        <f>IFERROR(INDEX(Calculations!$BL$99:$BQ$111,MATCH(D$5,Calculations!$A$99:$A$111,0),MATCH($B6,Calculations!$BL$5:$BQ$5,0)),0)</f>
        <v>25055.930913737422</v>
      </c>
      <c r="E6" s="71">
        <f>IFERROR(INDEX(Calculations!$BL$99:$BQ$111,MATCH(E$5,Calculations!$A$99:$A$111,0),MATCH($B6,Calculations!$BL$5:$BQ$5,0)),0)</f>
        <v>0</v>
      </c>
      <c r="F6" s="71">
        <f>IFERROR(INDEX(Calculations!$BL$99:$BQ$111,MATCH(F$5,Calculations!$A$99:$A$111,0),MATCH($B6,Calculations!$BL$5:$BQ$5,0)),0)</f>
        <v>0</v>
      </c>
      <c r="G6" s="71">
        <f>IFERROR(INDEX(Calculations!$BL$99:$BQ$111,MATCH(G$5,Calculations!$A$99:$A$111,0),MATCH($B6,Calculations!$BL$5:$BQ$5,0)),0)</f>
        <v>0</v>
      </c>
      <c r="H6" s="71">
        <f>IFERROR(INDEX(Calculations!$BL$99:$BQ$111,MATCH(H$5,Calculations!$A$99:$A$111,0),MATCH($B6,Calculations!$BL$5:$BQ$5,0)),0)</f>
        <v>0</v>
      </c>
      <c r="I6" s="71">
        <f>IFERROR(INDEX(Calculations!$BL$99:$BQ$111,MATCH(I$5,Calculations!$A$99:$A$111,0),MATCH($B6,Calculations!$BL$5:$BQ$5,0)),0)</f>
        <v>0</v>
      </c>
      <c r="J6" s="71">
        <f>IFERROR(INDEX(Calculations!$BL$99:$BQ$111,MATCH(J$5,Calculations!$A$99:$A$111,0),MATCH($B6,Calculations!$BL$5:$BQ$5,0)),0)</f>
        <v>0</v>
      </c>
      <c r="K6" s="71">
        <f>IFERROR(INDEX(Calculations!$BL$99:$BQ$111,MATCH(K$5,Calculations!$A$99:$A$111,0),MATCH($B6,Calculations!$BL$5:$BQ$5,0)),0)</f>
        <v>0</v>
      </c>
      <c r="L6" s="71">
        <f>IFERROR(INDEX(Calculations!$BL$99:$BQ$111,MATCH(L$5,Calculations!$A$99:$A$111,0),MATCH($B6,Calculations!$BL$5:$BQ$5,0)),0)</f>
        <v>0</v>
      </c>
      <c r="M6" s="71">
        <f>IFERROR(INDEX(Calculations!$BL$99:$BQ$111,MATCH(M$5,Calculations!$A$99:$A$111,0),MATCH($B6,Calculations!$BL$5:$BQ$5,0)),0)</f>
        <v>0</v>
      </c>
      <c r="N6" s="71">
        <f>IFERROR(INDEX(Calculations!$BL$99:$BQ$111,MATCH(N$5,Calculations!$A$99:$A$111,0),MATCH($B6,Calculations!$BL$5:$BQ$5,0)),0)</f>
        <v>0</v>
      </c>
      <c r="O6" s="71">
        <f>IFERROR(INDEX(Calculations!$BL$99:$BQ$111,MATCH(O$5,Calculations!$A$99:$A$111,0),MATCH($B6,Calculations!$BL$5:$BQ$5,0)),0)</f>
        <v>0</v>
      </c>
      <c r="Q6" s="12"/>
      <c r="S6" s="20" t="str">
        <f>SiteE!S6</f>
        <v>Proposed Design</v>
      </c>
      <c r="U6" s="91">
        <f>IFERROR(IF(U$4="Yes",0,INDEX(Calculations!AC$99:AC$111,MATCH(Cost!$S6,Calculations!$A$99:$A$111,0))),0)</f>
        <v>1393.2068344206273</v>
      </c>
      <c r="V6" s="91">
        <f>IFERROR(IF(V$4="Yes",0,INDEX(Calculations!AD$99:AD$111,MATCH(Cost!$S6,Calculations!$A$99:$A$111,0))),0)</f>
        <v>5192.4729442519947</v>
      </c>
      <c r="W6" s="91">
        <f>IFERROR(IF(W$4="Yes",0,INDEX(Calculations!AE$99:AE$111,MATCH(Cost!$S6,Calculations!$A$99:$A$111,0))),0)</f>
        <v>5573.6953020684969</v>
      </c>
      <c r="X6" s="91">
        <f>IFERROR(IF(X$4="Yes",0,INDEX(Calculations!AF$99:AF$111,MATCH(Cost!$S6,Calculations!$A$99:$A$111,0))),0)</f>
        <v>0</v>
      </c>
      <c r="Y6" s="91">
        <f>IFERROR(IF(Y$4="Yes",0,INDEX(Calculations!AG$99:AG$111,MATCH(Cost!$S6,Calculations!$A$99:$A$111,0))),0)</f>
        <v>6544.3274754259792</v>
      </c>
      <c r="Z6" s="91">
        <f>IFERROR(IF(Z$4="Yes",0,INDEX(Calculations!AH$99:AH$111,MATCH(Cost!$S6,Calculations!$A$99:$A$111,0))),0)</f>
        <v>0</v>
      </c>
      <c r="AA6" s="91">
        <f>IFERROR(IF(AA$4="Yes",0,INDEX(Calculations!AI$99:AI$111,MATCH(Cost!$S6,Calculations!$A$99:$A$111,0))),0)</f>
        <v>6352.2283575703223</v>
      </c>
      <c r="AB6" s="91">
        <f>IFERROR(IF(AB$4="Yes",0,INDEX(Calculations!AJ$99:AJ$111,MATCH(Cost!$S6,Calculations!$A$99:$A$111,0))),0)</f>
        <v>0</v>
      </c>
      <c r="AC6" s="91">
        <f>IFERROR(IF(AC$4="Yes",0,INDEX(Calculations!AK$99:AK$111,MATCH(Cost!$S6,Calculations!$A$99:$A$111,0))),0)</f>
        <v>0</v>
      </c>
      <c r="AD6" s="91">
        <f>IFERROR(IF(AD$4="Yes",0,INDEX(Calculations!AL$99:AL$111,MATCH(Cost!$S6,Calculations!$A$99:$A$111,0))),0)</f>
        <v>0</v>
      </c>
      <c r="AE6" s="91">
        <f>IFERROR(IF(AE$4="Yes",0,INDEX(Calculations!AM$99:AM$111,MATCH(Cost!$S6,Calculations!$A$99:$A$111,0))),0)</f>
        <v>0</v>
      </c>
      <c r="AF6" s="91">
        <f>IFERROR(IF(AF$4="Yes",0,INDEX(Calculations!AN$99:AN$111,MATCH(Cost!$S6,Calculations!$A$99:$A$111,0))),0)</f>
        <v>0</v>
      </c>
      <c r="AG6" s="91">
        <f>IFERROR(IF(AG$4="Yes",0,INDEX(Calculations!AO$99:AO$111,MATCH(Cost!$S6,Calculations!$A$99:$A$111,0))),0)</f>
        <v>0</v>
      </c>
      <c r="AH6" s="91">
        <f>IFERROR(IF(AH$4="Yes",0,INDEX(Calculations!AP$99:AP$111,MATCH(Cost!$S6,Calculations!$A$99:$A$111,0))),0)</f>
        <v>0</v>
      </c>
      <c r="AI6" s="91">
        <f>IFERROR(IF(AI$4="Yes",0,INDEX(Calculations!AQ$99:AQ$111,MATCH(Cost!$S6,Calculations!$A$99:$A$111,0))),0)</f>
        <v>0</v>
      </c>
      <c r="AJ6" s="91">
        <f>IFERROR(IF(AJ$4="Yes",0,INDEX(Calculations!AR$99:AR$111,MATCH(Cost!$S6,Calculations!$A$99:$A$111,0))),0)</f>
        <v>0</v>
      </c>
      <c r="AK6" s="124">
        <f>IFERROR(SUM(U6:AI6)*'Project Info'!$D$28,0)</f>
        <v>0</v>
      </c>
      <c r="AL6" s="91">
        <f>IFERROR(INDEX(Calculations!BC$99:BC$111,MATCH(Cost!$S6,Calculations!$A$99:$A$111,0))*-1,0)</f>
        <v>0</v>
      </c>
      <c r="AM6" s="91">
        <f>IFERROR(INDEX(Calculations!BD$99:BD$111,MATCH(Cost!$S6,Calculations!$A$99:$A$111,0))*-1,0)</f>
        <v>0</v>
      </c>
      <c r="AN6" s="123">
        <f ca="1">IFERROR(SUM(OFFSET(Calculations!BE$99,MATCH($S6,Calculations!$A$99:$A$111,0)-1,0,1,4))*-1,0)</f>
        <v>0</v>
      </c>
      <c r="AO6" s="91">
        <f t="shared" ref="AO6:AO17" ca="1" si="0">SUM(U6:AN6)</f>
        <v>25055.930913737422</v>
      </c>
      <c r="AP6" s="17"/>
      <c r="AQ6" s="4" t="str">
        <f>'Project Info'!D22</f>
        <v>NA</v>
      </c>
      <c r="AS6" s="4" t="e">
        <f>CONCATENATE(AQ6*100,"% LEED Target")</f>
        <v>#VALUE!</v>
      </c>
      <c r="AT6" s="91" t="e">
        <f>Calculations!BQ99*(1-AQ6)</f>
        <v>#VALUE!</v>
      </c>
      <c r="AU6" s="91" t="e">
        <f>AT6</f>
        <v>#VALUE!</v>
      </c>
      <c r="AW6" s="91">
        <f>IFERROR(INDEX(Calculations!BL$9:BL$21,MATCH($S6,Calculations!$A$9:$A$21,0)),0)</f>
        <v>689470.51699999999</v>
      </c>
      <c r="AX6" s="91">
        <f>IFERROR(INDEX(Calculations!BM$9:BM$21,MATCH($S6,Calculations!$A$9:$A$21,0)),0)</f>
        <v>0</v>
      </c>
      <c r="AY6" s="91">
        <f>IFERROR(INDEX(Calculations!BN$9:BN$21,MATCH($S6,Calculations!$A$9:$A$21,0)),0)</f>
        <v>0</v>
      </c>
      <c r="AZ6" s="91">
        <f>IFERROR(INDEX(Calculations!BO$9:BO$21,MATCH($S6,Calculations!$A$9:$A$21,0)),0)</f>
        <v>0</v>
      </c>
      <c r="BA6" s="91">
        <f>IFERROR(INDEX(Calculations!BP$9:BP$21,MATCH($S6,Calculations!$A$9:$A$21,0)),0)</f>
        <v>0</v>
      </c>
    </row>
    <row r="7" spans="1:53">
      <c r="B7" s="59" t="s">
        <v>60</v>
      </c>
      <c r="C7" s="59" t="s">
        <v>211</v>
      </c>
      <c r="D7" s="71">
        <f>IFERROR(INDEX(Calculations!$BL$99:$BQ$111,MATCH(D$5,Calculations!$A$99:$A$111,0),MATCH($B7,Calculations!$BL$5:$BQ$5,0)),0)</f>
        <v>0</v>
      </c>
      <c r="E7" s="71">
        <f>IFERROR(INDEX(Calculations!$BL$99:$BQ$111,MATCH(E$5,Calculations!$A$99:$A$111,0),MATCH($B7,Calculations!$BL$5:$BQ$5,0)),0)</f>
        <v>0</v>
      </c>
      <c r="F7" s="71">
        <f>IFERROR(INDEX(Calculations!$BL$99:$BQ$111,MATCH(F$5,Calculations!$A$99:$A$111,0),MATCH($B7,Calculations!$BL$5:$BQ$5,0)),0)</f>
        <v>0</v>
      </c>
      <c r="G7" s="71">
        <f>IFERROR(INDEX(Calculations!$BL$99:$BQ$111,MATCH(G$5,Calculations!$A$99:$A$111,0),MATCH($B7,Calculations!$BL$5:$BQ$5,0)),0)</f>
        <v>0</v>
      </c>
      <c r="H7" s="71">
        <f>IFERROR(INDEX(Calculations!$BL$99:$BQ$111,MATCH(H$5,Calculations!$A$99:$A$111,0),MATCH($B7,Calculations!$BL$5:$BQ$5,0)),0)</f>
        <v>0</v>
      </c>
      <c r="I7" s="71">
        <f>IFERROR(INDEX(Calculations!$BL$99:$BQ$111,MATCH(I$5,Calculations!$A$99:$A$111,0),MATCH($B7,Calculations!$BL$5:$BQ$5,0)),0)</f>
        <v>0</v>
      </c>
      <c r="J7" s="71">
        <f>IFERROR(INDEX(Calculations!$BL$99:$BQ$111,MATCH(J$5,Calculations!$A$99:$A$111,0),MATCH($B7,Calculations!$BL$5:$BQ$5,0)),0)</f>
        <v>0</v>
      </c>
      <c r="K7" s="71">
        <f>IFERROR(INDEX(Calculations!$BL$99:$BQ$111,MATCH(K$5,Calculations!$A$99:$A$111,0),MATCH($B7,Calculations!$BL$5:$BQ$5,0)),0)</f>
        <v>0</v>
      </c>
      <c r="L7" s="71">
        <f>IFERROR(INDEX(Calculations!$BL$99:$BQ$111,MATCH(L$5,Calculations!$A$99:$A$111,0),MATCH($B7,Calculations!$BL$5:$BQ$5,0)),0)</f>
        <v>0</v>
      </c>
      <c r="M7" s="71">
        <f>IFERROR(INDEX(Calculations!$BL$99:$BQ$111,MATCH(M$5,Calculations!$A$99:$A$111,0),MATCH($B7,Calculations!$BL$5:$BQ$5,0)),0)</f>
        <v>0</v>
      </c>
      <c r="N7" s="71">
        <f>IFERROR(INDEX(Calculations!$BL$99:$BQ$111,MATCH(N$5,Calculations!$A$99:$A$111,0),MATCH($B7,Calculations!$BL$5:$BQ$5,0)),0)</f>
        <v>0</v>
      </c>
      <c r="O7" s="71">
        <f>IFERROR(INDEX(Calculations!$BL$99:$BQ$111,MATCH(O$5,Calculations!$A$99:$A$111,0),MATCH($B7,Calculations!$BL$5:$BQ$5,0)),0)</f>
        <v>0</v>
      </c>
      <c r="Q7" s="12"/>
      <c r="S7" s="20" t="str">
        <f>SiteE!S7</f>
        <v xml:space="preserve"> </v>
      </c>
      <c r="U7" s="91">
        <f>IFERROR(IF(U$4="Yes",0,INDEX(Calculations!AC$99:AC$111,MATCH(Cost!$S7,Calculations!$A$99:$A$111,0))),0)</f>
        <v>0</v>
      </c>
      <c r="V7" s="91">
        <f>IFERROR(IF(V$4="Yes",0,INDEX(Calculations!AD$99:AD$111,MATCH(Cost!$S7,Calculations!$A$99:$A$111,0))),0)</f>
        <v>0</v>
      </c>
      <c r="W7" s="91">
        <f>IFERROR(IF(W$4="Yes",0,INDEX(Calculations!AE$99:AE$111,MATCH(Cost!$S7,Calculations!$A$99:$A$111,0))),0)</f>
        <v>0</v>
      </c>
      <c r="X7" s="91">
        <f>IFERROR(IF(X$4="Yes",0,INDEX(Calculations!AF$99:AF$111,MATCH(Cost!$S7,Calculations!$A$99:$A$111,0))),0)</f>
        <v>0</v>
      </c>
      <c r="Y7" s="91">
        <f>IFERROR(IF(Y$4="Yes",0,INDEX(Calculations!AG$99:AG$111,MATCH(Cost!$S7,Calculations!$A$99:$A$111,0))),0)</f>
        <v>0</v>
      </c>
      <c r="Z7" s="91">
        <f>IFERROR(IF(Z$4="Yes",0,INDEX(Calculations!AH$99:AH$111,MATCH(Cost!$S7,Calculations!$A$99:$A$111,0))),0)</f>
        <v>0</v>
      </c>
      <c r="AA7" s="91">
        <f>IFERROR(IF(AA$4="Yes",0,INDEX(Calculations!AI$99:AI$111,MATCH(Cost!$S7,Calculations!$A$99:$A$111,0))),0)</f>
        <v>0</v>
      </c>
      <c r="AB7" s="91">
        <f>IFERROR(IF(AB$4="Yes",0,INDEX(Calculations!AJ$99:AJ$111,MATCH(Cost!$S7,Calculations!$A$99:$A$111,0))),0)</f>
        <v>0</v>
      </c>
      <c r="AC7" s="91">
        <f>IFERROR(IF(AC$4="Yes",0,INDEX(Calculations!AK$99:AK$111,MATCH(Cost!$S7,Calculations!$A$99:$A$111,0))),0)</f>
        <v>0</v>
      </c>
      <c r="AD7" s="91">
        <f>IFERROR(IF(AD$4="Yes",0,INDEX(Calculations!AL$99:AL$111,MATCH(Cost!$S7,Calculations!$A$99:$A$111,0))),0)</f>
        <v>0</v>
      </c>
      <c r="AE7" s="91">
        <f>IFERROR(IF(AE$4="Yes",0,INDEX(Calculations!AM$99:AM$111,MATCH(Cost!$S7,Calculations!$A$99:$A$111,0))),0)</f>
        <v>0</v>
      </c>
      <c r="AF7" s="91">
        <f>IFERROR(IF(AF$4="Yes",0,INDEX(Calculations!AN$99:AN$111,MATCH(Cost!$S7,Calculations!$A$99:$A$111,0))),0)</f>
        <v>0</v>
      </c>
      <c r="AG7" s="91">
        <f>IFERROR(IF(AG$4="Yes",0,INDEX(Calculations!AO$99:AO$111,MATCH(Cost!$S7,Calculations!$A$99:$A$111,0))),0)</f>
        <v>0</v>
      </c>
      <c r="AH7" s="91">
        <f>IFERROR(IF(AH$4="Yes",0,INDEX(Calculations!AP$99:AP$111,MATCH(Cost!$S7,Calculations!$A$99:$A$111,0))),0)</f>
        <v>0</v>
      </c>
      <c r="AI7" s="91">
        <f>IFERROR(IF(AI$4="Yes",0,INDEX(Calculations!AQ$99:AQ$111,MATCH(Cost!$S7,Calculations!$A$99:$A$111,0))),0)</f>
        <v>0</v>
      </c>
      <c r="AJ7" s="91">
        <f>IFERROR(IF(AJ$4="Yes",0,INDEX(Calculations!AR$99:AR$111,MATCH(Cost!$S7,Calculations!$A$99:$A$111,0))),0)</f>
        <v>0</v>
      </c>
      <c r="AK7" s="124">
        <f>IFERROR(SUM(U7:AI7)*'Project Info'!$D$28,0)</f>
        <v>0</v>
      </c>
      <c r="AL7" s="91">
        <f>IFERROR(INDEX(Calculations!BC$99:BC$111,MATCH(Cost!$S7,Calculations!$A$99:$A$111,0))*-1,0)</f>
        <v>0</v>
      </c>
      <c r="AM7" s="91">
        <f>IFERROR(INDEX(Calculations!BD$99:BD$111,MATCH(Cost!$S7,Calculations!$A$99:$A$111,0))*-1,0)</f>
        <v>0</v>
      </c>
      <c r="AN7" s="123">
        <f ca="1">IFERROR(SUM(OFFSET(Calculations!BE$99,MATCH($S7,Calculations!$A$99:$A$111,0)-1,0,1,4))*-1,0)</f>
        <v>0</v>
      </c>
      <c r="AO7" s="91">
        <f t="shared" ca="1" si="0"/>
        <v>0</v>
      </c>
      <c r="AP7" s="17"/>
      <c r="AQ7" s="4" t="str">
        <f>'Project Info'!E22</f>
        <v>NA</v>
      </c>
      <c r="AS7" s="4" t="e">
        <f>CONCATENATE(AQ7*100,"% Code Target")</f>
        <v>#VALUE!</v>
      </c>
      <c r="AT7" s="91" t="e">
        <f>Calculations!BQ100*(1-AQ7)</f>
        <v>#VALUE!</v>
      </c>
      <c r="AU7" s="91" t="e">
        <f>AT7</f>
        <v>#VALUE!</v>
      </c>
      <c r="AW7" s="91">
        <f>IFERROR(INDEX(Calculations!BL$9:BL$21,MATCH($S7,Calculations!$A$9:$A$21,0)),0)</f>
        <v>0</v>
      </c>
      <c r="AX7" s="91">
        <f>IFERROR(INDEX(Calculations!BM$9:BM$21,MATCH($S7,Calculations!$A$9:$A$21,0)),0)</f>
        <v>0</v>
      </c>
      <c r="AY7" s="91">
        <f>IFERROR(INDEX(Calculations!BN$9:BN$21,MATCH($S7,Calculations!$A$9:$A$21,0)),0)</f>
        <v>0</v>
      </c>
      <c r="AZ7" s="91">
        <f>IFERROR(INDEX(Calculations!BO$9:BO$21,MATCH($S7,Calculations!$A$9:$A$21,0)),0)</f>
        <v>0</v>
      </c>
      <c r="BA7" s="91">
        <f>IFERROR(INDEX(Calculations!BP$9:BP$21,MATCH($S7,Calculations!$A$9:$A$21,0)),0)</f>
        <v>0</v>
      </c>
    </row>
    <row r="8" spans="1:53">
      <c r="B8" s="59" t="s">
        <v>194</v>
      </c>
      <c r="C8" s="59" t="s">
        <v>211</v>
      </c>
      <c r="D8" s="71">
        <f>IFERROR(INDEX(Calculations!$BL$99:$BQ$111,MATCH(D$5,Calculations!$A$99:$A$111,0),MATCH($B8,Calculations!$BL$5:$BQ$5,0)),0)</f>
        <v>0</v>
      </c>
      <c r="E8" s="71">
        <f>IFERROR(INDEX(Calculations!$BL$99:$BQ$111,MATCH(E$5,Calculations!$A$99:$A$111,0),MATCH($B8,Calculations!$BL$5:$BQ$5,0)),0)</f>
        <v>0</v>
      </c>
      <c r="F8" s="71">
        <f>IFERROR(INDEX(Calculations!$BL$99:$BQ$111,MATCH(F$5,Calculations!$A$99:$A$111,0),MATCH($B8,Calculations!$BL$5:$BQ$5,0)),0)</f>
        <v>0</v>
      </c>
      <c r="G8" s="71">
        <f>IFERROR(INDEX(Calculations!$BL$99:$BQ$111,MATCH(G$5,Calculations!$A$99:$A$111,0),MATCH($B8,Calculations!$BL$5:$BQ$5,0)),0)</f>
        <v>0</v>
      </c>
      <c r="H8" s="71">
        <f>IFERROR(INDEX(Calculations!$BL$99:$BQ$111,MATCH(H$5,Calculations!$A$99:$A$111,0),MATCH($B8,Calculations!$BL$5:$BQ$5,0)),0)</f>
        <v>0</v>
      </c>
      <c r="I8" s="71">
        <f>IFERROR(INDEX(Calculations!$BL$99:$BQ$111,MATCH(I$5,Calculations!$A$99:$A$111,0),MATCH($B8,Calculations!$BL$5:$BQ$5,0)),0)</f>
        <v>0</v>
      </c>
      <c r="J8" s="71">
        <f>IFERROR(INDEX(Calculations!$BL$99:$BQ$111,MATCH(J$5,Calculations!$A$99:$A$111,0),MATCH($B8,Calculations!$BL$5:$BQ$5,0)),0)</f>
        <v>0</v>
      </c>
      <c r="K8" s="71">
        <f>IFERROR(INDEX(Calculations!$BL$99:$BQ$111,MATCH(K$5,Calculations!$A$99:$A$111,0),MATCH($B8,Calculations!$BL$5:$BQ$5,0)),0)</f>
        <v>0</v>
      </c>
      <c r="L8" s="71">
        <f>IFERROR(INDEX(Calculations!$BL$99:$BQ$111,MATCH(L$5,Calculations!$A$99:$A$111,0),MATCH($B8,Calculations!$BL$5:$BQ$5,0)),0)</f>
        <v>0</v>
      </c>
      <c r="M8" s="71">
        <f>IFERROR(INDEX(Calculations!$BL$99:$BQ$111,MATCH(M$5,Calculations!$A$99:$A$111,0),MATCH($B8,Calculations!$BL$5:$BQ$5,0)),0)</f>
        <v>0</v>
      </c>
      <c r="N8" s="71">
        <f>IFERROR(INDEX(Calculations!$BL$99:$BQ$111,MATCH(N$5,Calculations!$A$99:$A$111,0),MATCH($B8,Calculations!$BL$5:$BQ$5,0)),0)</f>
        <v>0</v>
      </c>
      <c r="O8" s="71">
        <f>IFERROR(INDEX(Calculations!$BL$99:$BQ$111,MATCH(O$5,Calculations!$A$99:$A$111,0),MATCH($B8,Calculations!$BL$5:$BQ$5,0)),0)</f>
        <v>0</v>
      </c>
      <c r="Q8" s="12"/>
      <c r="S8" s="20" t="str">
        <f>SiteE!S8</f>
        <v xml:space="preserve"> </v>
      </c>
      <c r="U8" s="91">
        <f>IFERROR(IF(U$4="Yes",0,INDEX(Calculations!AC$99:AC$111,MATCH(Cost!$S8,Calculations!$A$99:$A$111,0))),0)</f>
        <v>0</v>
      </c>
      <c r="V8" s="91">
        <f>IFERROR(IF(V$4="Yes",0,INDEX(Calculations!AD$99:AD$111,MATCH(Cost!$S8,Calculations!$A$99:$A$111,0))),0)</f>
        <v>0</v>
      </c>
      <c r="W8" s="91">
        <f>IFERROR(IF(W$4="Yes",0,INDEX(Calculations!AE$99:AE$111,MATCH(Cost!$S8,Calculations!$A$99:$A$111,0))),0)</f>
        <v>0</v>
      </c>
      <c r="X8" s="91">
        <f>IFERROR(IF(X$4="Yes",0,INDEX(Calculations!AF$99:AF$111,MATCH(Cost!$S8,Calculations!$A$99:$A$111,0))),0)</f>
        <v>0</v>
      </c>
      <c r="Y8" s="91">
        <f>IFERROR(IF(Y$4="Yes",0,INDEX(Calculations!AG$99:AG$111,MATCH(Cost!$S8,Calculations!$A$99:$A$111,0))),0)</f>
        <v>0</v>
      </c>
      <c r="Z8" s="91">
        <f>IFERROR(IF(Z$4="Yes",0,INDEX(Calculations!AH$99:AH$111,MATCH(Cost!$S8,Calculations!$A$99:$A$111,0))),0)</f>
        <v>0</v>
      </c>
      <c r="AA8" s="91">
        <f>IFERROR(IF(AA$4="Yes",0,INDEX(Calculations!AI$99:AI$111,MATCH(Cost!$S8,Calculations!$A$99:$A$111,0))),0)</f>
        <v>0</v>
      </c>
      <c r="AB8" s="91">
        <f>IFERROR(IF(AB$4="Yes",0,INDEX(Calculations!AJ$99:AJ$111,MATCH(Cost!$S8,Calculations!$A$99:$A$111,0))),0)</f>
        <v>0</v>
      </c>
      <c r="AC8" s="91">
        <f>IFERROR(IF(AC$4="Yes",0,INDEX(Calculations!AK$99:AK$111,MATCH(Cost!$S8,Calculations!$A$99:$A$111,0))),0)</f>
        <v>0</v>
      </c>
      <c r="AD8" s="91">
        <f>IFERROR(IF(AD$4="Yes",0,INDEX(Calculations!AL$99:AL$111,MATCH(Cost!$S8,Calculations!$A$99:$A$111,0))),0)</f>
        <v>0</v>
      </c>
      <c r="AE8" s="91">
        <f>IFERROR(IF(AE$4="Yes",0,INDEX(Calculations!AM$99:AM$111,MATCH(Cost!$S8,Calculations!$A$99:$A$111,0))),0)</f>
        <v>0</v>
      </c>
      <c r="AF8" s="91">
        <f>IFERROR(IF(AF$4="Yes",0,INDEX(Calculations!AN$99:AN$111,MATCH(Cost!$S8,Calculations!$A$99:$A$111,0))),0)</f>
        <v>0</v>
      </c>
      <c r="AG8" s="91">
        <f>IFERROR(IF(AG$4="Yes",0,INDEX(Calculations!AO$99:AO$111,MATCH(Cost!$S8,Calculations!$A$99:$A$111,0))),0)</f>
        <v>0</v>
      </c>
      <c r="AH8" s="91">
        <f>IFERROR(IF(AH$4="Yes",0,INDEX(Calculations!AP$99:AP$111,MATCH(Cost!$S8,Calculations!$A$99:$A$111,0))),0)</f>
        <v>0</v>
      </c>
      <c r="AI8" s="91">
        <f>IFERROR(IF(AI$4="Yes",0,INDEX(Calculations!AQ$99:AQ$111,MATCH(Cost!$S8,Calculations!$A$99:$A$111,0))),0)</f>
        <v>0</v>
      </c>
      <c r="AJ8" s="91">
        <f>IFERROR(IF(AJ$4="Yes",0,INDEX(Calculations!AR$99:AR$111,MATCH(Cost!$S8,Calculations!$A$99:$A$111,0))),0)</f>
        <v>0</v>
      </c>
      <c r="AK8" s="124">
        <f>IFERROR(SUM(U8:AI8)*'Project Info'!$D$28,0)</f>
        <v>0</v>
      </c>
      <c r="AL8" s="91">
        <f>IFERROR(INDEX(Calculations!BC$99:BC$111,MATCH(Cost!$S8,Calculations!$A$99:$A$111,0))*-1,0)</f>
        <v>0</v>
      </c>
      <c r="AM8" s="91">
        <f>IFERROR(INDEX(Calculations!BD$99:BD$111,MATCH(Cost!$S8,Calculations!$A$99:$A$111,0))*-1,0)</f>
        <v>0</v>
      </c>
      <c r="AN8" s="123">
        <f ca="1">IFERROR(SUM(OFFSET(Calculations!BE$99,MATCH($S8,Calculations!$A$99:$A$111,0)-1,0,1,4))*-1,0)</f>
        <v>0</v>
      </c>
      <c r="AO8" s="91">
        <f t="shared" ca="1" si="0"/>
        <v>0</v>
      </c>
      <c r="AP8" s="17"/>
      <c r="AQ8" s="4"/>
      <c r="AW8" s="91">
        <f>IFERROR(INDEX(Calculations!BL$9:BL$21,MATCH($S8,Calculations!$A$9:$A$21,0)),0)</f>
        <v>0</v>
      </c>
      <c r="AX8" s="91">
        <f>IFERROR(INDEX(Calculations!BM$9:BM$21,MATCH($S8,Calculations!$A$9:$A$21,0)),0)</f>
        <v>0</v>
      </c>
      <c r="AY8" s="91">
        <f>IFERROR(INDEX(Calculations!BN$9:BN$21,MATCH($S8,Calculations!$A$9:$A$21,0)),0)</f>
        <v>0</v>
      </c>
      <c r="AZ8" s="91">
        <f>IFERROR(INDEX(Calculations!BO$9:BO$21,MATCH($S8,Calculations!$A$9:$A$21,0)),0)</f>
        <v>0</v>
      </c>
      <c r="BA8" s="91">
        <f>IFERROR(INDEX(Calculations!BP$9:BP$21,MATCH($S8,Calculations!$A$9:$A$21,0)),0)</f>
        <v>0</v>
      </c>
    </row>
    <row r="9" spans="1:53">
      <c r="B9" s="59" t="s">
        <v>102</v>
      </c>
      <c r="C9" s="59" t="s">
        <v>211</v>
      </c>
      <c r="D9" s="71">
        <f>IFERROR(INDEX(Calculations!$BL$99:$BQ$111,MATCH(D$5,Calculations!$A$99:$A$111,0),MATCH($B9,Calculations!$BL$5:$BQ$5,0)),0)</f>
        <v>0</v>
      </c>
      <c r="E9" s="71">
        <f>IFERROR(INDEX(Calculations!$BL$99:$BQ$111,MATCH(E$5,Calculations!$A$99:$A$111,0),MATCH($B9,Calculations!$BL$5:$BQ$5,0)),0)</f>
        <v>0</v>
      </c>
      <c r="F9" s="71">
        <f>IFERROR(INDEX(Calculations!$BL$99:$BQ$111,MATCH(F$5,Calculations!$A$99:$A$111,0),MATCH($B9,Calculations!$BL$5:$BQ$5,0)),0)</f>
        <v>0</v>
      </c>
      <c r="G9" s="71">
        <f>IFERROR(INDEX(Calculations!$BL$99:$BQ$111,MATCH(G$5,Calculations!$A$99:$A$111,0),MATCH($B9,Calculations!$BL$5:$BQ$5,0)),0)</f>
        <v>0</v>
      </c>
      <c r="H9" s="71">
        <f>IFERROR(INDEX(Calculations!$BL$99:$BQ$111,MATCH(H$5,Calculations!$A$99:$A$111,0),MATCH($B9,Calculations!$BL$5:$BQ$5,0)),0)</f>
        <v>0</v>
      </c>
      <c r="I9" s="71">
        <f>IFERROR(INDEX(Calculations!$BL$99:$BQ$111,MATCH(I$5,Calculations!$A$99:$A$111,0),MATCH($B9,Calculations!$BL$5:$BQ$5,0)),0)</f>
        <v>0</v>
      </c>
      <c r="J9" s="71">
        <f>IFERROR(INDEX(Calculations!$BL$99:$BQ$111,MATCH(J$5,Calculations!$A$99:$A$111,0),MATCH($B9,Calculations!$BL$5:$BQ$5,0)),0)</f>
        <v>0</v>
      </c>
      <c r="K9" s="71">
        <f>IFERROR(INDEX(Calculations!$BL$99:$BQ$111,MATCH(K$5,Calculations!$A$99:$A$111,0),MATCH($B9,Calculations!$BL$5:$BQ$5,0)),0)</f>
        <v>0</v>
      </c>
      <c r="L9" s="71">
        <f>IFERROR(INDEX(Calculations!$BL$99:$BQ$111,MATCH(L$5,Calculations!$A$99:$A$111,0),MATCH($B9,Calculations!$BL$5:$BQ$5,0)),0)</f>
        <v>0</v>
      </c>
      <c r="M9" s="71">
        <f>IFERROR(INDEX(Calculations!$BL$99:$BQ$111,MATCH(M$5,Calculations!$A$99:$A$111,0),MATCH($B9,Calculations!$BL$5:$BQ$5,0)),0)</f>
        <v>0</v>
      </c>
      <c r="N9" s="71">
        <f>IFERROR(INDEX(Calculations!$BL$99:$BQ$111,MATCH(N$5,Calculations!$A$99:$A$111,0),MATCH($B9,Calculations!$BL$5:$BQ$5,0)),0)</f>
        <v>0</v>
      </c>
      <c r="O9" s="71">
        <f>IFERROR(INDEX(Calculations!$BL$99:$BQ$111,MATCH(O$5,Calculations!$A$99:$A$111,0),MATCH($B9,Calculations!$BL$5:$BQ$5,0)),0)</f>
        <v>0</v>
      </c>
      <c r="Q9" s="12"/>
      <c r="S9" s="20" t="str">
        <f>SiteE!S9</f>
        <v xml:space="preserve"> </v>
      </c>
      <c r="U9" s="91">
        <f>IFERROR(IF(U$4="Yes",0,INDEX(Calculations!AC$99:AC$111,MATCH(Cost!$S9,Calculations!$A$99:$A$111,0))),0)</f>
        <v>0</v>
      </c>
      <c r="V9" s="91">
        <f>IFERROR(IF(V$4="Yes",0,INDEX(Calculations!AD$99:AD$111,MATCH(Cost!$S9,Calculations!$A$99:$A$111,0))),0)</f>
        <v>0</v>
      </c>
      <c r="W9" s="91">
        <f>IFERROR(IF(W$4="Yes",0,INDEX(Calculations!AE$99:AE$111,MATCH(Cost!$S9,Calculations!$A$99:$A$111,0))),0)</f>
        <v>0</v>
      </c>
      <c r="X9" s="91">
        <f>IFERROR(IF(X$4="Yes",0,INDEX(Calculations!AF$99:AF$111,MATCH(Cost!$S9,Calculations!$A$99:$A$111,0))),0)</f>
        <v>0</v>
      </c>
      <c r="Y9" s="91">
        <f>IFERROR(IF(Y$4="Yes",0,INDEX(Calculations!AG$99:AG$111,MATCH(Cost!$S9,Calculations!$A$99:$A$111,0))),0)</f>
        <v>0</v>
      </c>
      <c r="Z9" s="91">
        <f>IFERROR(IF(Z$4="Yes",0,INDEX(Calculations!AH$99:AH$111,MATCH(Cost!$S9,Calculations!$A$99:$A$111,0))),0)</f>
        <v>0</v>
      </c>
      <c r="AA9" s="91">
        <f>IFERROR(IF(AA$4="Yes",0,INDEX(Calculations!AI$99:AI$111,MATCH(Cost!$S9,Calculations!$A$99:$A$111,0))),0)</f>
        <v>0</v>
      </c>
      <c r="AB9" s="91">
        <f>IFERROR(IF(AB$4="Yes",0,INDEX(Calculations!AJ$99:AJ$111,MATCH(Cost!$S9,Calculations!$A$99:$A$111,0))),0)</f>
        <v>0</v>
      </c>
      <c r="AC9" s="91">
        <f>IFERROR(IF(AC$4="Yes",0,INDEX(Calculations!AK$99:AK$111,MATCH(Cost!$S9,Calculations!$A$99:$A$111,0))),0)</f>
        <v>0</v>
      </c>
      <c r="AD9" s="91">
        <f>IFERROR(IF(AD$4="Yes",0,INDEX(Calculations!AL$99:AL$111,MATCH(Cost!$S9,Calculations!$A$99:$A$111,0))),0)</f>
        <v>0</v>
      </c>
      <c r="AE9" s="91">
        <f>IFERROR(IF(AE$4="Yes",0,INDEX(Calculations!AM$99:AM$111,MATCH(Cost!$S9,Calculations!$A$99:$A$111,0))),0)</f>
        <v>0</v>
      </c>
      <c r="AF9" s="91">
        <f>IFERROR(IF(AF$4="Yes",0,INDEX(Calculations!AN$99:AN$111,MATCH(Cost!$S9,Calculations!$A$99:$A$111,0))),0)</f>
        <v>0</v>
      </c>
      <c r="AG9" s="91">
        <f>IFERROR(IF(AG$4="Yes",0,INDEX(Calculations!AO$99:AO$111,MATCH(Cost!$S9,Calculations!$A$99:$A$111,0))),0)</f>
        <v>0</v>
      </c>
      <c r="AH9" s="91">
        <f>IFERROR(IF(AH$4="Yes",0,INDEX(Calculations!AP$99:AP$111,MATCH(Cost!$S9,Calculations!$A$99:$A$111,0))),0)</f>
        <v>0</v>
      </c>
      <c r="AI9" s="91">
        <f>IFERROR(IF(AI$4="Yes",0,INDEX(Calculations!AQ$99:AQ$111,MATCH(Cost!$S9,Calculations!$A$99:$A$111,0))),0)</f>
        <v>0</v>
      </c>
      <c r="AJ9" s="91">
        <f>IFERROR(IF(AJ$4="Yes",0,INDEX(Calculations!AR$99:AR$111,MATCH(Cost!$S9,Calculations!$A$99:$A$111,0))),0)</f>
        <v>0</v>
      </c>
      <c r="AK9" s="124">
        <f>IFERROR(SUM(U9:AI9)*'Project Info'!$D$28,0)</f>
        <v>0</v>
      </c>
      <c r="AL9" s="91">
        <f>IFERROR(INDEX(Calculations!BC$99:BC$111,MATCH(Cost!$S9,Calculations!$A$99:$A$111,0))*-1,0)</f>
        <v>0</v>
      </c>
      <c r="AM9" s="91">
        <f>IFERROR(INDEX(Calculations!BD$99:BD$111,MATCH(Cost!$S9,Calculations!$A$99:$A$111,0))*-1,0)</f>
        <v>0</v>
      </c>
      <c r="AN9" s="123">
        <f ca="1">IFERROR(SUM(OFFSET(Calculations!BE$99,MATCH($S9,Calculations!$A$99:$A$111,0)-1,0,1,4))*-1,0)</f>
        <v>0</v>
      </c>
      <c r="AO9" s="91">
        <f t="shared" ca="1" si="0"/>
        <v>0</v>
      </c>
      <c r="AP9" s="17"/>
      <c r="AQ9" s="4"/>
      <c r="AW9" s="91">
        <f>IFERROR(INDEX(Calculations!BL$9:BL$21,MATCH($S9,Calculations!$A$9:$A$21,0)),0)</f>
        <v>0</v>
      </c>
      <c r="AX9" s="91">
        <f>IFERROR(INDEX(Calculations!BM$9:BM$21,MATCH($S9,Calculations!$A$9:$A$21,0)),0)</f>
        <v>0</v>
      </c>
      <c r="AY9" s="91">
        <f>IFERROR(INDEX(Calculations!BN$9:BN$21,MATCH($S9,Calculations!$A$9:$A$21,0)),0)</f>
        <v>0</v>
      </c>
      <c r="AZ9" s="91">
        <f>IFERROR(INDEX(Calculations!BO$9:BO$21,MATCH($S9,Calculations!$A$9:$A$21,0)),0)</f>
        <v>0</v>
      </c>
      <c r="BA9" s="91">
        <f>IFERROR(INDEX(Calculations!BP$9:BP$21,MATCH($S9,Calculations!$A$9:$A$21,0)),0)</f>
        <v>0</v>
      </c>
    </row>
    <row r="10" spans="1:53">
      <c r="B10" s="59" t="s">
        <v>103</v>
      </c>
      <c r="C10" s="59" t="s">
        <v>211</v>
      </c>
      <c r="D10" s="71">
        <f>IFERROR(INDEX(Calculations!$BL$99:$BQ$111,MATCH(D$5,Calculations!$A$99:$A$111,0),MATCH($B10,Calculations!$BL$5:$BQ$5,0)),0)</f>
        <v>0</v>
      </c>
      <c r="E10" s="71">
        <f>IFERROR(INDEX(Calculations!$BL$99:$BQ$111,MATCH(E$5,Calculations!$A$99:$A$111,0),MATCH($B10,Calculations!$BL$5:$BQ$5,0)),0)</f>
        <v>0</v>
      </c>
      <c r="F10" s="71">
        <f>IFERROR(INDEX(Calculations!$BL$99:$BQ$111,MATCH(F$5,Calculations!$A$99:$A$111,0),MATCH($B10,Calculations!$BL$5:$BQ$5,0)),0)</f>
        <v>0</v>
      </c>
      <c r="G10" s="71">
        <f>IFERROR(INDEX(Calculations!$BL$99:$BQ$111,MATCH(G$5,Calculations!$A$99:$A$111,0),MATCH($B10,Calculations!$BL$5:$BQ$5,0)),0)</f>
        <v>0</v>
      </c>
      <c r="H10" s="71">
        <f>IFERROR(INDEX(Calculations!$BL$99:$BQ$111,MATCH(H$5,Calculations!$A$99:$A$111,0),MATCH($B10,Calculations!$BL$5:$BQ$5,0)),0)</f>
        <v>0</v>
      </c>
      <c r="I10" s="71">
        <f>IFERROR(INDEX(Calculations!$BL$99:$BQ$111,MATCH(I$5,Calculations!$A$99:$A$111,0),MATCH($B10,Calculations!$BL$5:$BQ$5,0)),0)</f>
        <v>0</v>
      </c>
      <c r="J10" s="71">
        <f>IFERROR(INDEX(Calculations!$BL$99:$BQ$111,MATCH(J$5,Calculations!$A$99:$A$111,0),MATCH($B10,Calculations!$BL$5:$BQ$5,0)),0)</f>
        <v>0</v>
      </c>
      <c r="K10" s="71">
        <f>IFERROR(INDEX(Calculations!$BL$99:$BQ$111,MATCH(K$5,Calculations!$A$99:$A$111,0),MATCH($B10,Calculations!$BL$5:$BQ$5,0)),0)</f>
        <v>0</v>
      </c>
      <c r="L10" s="71">
        <f>IFERROR(INDEX(Calculations!$BL$99:$BQ$111,MATCH(L$5,Calculations!$A$99:$A$111,0),MATCH($B10,Calculations!$BL$5:$BQ$5,0)),0)</f>
        <v>0</v>
      </c>
      <c r="M10" s="71">
        <f>IFERROR(INDEX(Calculations!$BL$99:$BQ$111,MATCH(M$5,Calculations!$A$99:$A$111,0),MATCH($B10,Calculations!$BL$5:$BQ$5,0)),0)</f>
        <v>0</v>
      </c>
      <c r="N10" s="71">
        <f>IFERROR(INDEX(Calculations!$BL$99:$BQ$111,MATCH(N$5,Calculations!$A$99:$A$111,0),MATCH($B10,Calculations!$BL$5:$BQ$5,0)),0)</f>
        <v>0</v>
      </c>
      <c r="O10" s="71">
        <f>IFERROR(INDEX(Calculations!$BL$99:$BQ$111,MATCH(O$5,Calculations!$A$99:$A$111,0),MATCH($B10,Calculations!$BL$5:$BQ$5,0)),0)</f>
        <v>0</v>
      </c>
      <c r="Q10" s="12"/>
      <c r="S10" s="20" t="str">
        <f>SiteE!S10</f>
        <v xml:space="preserve"> </v>
      </c>
      <c r="U10" s="91">
        <f>IFERROR(IF(U$4="Yes",0,INDEX(Calculations!AC$99:AC$111,MATCH(Cost!$S10,Calculations!$A$99:$A$111,0))),0)</f>
        <v>0</v>
      </c>
      <c r="V10" s="91">
        <f>IFERROR(IF(V$4="Yes",0,INDEX(Calculations!AD$99:AD$111,MATCH(Cost!$S10,Calculations!$A$99:$A$111,0))),0)</f>
        <v>0</v>
      </c>
      <c r="W10" s="91">
        <f>IFERROR(IF(W$4="Yes",0,INDEX(Calculations!AE$99:AE$111,MATCH(Cost!$S10,Calculations!$A$99:$A$111,0))),0)</f>
        <v>0</v>
      </c>
      <c r="X10" s="91">
        <f>IFERROR(IF(X$4="Yes",0,INDEX(Calculations!AF$99:AF$111,MATCH(Cost!$S10,Calculations!$A$99:$A$111,0))),0)</f>
        <v>0</v>
      </c>
      <c r="Y10" s="91">
        <f>IFERROR(IF(Y$4="Yes",0,INDEX(Calculations!AG$99:AG$111,MATCH(Cost!$S10,Calculations!$A$99:$A$111,0))),0)</f>
        <v>0</v>
      </c>
      <c r="Z10" s="91">
        <f>IFERROR(IF(Z$4="Yes",0,INDEX(Calculations!AH$99:AH$111,MATCH(Cost!$S10,Calculations!$A$99:$A$111,0))),0)</f>
        <v>0</v>
      </c>
      <c r="AA10" s="91">
        <f>IFERROR(IF(AA$4="Yes",0,INDEX(Calculations!AI$99:AI$111,MATCH(Cost!$S10,Calculations!$A$99:$A$111,0))),0)</f>
        <v>0</v>
      </c>
      <c r="AB10" s="91">
        <f>IFERROR(IF(AB$4="Yes",0,INDEX(Calculations!AJ$99:AJ$111,MATCH(Cost!$S10,Calculations!$A$99:$A$111,0))),0)</f>
        <v>0</v>
      </c>
      <c r="AC10" s="91">
        <f>IFERROR(IF(AC$4="Yes",0,INDEX(Calculations!AK$99:AK$111,MATCH(Cost!$S10,Calculations!$A$99:$A$111,0))),0)</f>
        <v>0</v>
      </c>
      <c r="AD10" s="91">
        <f>IFERROR(IF(AD$4="Yes",0,INDEX(Calculations!AL$99:AL$111,MATCH(Cost!$S10,Calculations!$A$99:$A$111,0))),0)</f>
        <v>0</v>
      </c>
      <c r="AE10" s="91">
        <f>IFERROR(IF(AE$4="Yes",0,INDEX(Calculations!AM$99:AM$111,MATCH(Cost!$S10,Calculations!$A$99:$A$111,0))),0)</f>
        <v>0</v>
      </c>
      <c r="AF10" s="91">
        <f>IFERROR(IF(AF$4="Yes",0,INDEX(Calculations!AN$99:AN$111,MATCH(Cost!$S10,Calculations!$A$99:$A$111,0))),0)</f>
        <v>0</v>
      </c>
      <c r="AG10" s="91">
        <f>IFERROR(IF(AG$4="Yes",0,INDEX(Calculations!AO$99:AO$111,MATCH(Cost!$S10,Calculations!$A$99:$A$111,0))),0)</f>
        <v>0</v>
      </c>
      <c r="AH10" s="91">
        <f>IFERROR(IF(AH$4="Yes",0,INDEX(Calculations!AP$99:AP$111,MATCH(Cost!$S10,Calculations!$A$99:$A$111,0))),0)</f>
        <v>0</v>
      </c>
      <c r="AI10" s="91">
        <f>IFERROR(IF(AI$4="Yes",0,INDEX(Calculations!AQ$99:AQ$111,MATCH(Cost!$S10,Calculations!$A$99:$A$111,0))),0)</f>
        <v>0</v>
      </c>
      <c r="AJ10" s="91">
        <f>IFERROR(IF(AJ$4="Yes",0,INDEX(Calculations!AR$99:AR$111,MATCH(Cost!$S10,Calculations!$A$99:$A$111,0))),0)</f>
        <v>0</v>
      </c>
      <c r="AK10" s="124">
        <f>IFERROR(SUM(U10:AI10)*'Project Info'!$D$28,0)</f>
        <v>0</v>
      </c>
      <c r="AL10" s="91">
        <f>IFERROR(INDEX(Calculations!BC$99:BC$111,MATCH(Cost!$S10,Calculations!$A$99:$A$111,0))*-1,0)</f>
        <v>0</v>
      </c>
      <c r="AM10" s="91">
        <f>IFERROR(INDEX(Calculations!BD$99:BD$111,MATCH(Cost!$S10,Calculations!$A$99:$A$111,0))*-1,0)</f>
        <v>0</v>
      </c>
      <c r="AN10" s="123">
        <f ca="1">IFERROR(SUM(OFFSET(Calculations!BE$99,MATCH($S10,Calculations!$A$99:$A$111,0)-1,0,1,4))*-1,0)</f>
        <v>0</v>
      </c>
      <c r="AO10" s="91">
        <f t="shared" ca="1" si="0"/>
        <v>0</v>
      </c>
      <c r="AP10" s="17"/>
      <c r="AQ10" s="4"/>
      <c r="AW10" s="91">
        <f>IFERROR(INDEX(Calculations!BL$9:BL$21,MATCH($S10,Calculations!$A$9:$A$21,0)),0)</f>
        <v>0</v>
      </c>
      <c r="AX10" s="91">
        <f>IFERROR(INDEX(Calculations!BM$9:BM$21,MATCH($S10,Calculations!$A$9:$A$21,0)),0)</f>
        <v>0</v>
      </c>
      <c r="AY10" s="91">
        <f>IFERROR(INDEX(Calculations!BN$9:BN$21,MATCH($S10,Calculations!$A$9:$A$21,0)),0)</f>
        <v>0</v>
      </c>
      <c r="AZ10" s="91">
        <f>IFERROR(INDEX(Calculations!BO$9:BO$21,MATCH($S10,Calculations!$A$9:$A$21,0)),0)</f>
        <v>0</v>
      </c>
      <c r="BA10" s="91">
        <f>IFERROR(INDEX(Calculations!BP$9:BP$21,MATCH($S10,Calculations!$A$9:$A$21,0)),0)</f>
        <v>0</v>
      </c>
    </row>
    <row r="11" spans="1:53">
      <c r="B11" s="60" t="s">
        <v>174</v>
      </c>
      <c r="C11" s="59" t="s">
        <v>211</v>
      </c>
      <c r="D11" s="71">
        <f>SUM(D6:D10)</f>
        <v>25055.930913737422</v>
      </c>
      <c r="E11" s="71">
        <f t="shared" ref="E11:O11" si="1">SUM(E6:E10)</f>
        <v>0</v>
      </c>
      <c r="F11" s="71">
        <f t="shared" si="1"/>
        <v>0</v>
      </c>
      <c r="G11" s="71">
        <f t="shared" si="1"/>
        <v>0</v>
      </c>
      <c r="H11" s="71">
        <f t="shared" si="1"/>
        <v>0</v>
      </c>
      <c r="I11" s="71">
        <f t="shared" si="1"/>
        <v>0</v>
      </c>
      <c r="J11" s="71">
        <f t="shared" si="1"/>
        <v>0</v>
      </c>
      <c r="K11" s="71">
        <f t="shared" si="1"/>
        <v>0</v>
      </c>
      <c r="L11" s="71">
        <f t="shared" si="1"/>
        <v>0</v>
      </c>
      <c r="M11" s="71">
        <f t="shared" si="1"/>
        <v>0</v>
      </c>
      <c r="N11" s="71">
        <f t="shared" si="1"/>
        <v>0</v>
      </c>
      <c r="O11" s="71">
        <f t="shared" si="1"/>
        <v>0</v>
      </c>
      <c r="Q11" s="12"/>
      <c r="S11" s="20" t="str">
        <f>SiteE!S12</f>
        <v xml:space="preserve"> </v>
      </c>
      <c r="U11" s="91">
        <f>IFERROR(IF(U$4="Yes",0,INDEX(Calculations!AC$99:AC$111,MATCH(Cost!$S11,Calculations!$A$99:$A$111,0))),0)</f>
        <v>0</v>
      </c>
      <c r="V11" s="91">
        <f>IFERROR(IF(V$4="Yes",0,INDEX(Calculations!AD$99:AD$111,MATCH(Cost!$S11,Calculations!$A$99:$A$111,0))),0)</f>
        <v>0</v>
      </c>
      <c r="W11" s="91">
        <f>IFERROR(IF(W$4="Yes",0,INDEX(Calculations!AE$99:AE$111,MATCH(Cost!$S11,Calculations!$A$99:$A$111,0))),0)</f>
        <v>0</v>
      </c>
      <c r="X11" s="91">
        <f>IFERROR(IF(X$4="Yes",0,INDEX(Calculations!AF$99:AF$111,MATCH(Cost!$S11,Calculations!$A$99:$A$111,0))),0)</f>
        <v>0</v>
      </c>
      <c r="Y11" s="91">
        <f>IFERROR(IF(Y$4="Yes",0,INDEX(Calculations!AG$99:AG$111,MATCH(Cost!$S11,Calculations!$A$99:$A$111,0))),0)</f>
        <v>0</v>
      </c>
      <c r="Z11" s="91">
        <f>IFERROR(IF(Z$4="Yes",0,INDEX(Calculations!AH$99:AH$111,MATCH(Cost!$S11,Calculations!$A$99:$A$111,0))),0)</f>
        <v>0</v>
      </c>
      <c r="AA11" s="91">
        <f>IFERROR(IF(AA$4="Yes",0,INDEX(Calculations!AI$99:AI$111,MATCH(Cost!$S11,Calculations!$A$99:$A$111,0))),0)</f>
        <v>0</v>
      </c>
      <c r="AB11" s="91">
        <f>IFERROR(IF(AB$4="Yes",0,INDEX(Calculations!AJ$99:AJ$111,MATCH(Cost!$S11,Calculations!$A$99:$A$111,0))),0)</f>
        <v>0</v>
      </c>
      <c r="AC11" s="91">
        <f>IFERROR(IF(AC$4="Yes",0,INDEX(Calculations!AK$99:AK$111,MATCH(Cost!$S11,Calculations!$A$99:$A$111,0))),0)</f>
        <v>0</v>
      </c>
      <c r="AD11" s="91">
        <f>IFERROR(IF(AD$4="Yes",0,INDEX(Calculations!AL$99:AL$111,MATCH(Cost!$S11,Calculations!$A$99:$A$111,0))),0)</f>
        <v>0</v>
      </c>
      <c r="AE11" s="91">
        <f>IFERROR(IF(AE$4="Yes",0,INDEX(Calculations!AM$99:AM$111,MATCH(Cost!$S11,Calculations!$A$99:$A$111,0))),0)</f>
        <v>0</v>
      </c>
      <c r="AF11" s="91">
        <f>IFERROR(IF(AF$4="Yes",0,INDEX(Calculations!AN$99:AN$111,MATCH(Cost!$S11,Calculations!$A$99:$A$111,0))),0)</f>
        <v>0</v>
      </c>
      <c r="AG11" s="91">
        <f>IFERROR(IF(AG$4="Yes",0,INDEX(Calculations!AO$99:AO$111,MATCH(Cost!$S11,Calculations!$A$99:$A$111,0))),0)</f>
        <v>0</v>
      </c>
      <c r="AH11" s="91">
        <f>IFERROR(IF(AH$4="Yes",0,INDEX(Calculations!AP$99:AP$111,MATCH(Cost!$S11,Calculations!$A$99:$A$111,0))),0)</f>
        <v>0</v>
      </c>
      <c r="AI11" s="91">
        <f>IFERROR(IF(AI$4="Yes",0,INDEX(Calculations!AQ$99:AQ$111,MATCH(Cost!$S11,Calculations!$A$99:$A$111,0))),0)</f>
        <v>0</v>
      </c>
      <c r="AJ11" s="91">
        <f>IFERROR(IF(AJ$4="Yes",0,INDEX(Calculations!AR$99:AR$111,MATCH(Cost!$S11,Calculations!$A$99:$A$111,0))),0)</f>
        <v>0</v>
      </c>
      <c r="AK11" s="124">
        <f>IFERROR(SUM(U11:AI11)*'Project Info'!$D$28,0)</f>
        <v>0</v>
      </c>
      <c r="AL11" s="91">
        <f>IFERROR(INDEX(Calculations!BC$99:BC$111,MATCH(Cost!$S11,Calculations!$A$99:$A$111,0))*-1,0)</f>
        <v>0</v>
      </c>
      <c r="AM11" s="91">
        <f>IFERROR(INDEX(Calculations!BD$99:BD$111,MATCH(Cost!$S11,Calculations!$A$99:$A$111,0))*-1,0)</f>
        <v>0</v>
      </c>
      <c r="AN11" s="123">
        <f ca="1">IFERROR(SUM(OFFSET(Calculations!BE$99,MATCH($S11,Calculations!$A$99:$A$111,0)-1,0,1,4))*-1,0)</f>
        <v>0</v>
      </c>
      <c r="AO11" s="91">
        <f t="shared" ca="1" si="0"/>
        <v>0</v>
      </c>
      <c r="AP11" s="17"/>
      <c r="AQ11" s="4"/>
      <c r="AW11" s="91">
        <f>IFERROR(INDEX(Calculations!BL$9:BL$21,MATCH($S11,Calculations!$A$9:$A$21,0)),0)</f>
        <v>0</v>
      </c>
      <c r="AX11" s="91">
        <f>IFERROR(INDEX(Calculations!BM$9:BM$21,MATCH($S11,Calculations!$A$9:$A$21,0)),0)</f>
        <v>0</v>
      </c>
      <c r="AY11" s="91">
        <f>IFERROR(INDEX(Calculations!BN$9:BN$21,MATCH($S11,Calculations!$A$9:$A$21,0)),0)</f>
        <v>0</v>
      </c>
      <c r="AZ11" s="91">
        <f>IFERROR(INDEX(Calculations!BO$9:BO$21,MATCH($S11,Calculations!$A$9:$A$21,0)),0)</f>
        <v>0</v>
      </c>
      <c r="BA11" s="91">
        <f>IFERROR(INDEX(Calculations!BP$9:BP$21,MATCH($S11,Calculations!$A$9:$A$21,0)),0)</f>
        <v>0</v>
      </c>
    </row>
    <row r="12" spans="1:53">
      <c r="B12" s="60" t="str">
        <f>_xlfn.CONCAT(A1," Intensity")</f>
        <v>Energy Cost Intensity</v>
      </c>
      <c r="C12" s="59" t="str">
        <f>_xlfn.CONCAT("$/",IF('Project Info'!$I$4="SI","m²","ft²"))</f>
        <v>$/ft²</v>
      </c>
      <c r="D12" s="201">
        <f>IFERROR(INDEX(Calculations!$BQ$114:$BQ$126,MATCH(D$5,Calculations!$A$9:$A$21,0)),0)</f>
        <v>1.8353304214574728</v>
      </c>
      <c r="E12" s="201">
        <f>IFERROR(INDEX(Calculations!$BQ$114:$BQ$126,MATCH(E$5,Calculations!$A$9:$A$21,0)),0)</f>
        <v>0</v>
      </c>
      <c r="F12" s="201">
        <f>IFERROR(INDEX(Calculations!$BQ$114:$BQ$126,MATCH(F$5,Calculations!$A$9:$A$21,0)),0)</f>
        <v>0</v>
      </c>
      <c r="G12" s="201">
        <f>IFERROR(INDEX(Calculations!$BQ$114:$BQ$126,MATCH(G$5,Calculations!$A$9:$A$21,0)),0)</f>
        <v>0</v>
      </c>
      <c r="H12" s="129">
        <f>IFERROR(INDEX(Calculations!$BQ$114:$BQ$126,MATCH(H$5,Calculations!$A$9:$A$21,0)),0)</f>
        <v>0</v>
      </c>
      <c r="I12" s="129">
        <f>IFERROR(INDEX(Calculations!$BQ$114:$BQ$126,MATCH(I$5,Calculations!$A$9:$A$21,0)),0)</f>
        <v>0</v>
      </c>
      <c r="J12" s="129">
        <f>IFERROR(INDEX(Calculations!$BQ$114:$BQ$126,MATCH(J$5,Calculations!$A$9:$A$21,0)),0)</f>
        <v>0</v>
      </c>
      <c r="K12" s="129">
        <f>IFERROR(INDEX(Calculations!$BQ$114:$BQ$126,MATCH(K$5,Calculations!$A$9:$A$21,0)),0)</f>
        <v>0</v>
      </c>
      <c r="L12" s="129">
        <f>IFERROR(INDEX(Calculations!$BQ$114:$BQ$126,MATCH(L$5,Calculations!$A$9:$A$21,0)),0)</f>
        <v>0</v>
      </c>
      <c r="M12" s="129">
        <f>IFERROR(INDEX(Calculations!$BQ$114:$BQ$126,MATCH(M$5,Calculations!$A$9:$A$21,0)),0)</f>
        <v>0</v>
      </c>
      <c r="N12" s="129">
        <f>IFERROR(INDEX(Calculations!$BQ$114:$BQ$126,MATCH(N$5,Calculations!$A$9:$A$21,0)),0)</f>
        <v>0</v>
      </c>
      <c r="O12" s="129">
        <f>IFERROR(INDEX(Calculations!$BQ$114:$BQ$126,MATCH(O$5,Calculations!$A$9:$A$21,0)),0)</f>
        <v>0</v>
      </c>
      <c r="Q12" s="12"/>
      <c r="S12" s="20" t="str">
        <f>SiteE!S13</f>
        <v xml:space="preserve"> </v>
      </c>
      <c r="U12" s="91">
        <f>IFERROR(IF(U$4="Yes",0,INDEX(Calculations!AC$99:AC$111,MATCH(Cost!$S12,Calculations!$A$99:$A$111,0))),0)</f>
        <v>0</v>
      </c>
      <c r="V12" s="91">
        <f>IFERROR(IF(V$4="Yes",0,INDEX(Calculations!AD$99:AD$111,MATCH(Cost!$S12,Calculations!$A$99:$A$111,0))),0)</f>
        <v>0</v>
      </c>
      <c r="W12" s="91">
        <f>IFERROR(IF(W$4="Yes",0,INDEX(Calculations!AE$99:AE$111,MATCH(Cost!$S12,Calculations!$A$99:$A$111,0))),0)</f>
        <v>0</v>
      </c>
      <c r="X12" s="91">
        <f>IFERROR(IF(X$4="Yes",0,INDEX(Calculations!AF$99:AF$111,MATCH(Cost!$S12,Calculations!$A$99:$A$111,0))),0)</f>
        <v>0</v>
      </c>
      <c r="Y12" s="91">
        <f>IFERROR(IF(Y$4="Yes",0,INDEX(Calculations!AG$99:AG$111,MATCH(Cost!$S12,Calculations!$A$99:$A$111,0))),0)</f>
        <v>0</v>
      </c>
      <c r="Z12" s="91">
        <f>IFERROR(IF(Z$4="Yes",0,INDEX(Calculations!AH$99:AH$111,MATCH(Cost!$S12,Calculations!$A$99:$A$111,0))),0)</f>
        <v>0</v>
      </c>
      <c r="AA12" s="91">
        <f>IFERROR(IF(AA$4="Yes",0,INDEX(Calculations!AI$99:AI$111,MATCH(Cost!$S12,Calculations!$A$99:$A$111,0))),0)</f>
        <v>0</v>
      </c>
      <c r="AB12" s="91">
        <f>IFERROR(IF(AB$4="Yes",0,INDEX(Calculations!AJ$99:AJ$111,MATCH(Cost!$S12,Calculations!$A$99:$A$111,0))),0)</f>
        <v>0</v>
      </c>
      <c r="AC12" s="91">
        <f>IFERROR(IF(AC$4="Yes",0,INDEX(Calculations!AK$99:AK$111,MATCH(Cost!$S12,Calculations!$A$99:$A$111,0))),0)</f>
        <v>0</v>
      </c>
      <c r="AD12" s="91">
        <f>IFERROR(IF(AD$4="Yes",0,INDEX(Calculations!AL$99:AL$111,MATCH(Cost!$S12,Calculations!$A$99:$A$111,0))),0)</f>
        <v>0</v>
      </c>
      <c r="AE12" s="91">
        <f>IFERROR(IF(AE$4="Yes",0,INDEX(Calculations!AM$99:AM$111,MATCH(Cost!$S12,Calculations!$A$99:$A$111,0))),0)</f>
        <v>0</v>
      </c>
      <c r="AF12" s="91">
        <f>IFERROR(IF(AF$4="Yes",0,INDEX(Calculations!AN$99:AN$111,MATCH(Cost!$S12,Calculations!$A$99:$A$111,0))),0)</f>
        <v>0</v>
      </c>
      <c r="AG12" s="91">
        <f>IFERROR(IF(AG$4="Yes",0,INDEX(Calculations!AO$99:AO$111,MATCH(Cost!$S12,Calculations!$A$99:$A$111,0))),0)</f>
        <v>0</v>
      </c>
      <c r="AH12" s="91">
        <f>IFERROR(IF(AH$4="Yes",0,INDEX(Calculations!AP$99:AP$111,MATCH(Cost!$S12,Calculations!$A$99:$A$111,0))),0)</f>
        <v>0</v>
      </c>
      <c r="AI12" s="91">
        <f>IFERROR(IF(AI$4="Yes",0,INDEX(Calculations!AQ$99:AQ$111,MATCH(Cost!$S12,Calculations!$A$99:$A$111,0))),0)</f>
        <v>0</v>
      </c>
      <c r="AJ12" s="91">
        <f>IFERROR(IF(AJ$4="Yes",0,INDEX(Calculations!AR$99:AR$111,MATCH(Cost!$S12,Calculations!$A$99:$A$111,0))),0)</f>
        <v>0</v>
      </c>
      <c r="AK12" s="124">
        <f>IFERROR(SUM(U12:AI12)*'Project Info'!$D$28,0)</f>
        <v>0</v>
      </c>
      <c r="AL12" s="91">
        <f>IFERROR(INDEX(Calculations!BC$99:BC$111,MATCH(Cost!$S12,Calculations!$A$99:$A$111,0))*-1,0)</f>
        <v>0</v>
      </c>
      <c r="AM12" s="91">
        <f>IFERROR(INDEX(Calculations!BD$99:BD$111,MATCH(Cost!$S12,Calculations!$A$99:$A$111,0))*-1,0)</f>
        <v>0</v>
      </c>
      <c r="AN12" s="123">
        <f ca="1">IFERROR(SUM(OFFSET(Calculations!BE$99,MATCH($S12,Calculations!$A$99:$A$111,0)-1,0,1,4))*-1,0)</f>
        <v>0</v>
      </c>
      <c r="AO12" s="91">
        <f t="shared" ca="1" si="0"/>
        <v>0</v>
      </c>
      <c r="AP12" s="17"/>
      <c r="AQ12" s="4"/>
      <c r="AW12" s="91">
        <f>IFERROR(INDEX(Calculations!BL$9:BL$21,MATCH($S12,Calculations!$A$9:$A$21,0)),0)</f>
        <v>0</v>
      </c>
      <c r="AX12" s="91">
        <f>IFERROR(INDEX(Calculations!BM$9:BM$21,MATCH($S12,Calculations!$A$9:$A$21,0)),0)</f>
        <v>0</v>
      </c>
      <c r="AY12" s="91">
        <f>IFERROR(INDEX(Calculations!BN$9:BN$21,MATCH($S12,Calculations!$A$9:$A$21,0)),0)</f>
        <v>0</v>
      </c>
      <c r="AZ12" s="91">
        <f>IFERROR(INDEX(Calculations!BO$9:BO$21,MATCH($S12,Calculations!$A$9:$A$21,0)),0)</f>
        <v>0</v>
      </c>
      <c r="BA12" s="91">
        <f>IFERROR(INDEX(Calculations!BP$9:BP$21,MATCH($S12,Calculations!$A$9:$A$21,0)),0)</f>
        <v>0</v>
      </c>
    </row>
    <row r="13" spans="1:53">
      <c r="B13" s="64" t="str">
        <f>_xlfn.CONCAT(A1," Savings")</f>
        <v>Energy Cost Savings</v>
      </c>
      <c r="C13" s="64" t="s">
        <v>209</v>
      </c>
      <c r="D13" s="69"/>
      <c r="E13" s="70" t="str">
        <f>IFERROR(IF(E$5=" "," ",1-(E11/$D11)),"0%")</f>
        <v xml:space="preserve"> </v>
      </c>
      <c r="F13" s="70" t="str">
        <f t="shared" ref="F13:O13" si="2">IFERROR(IF(F$5=" "," ",1-(F11/$D11)),"0%")</f>
        <v xml:space="preserve"> </v>
      </c>
      <c r="G13" s="70" t="str">
        <f t="shared" si="2"/>
        <v xml:space="preserve"> </v>
      </c>
      <c r="H13" s="70" t="str">
        <f t="shared" si="2"/>
        <v xml:space="preserve"> </v>
      </c>
      <c r="I13" s="70" t="str">
        <f t="shared" si="2"/>
        <v xml:space="preserve"> </v>
      </c>
      <c r="J13" s="70" t="str">
        <f t="shared" si="2"/>
        <v xml:space="preserve"> </v>
      </c>
      <c r="K13" s="70" t="str">
        <f t="shared" si="2"/>
        <v xml:space="preserve"> </v>
      </c>
      <c r="L13" s="70" t="str">
        <f t="shared" si="2"/>
        <v xml:space="preserve"> </v>
      </c>
      <c r="M13" s="70" t="str">
        <f t="shared" si="2"/>
        <v xml:space="preserve"> </v>
      </c>
      <c r="N13" s="70" t="str">
        <f t="shared" si="2"/>
        <v xml:space="preserve"> </v>
      </c>
      <c r="O13" s="70" t="str">
        <f t="shared" si="2"/>
        <v xml:space="preserve"> </v>
      </c>
      <c r="Q13" s="12"/>
      <c r="S13" s="20" t="str">
        <f>SiteE!S15</f>
        <v xml:space="preserve"> </v>
      </c>
      <c r="U13" s="91">
        <f>IFERROR(IF(U$4="Yes",0,INDEX(Calculations!AC$99:AC$111,MATCH(Cost!$S13,Calculations!$A$99:$A$111,0))),0)</f>
        <v>0</v>
      </c>
      <c r="V13" s="91">
        <f>IFERROR(IF(V$4="Yes",0,INDEX(Calculations!AD$99:AD$111,MATCH(Cost!$S13,Calculations!$A$99:$A$111,0))),0)</f>
        <v>0</v>
      </c>
      <c r="W13" s="91">
        <f>IFERROR(IF(W$4="Yes",0,INDEX(Calculations!AE$99:AE$111,MATCH(Cost!$S13,Calculations!$A$99:$A$111,0))),0)</f>
        <v>0</v>
      </c>
      <c r="X13" s="91">
        <f>IFERROR(IF(X$4="Yes",0,INDEX(Calculations!AF$99:AF$111,MATCH(Cost!$S13,Calculations!$A$99:$A$111,0))),0)</f>
        <v>0</v>
      </c>
      <c r="Y13" s="91">
        <f>IFERROR(IF(Y$4="Yes",0,INDEX(Calculations!AG$99:AG$111,MATCH(Cost!$S13,Calculations!$A$99:$A$111,0))),0)</f>
        <v>0</v>
      </c>
      <c r="Z13" s="91">
        <f>IFERROR(IF(Z$4="Yes",0,INDEX(Calculations!AH$99:AH$111,MATCH(Cost!$S13,Calculations!$A$99:$A$111,0))),0)</f>
        <v>0</v>
      </c>
      <c r="AA13" s="91">
        <f>IFERROR(IF(AA$4="Yes",0,INDEX(Calculations!AI$99:AI$111,MATCH(Cost!$S13,Calculations!$A$99:$A$111,0))),0)</f>
        <v>0</v>
      </c>
      <c r="AB13" s="91">
        <f>IFERROR(IF(AB$4="Yes",0,INDEX(Calculations!AJ$99:AJ$111,MATCH(Cost!$S13,Calculations!$A$99:$A$111,0))),0)</f>
        <v>0</v>
      </c>
      <c r="AC13" s="91">
        <f>IFERROR(IF(AC$4="Yes",0,INDEX(Calculations!AK$99:AK$111,MATCH(Cost!$S13,Calculations!$A$99:$A$111,0))),0)</f>
        <v>0</v>
      </c>
      <c r="AD13" s="91">
        <f>IFERROR(IF(AD$4="Yes",0,INDEX(Calculations!AL$99:AL$111,MATCH(Cost!$S13,Calculations!$A$99:$A$111,0))),0)</f>
        <v>0</v>
      </c>
      <c r="AE13" s="91">
        <f>IFERROR(IF(AE$4="Yes",0,INDEX(Calculations!AM$99:AM$111,MATCH(Cost!$S13,Calculations!$A$99:$A$111,0))),0)</f>
        <v>0</v>
      </c>
      <c r="AF13" s="91">
        <f>IFERROR(IF(AF$4="Yes",0,INDEX(Calculations!AN$99:AN$111,MATCH(Cost!$S13,Calculations!$A$99:$A$111,0))),0)</f>
        <v>0</v>
      </c>
      <c r="AG13" s="91">
        <f>IFERROR(IF(AG$4="Yes",0,INDEX(Calculations!AO$99:AO$111,MATCH(Cost!$S13,Calculations!$A$99:$A$111,0))),0)</f>
        <v>0</v>
      </c>
      <c r="AH13" s="91">
        <f>IFERROR(IF(AH$4="Yes",0,INDEX(Calculations!AP$99:AP$111,MATCH(Cost!$S13,Calculations!$A$99:$A$111,0))),0)</f>
        <v>0</v>
      </c>
      <c r="AI13" s="91">
        <f>IFERROR(IF(AI$4="Yes",0,INDEX(Calculations!AQ$99:AQ$111,MATCH(Cost!$S13,Calculations!$A$99:$A$111,0))),0)</f>
        <v>0</v>
      </c>
      <c r="AJ13" s="91">
        <f>IFERROR(IF(AJ$4="Yes",0,INDEX(Calculations!AR$99:AR$111,MATCH(Cost!$S13,Calculations!$A$99:$A$111,0))),0)</f>
        <v>0</v>
      </c>
      <c r="AK13" s="124">
        <f>IFERROR(SUM(U13:AI13)*'Project Info'!$D$28,0)</f>
        <v>0</v>
      </c>
      <c r="AL13" s="91">
        <f>IFERROR(INDEX(Calculations!BC$99:BC$111,MATCH(Cost!$S13,Calculations!$A$99:$A$111,0))*-1,0)</f>
        <v>0</v>
      </c>
      <c r="AM13" s="91">
        <f>IFERROR(INDEX(Calculations!BD$99:BD$111,MATCH(Cost!$S13,Calculations!$A$99:$A$111,0))*-1,0)</f>
        <v>0</v>
      </c>
      <c r="AN13" s="123">
        <f ca="1">IFERROR(SUM(OFFSET(Calculations!BE$99,MATCH($S13,Calculations!$A$99:$A$111,0)-1,0,1,4))*-1,0)</f>
        <v>0</v>
      </c>
      <c r="AO13" s="91">
        <f t="shared" ca="1" si="0"/>
        <v>0</v>
      </c>
      <c r="AP13" s="17"/>
      <c r="AQ13" s="4"/>
      <c r="AW13" s="91">
        <f>IFERROR(INDEX(Calculations!BL$9:BL$21,MATCH($S13,Calculations!$A$9:$A$21,0)),0)</f>
        <v>0</v>
      </c>
      <c r="AX13" s="91">
        <f>IFERROR(INDEX(Calculations!BM$9:BM$21,MATCH($S13,Calculations!$A$9:$A$21,0)),0)</f>
        <v>0</v>
      </c>
      <c r="AY13" s="91">
        <f>IFERROR(INDEX(Calculations!BN$9:BN$21,MATCH($S13,Calculations!$A$9:$A$21,0)),0)</f>
        <v>0</v>
      </c>
      <c r="AZ13" s="91">
        <f>IFERROR(INDEX(Calculations!BO$9:BO$21,MATCH($S13,Calculations!$A$9:$A$21,0)),0)</f>
        <v>0</v>
      </c>
      <c r="BA13" s="91">
        <f>IFERROR(INDEX(Calculations!BP$9:BP$21,MATCH($S13,Calculations!$A$9:$A$21,0)),0)</f>
        <v>0</v>
      </c>
    </row>
    <row r="14" spans="1:53">
      <c r="B14" s="59" t="str">
        <f>IF('Project Info'!$D$12=Menus!M1," ","LEED Points")</f>
        <v>LEED Points</v>
      </c>
      <c r="C14" s="71"/>
      <c r="D14" s="71"/>
      <c r="E14" s="71">
        <f>IFERROR(IF('Project Info'!$D$12=Menus!#REF!," ",INDEX('RefTable LEED'!$BD$6:$BD$25,MATCH(E13,'RefTable LEED'!$BC$6:$BC$25,1))),0)</f>
        <v>0</v>
      </c>
      <c r="F14" s="71">
        <f>IFERROR(IF('Project Info'!$D$12=Menus!#REF!," ",INDEX('RefTable LEED'!$BD$6:$BD$25,MATCH(F13,'RefTable LEED'!$BC$6:$BC$25,1))),0)</f>
        <v>0</v>
      </c>
      <c r="G14" s="71">
        <f>IFERROR(IF('Project Info'!$D$12=Menus!#REF!," ",INDEX('RefTable LEED'!$BD$6:$BD$25,MATCH(G13,'RefTable LEED'!$BC$6:$BC$25,1))),0)</f>
        <v>0</v>
      </c>
      <c r="H14" s="71">
        <f>IFERROR(IF('Project Info'!$D$12=Menus!#REF!," ",INDEX('RefTable LEED'!$BD$6:$BD$25,MATCH(H13,'RefTable LEED'!$BC$6:$BC$25,1))),0)</f>
        <v>0</v>
      </c>
      <c r="I14" s="71">
        <f>IFERROR(IF('Project Info'!$D$12=Menus!#REF!," ",INDEX('RefTable LEED'!$BD$6:$BD$25,MATCH(I13,'RefTable LEED'!$BC$6:$BC$25,1))),0)</f>
        <v>0</v>
      </c>
      <c r="J14" s="71">
        <f>IFERROR(IF('Project Info'!$D$12=Menus!#REF!," ",INDEX('RefTable LEED'!$BD$6:$BD$25,MATCH(J13,'RefTable LEED'!$BC$6:$BC$25,1))),0)</f>
        <v>0</v>
      </c>
      <c r="K14" s="71">
        <f>IFERROR(IF('Project Info'!$D$12=Menus!#REF!," ",INDEX('RefTable LEED'!$BD$6:$BD$25,MATCH(K13,'RefTable LEED'!$BC$6:$BC$25,1))),0)</f>
        <v>0</v>
      </c>
      <c r="L14" s="71">
        <f>IFERROR(IF('Project Info'!$D$12=Menus!#REF!," ",INDEX('RefTable LEED'!$BD$6:$BD$25,MATCH(L13,'RefTable LEED'!$BC$6:$BC$25,1))),0)</f>
        <v>0</v>
      </c>
      <c r="M14" s="71">
        <f>IFERROR(IF('Project Info'!$D$12=Menus!#REF!," ",INDEX('RefTable LEED'!$BD$6:$BD$25,MATCH(M13,'RefTable LEED'!$BC$6:$BC$25,1))),0)</f>
        <v>0</v>
      </c>
      <c r="N14" s="71">
        <f>IFERROR(IF('Project Info'!$D$12=Menus!#REF!," ",INDEX('RefTable LEED'!$BD$6:$BD$25,MATCH(N13,'RefTable LEED'!$BC$6:$BC$25,1))),0)</f>
        <v>0</v>
      </c>
      <c r="O14" s="71">
        <f>IFERROR(IF('Project Info'!$D$12=Menus!#REF!," ",INDEX('RefTable LEED'!$BD$6:$BD$25,MATCH(O13,'RefTable LEED'!$BC$6:$BC$25,1))),0)</f>
        <v>0</v>
      </c>
      <c r="Q14" s="12"/>
      <c r="S14" s="20" t="str">
        <f>SiteE!S16</f>
        <v xml:space="preserve"> </v>
      </c>
      <c r="U14" s="91">
        <f>IFERROR(IF(U$4="Yes",0,INDEX(Calculations!AC$99:AC$111,MATCH(Cost!$S14,Calculations!$A$99:$A$111,0))),0)</f>
        <v>0</v>
      </c>
      <c r="V14" s="91">
        <f>IFERROR(IF(V$4="Yes",0,INDEX(Calculations!AD$99:AD$111,MATCH(Cost!$S14,Calculations!$A$99:$A$111,0))),0)</f>
        <v>0</v>
      </c>
      <c r="W14" s="91">
        <f>IFERROR(IF(W$4="Yes",0,INDEX(Calculations!AE$99:AE$111,MATCH(Cost!$S14,Calculations!$A$99:$A$111,0))),0)</f>
        <v>0</v>
      </c>
      <c r="X14" s="91">
        <f>IFERROR(IF(X$4="Yes",0,INDEX(Calculations!AF$99:AF$111,MATCH(Cost!$S14,Calculations!$A$99:$A$111,0))),0)</f>
        <v>0</v>
      </c>
      <c r="Y14" s="91">
        <f>IFERROR(IF(Y$4="Yes",0,INDEX(Calculations!AG$99:AG$111,MATCH(Cost!$S14,Calculations!$A$99:$A$111,0))),0)</f>
        <v>0</v>
      </c>
      <c r="Z14" s="91">
        <f>IFERROR(IF(Z$4="Yes",0,INDEX(Calculations!AH$99:AH$111,MATCH(Cost!$S14,Calculations!$A$99:$A$111,0))),0)</f>
        <v>0</v>
      </c>
      <c r="AA14" s="91">
        <f>IFERROR(IF(AA$4="Yes",0,INDEX(Calculations!AI$99:AI$111,MATCH(Cost!$S14,Calculations!$A$99:$A$111,0))),0)</f>
        <v>0</v>
      </c>
      <c r="AB14" s="91">
        <f>IFERROR(IF(AB$4="Yes",0,INDEX(Calculations!AJ$99:AJ$111,MATCH(Cost!$S14,Calculations!$A$99:$A$111,0))),0)</f>
        <v>0</v>
      </c>
      <c r="AC14" s="91">
        <f>IFERROR(IF(AC$4="Yes",0,INDEX(Calculations!AK$99:AK$111,MATCH(Cost!$S14,Calculations!$A$99:$A$111,0))),0)</f>
        <v>0</v>
      </c>
      <c r="AD14" s="91">
        <f>IFERROR(IF(AD$4="Yes",0,INDEX(Calculations!AL$99:AL$111,MATCH(Cost!$S14,Calculations!$A$99:$A$111,0))),0)</f>
        <v>0</v>
      </c>
      <c r="AE14" s="91">
        <f>IFERROR(IF(AE$4="Yes",0,INDEX(Calculations!AM$99:AM$111,MATCH(Cost!$S14,Calculations!$A$99:$A$111,0))),0)</f>
        <v>0</v>
      </c>
      <c r="AF14" s="91">
        <f>IFERROR(IF(AF$4="Yes",0,INDEX(Calculations!AN$99:AN$111,MATCH(Cost!$S14,Calculations!$A$99:$A$111,0))),0)</f>
        <v>0</v>
      </c>
      <c r="AG14" s="91">
        <f>IFERROR(IF(AG$4="Yes",0,INDEX(Calculations!AO$99:AO$111,MATCH(Cost!$S14,Calculations!$A$99:$A$111,0))),0)</f>
        <v>0</v>
      </c>
      <c r="AH14" s="91">
        <f>IFERROR(IF(AH$4="Yes",0,INDEX(Calculations!AP$99:AP$111,MATCH(Cost!$S14,Calculations!$A$99:$A$111,0))),0)</f>
        <v>0</v>
      </c>
      <c r="AI14" s="91">
        <f>IFERROR(IF(AI$4="Yes",0,INDEX(Calculations!AQ$99:AQ$111,MATCH(Cost!$S14,Calculations!$A$99:$A$111,0))),0)</f>
        <v>0</v>
      </c>
      <c r="AJ14" s="91">
        <f>IFERROR(IF(AJ$4="Yes",0,INDEX(Calculations!AR$99:AR$111,MATCH(Cost!$S14,Calculations!$A$99:$A$111,0))),0)</f>
        <v>0</v>
      </c>
      <c r="AK14" s="124">
        <f>IFERROR(SUM(U14:AI14)*'Project Info'!$D$28,0)</f>
        <v>0</v>
      </c>
      <c r="AL14" s="91">
        <f>IFERROR(INDEX(Calculations!BC$99:BC$111,MATCH(Cost!$S14,Calculations!$A$99:$A$111,0))*-1,0)</f>
        <v>0</v>
      </c>
      <c r="AM14" s="91">
        <f>IFERROR(INDEX(Calculations!BD$99:BD$111,MATCH(Cost!$S14,Calculations!$A$99:$A$111,0))*-1,0)</f>
        <v>0</v>
      </c>
      <c r="AN14" s="123">
        <f ca="1">IFERROR(SUM(OFFSET(Calculations!BE$99,MATCH($S14,Calculations!$A$99:$A$111,0)-1,0,1,4))*-1,0)</f>
        <v>0</v>
      </c>
      <c r="AO14" s="91">
        <f t="shared" ca="1" si="0"/>
        <v>0</v>
      </c>
      <c r="AP14" s="17"/>
      <c r="AQ14" s="4"/>
      <c r="AW14" s="91">
        <f>IFERROR(INDEX(Calculations!BL$9:BL$21,MATCH($S14,Calculations!$A$9:$A$21,0)),0)</f>
        <v>0</v>
      </c>
      <c r="AX14" s="91">
        <f>IFERROR(INDEX(Calculations!BM$9:BM$21,MATCH($S14,Calculations!$A$9:$A$21,0)),0)</f>
        <v>0</v>
      </c>
      <c r="AY14" s="91">
        <f>IFERROR(INDEX(Calculations!BN$9:BN$21,MATCH($S14,Calculations!$A$9:$A$21,0)),0)</f>
        <v>0</v>
      </c>
      <c r="AZ14" s="91">
        <f>IFERROR(INDEX(Calculations!BO$9:BO$21,MATCH($S14,Calculations!$A$9:$A$21,0)),0)</f>
        <v>0</v>
      </c>
      <c r="BA14" s="91">
        <f>IFERROR(INDEX(Calculations!BP$9:BP$21,MATCH($S14,Calculations!$A$9:$A$21,0)),0)</f>
        <v>0</v>
      </c>
    </row>
    <row r="15" spans="1:53">
      <c r="C15" s="19"/>
      <c r="D15" s="4"/>
      <c r="E15" s="4"/>
      <c r="F15" s="4"/>
      <c r="G15" s="4"/>
      <c r="H15" s="4"/>
      <c r="I15" s="4"/>
      <c r="J15" s="4"/>
      <c r="K15" s="4"/>
      <c r="L15" s="4"/>
      <c r="M15" s="4"/>
      <c r="N15" s="4"/>
      <c r="O15" s="4"/>
      <c r="P15" s="1" t="str">
        <f ca="1">OFFSET(S6,$S$3,0)</f>
        <v xml:space="preserve"> </v>
      </c>
      <c r="Q15" s="12"/>
      <c r="S15" s="20" t="str">
        <f>SiteE!S17</f>
        <v xml:space="preserve"> </v>
      </c>
      <c r="U15" s="91">
        <f>IFERROR(IF(U$4="Yes",0,INDEX(Calculations!AC$99:AC$111,MATCH(Cost!$S15,Calculations!$A$99:$A$111,0))),0)</f>
        <v>0</v>
      </c>
      <c r="V15" s="91">
        <f>IFERROR(IF(V$4="Yes",0,INDEX(Calculations!AD$99:AD$111,MATCH(Cost!$S15,Calculations!$A$99:$A$111,0))),0)</f>
        <v>0</v>
      </c>
      <c r="W15" s="91">
        <f>IFERROR(IF(W$4="Yes",0,INDEX(Calculations!AE$99:AE$111,MATCH(Cost!$S15,Calculations!$A$99:$A$111,0))),0)</f>
        <v>0</v>
      </c>
      <c r="X15" s="91">
        <f>IFERROR(IF(X$4="Yes",0,INDEX(Calculations!AF$99:AF$111,MATCH(Cost!$S15,Calculations!$A$99:$A$111,0))),0)</f>
        <v>0</v>
      </c>
      <c r="Y15" s="91">
        <f>IFERROR(IF(Y$4="Yes",0,INDEX(Calculations!AG$99:AG$111,MATCH(Cost!$S15,Calculations!$A$99:$A$111,0))),0)</f>
        <v>0</v>
      </c>
      <c r="Z15" s="91">
        <f>IFERROR(IF(Z$4="Yes",0,INDEX(Calculations!AH$99:AH$111,MATCH(Cost!$S15,Calculations!$A$99:$A$111,0))),0)</f>
        <v>0</v>
      </c>
      <c r="AA15" s="91">
        <f>IFERROR(IF(AA$4="Yes",0,INDEX(Calculations!AI$99:AI$111,MATCH(Cost!$S15,Calculations!$A$99:$A$111,0))),0)</f>
        <v>0</v>
      </c>
      <c r="AB15" s="91">
        <f>IFERROR(IF(AB$4="Yes",0,INDEX(Calculations!AJ$99:AJ$111,MATCH(Cost!$S15,Calculations!$A$99:$A$111,0))),0)</f>
        <v>0</v>
      </c>
      <c r="AC15" s="91">
        <f>IFERROR(IF(AC$4="Yes",0,INDEX(Calculations!AK$99:AK$111,MATCH(Cost!$S15,Calculations!$A$99:$A$111,0))),0)</f>
        <v>0</v>
      </c>
      <c r="AD15" s="91">
        <f>IFERROR(IF(AD$4="Yes",0,INDEX(Calculations!AL$99:AL$111,MATCH(Cost!$S15,Calculations!$A$99:$A$111,0))),0)</f>
        <v>0</v>
      </c>
      <c r="AE15" s="91">
        <f>IFERROR(IF(AE$4="Yes",0,INDEX(Calculations!AM$99:AM$111,MATCH(Cost!$S15,Calculations!$A$99:$A$111,0))),0)</f>
        <v>0</v>
      </c>
      <c r="AF15" s="91">
        <f>IFERROR(IF(AF$4="Yes",0,INDEX(Calculations!AN$99:AN$111,MATCH(Cost!$S15,Calculations!$A$99:$A$111,0))),0)</f>
        <v>0</v>
      </c>
      <c r="AG15" s="91">
        <f>IFERROR(IF(AG$4="Yes",0,INDEX(Calculations!AO$99:AO$111,MATCH(Cost!$S15,Calculations!$A$99:$A$111,0))),0)</f>
        <v>0</v>
      </c>
      <c r="AH15" s="91">
        <f>IFERROR(IF(AH$4="Yes",0,INDEX(Calculations!AP$99:AP$111,MATCH(Cost!$S15,Calculations!$A$99:$A$111,0))),0)</f>
        <v>0</v>
      </c>
      <c r="AI15" s="91">
        <f>IFERROR(IF(AI$4="Yes",0,INDEX(Calculations!AQ$99:AQ$111,MATCH(Cost!$S15,Calculations!$A$99:$A$111,0))),0)</f>
        <v>0</v>
      </c>
      <c r="AJ15" s="91">
        <f>IFERROR(IF(AJ$4="Yes",0,INDEX(Calculations!AR$99:AR$111,MATCH(Cost!$S15,Calculations!$A$99:$A$111,0))),0)</f>
        <v>0</v>
      </c>
      <c r="AK15" s="124">
        <f>IFERROR(SUM(U15:AI15)*'Project Info'!$D$28,0)</f>
        <v>0</v>
      </c>
      <c r="AL15" s="91">
        <f>IFERROR(INDEX(Calculations!BC$99:BC$111,MATCH(Cost!$S15,Calculations!$A$99:$A$111,0))*-1,0)</f>
        <v>0</v>
      </c>
      <c r="AM15" s="91">
        <f>IFERROR(INDEX(Calculations!BD$99:BD$111,MATCH(Cost!$S15,Calculations!$A$99:$A$111,0))*-1,0)</f>
        <v>0</v>
      </c>
      <c r="AN15" s="123">
        <f ca="1">IFERROR(SUM(OFFSET(Calculations!BE$99,MATCH($S15,Calculations!$A$99:$A$111,0)-1,0,1,4))*-1,0)</f>
        <v>0</v>
      </c>
      <c r="AO15" s="91">
        <f t="shared" ca="1" si="0"/>
        <v>0</v>
      </c>
      <c r="AP15" s="17"/>
      <c r="AQ15" s="4"/>
      <c r="AW15" s="91">
        <f>IFERROR(INDEX(Calculations!BL$9:BL$21,MATCH($S15,Calculations!$A$9:$A$21,0)),0)</f>
        <v>0</v>
      </c>
      <c r="AX15" s="91">
        <f>IFERROR(INDEX(Calculations!BM$9:BM$21,MATCH($S15,Calculations!$A$9:$A$21,0)),0)</f>
        <v>0</v>
      </c>
      <c r="AY15" s="91">
        <f>IFERROR(INDEX(Calculations!BN$9:BN$21,MATCH($S15,Calculations!$A$9:$A$21,0)),0)</f>
        <v>0</v>
      </c>
      <c r="AZ15" s="91">
        <f>IFERROR(INDEX(Calculations!BO$9:BO$21,MATCH($S15,Calculations!$A$9:$A$21,0)),0)</f>
        <v>0</v>
      </c>
      <c r="BA15" s="91">
        <f>IFERROR(INDEX(Calculations!BP$9:BP$21,MATCH($S15,Calculations!$A$9:$A$21,0)),0)</f>
        <v>0</v>
      </c>
    </row>
    <row r="16" spans="1:53">
      <c r="Q16" s="12"/>
      <c r="S16" s="20" t="e">
        <f>SiteE!#REF!</f>
        <v>#REF!</v>
      </c>
      <c r="U16" s="91">
        <f>IFERROR(IF(U$4="Yes",0,INDEX(Calculations!AC$99:AC$111,MATCH(Cost!$S16,Calculations!$A$99:$A$111,0))),0)</f>
        <v>0</v>
      </c>
      <c r="V16" s="91">
        <f>IFERROR(IF(V$4="Yes",0,INDEX(Calculations!AD$99:AD$111,MATCH(Cost!$S16,Calculations!$A$99:$A$111,0))),0)</f>
        <v>0</v>
      </c>
      <c r="W16" s="91">
        <f>IFERROR(IF(W$4="Yes",0,INDEX(Calculations!AE$99:AE$111,MATCH(Cost!$S16,Calculations!$A$99:$A$111,0))),0)</f>
        <v>0</v>
      </c>
      <c r="X16" s="91">
        <f>IFERROR(IF(X$4="Yes",0,INDEX(Calculations!AF$99:AF$111,MATCH(Cost!$S16,Calculations!$A$99:$A$111,0))),0)</f>
        <v>0</v>
      </c>
      <c r="Y16" s="91">
        <f>IFERROR(IF(Y$4="Yes",0,INDEX(Calculations!AG$99:AG$111,MATCH(Cost!$S16,Calculations!$A$99:$A$111,0))),0)</f>
        <v>0</v>
      </c>
      <c r="Z16" s="91">
        <f>IFERROR(IF(Z$4="Yes",0,INDEX(Calculations!AH$99:AH$111,MATCH(Cost!$S16,Calculations!$A$99:$A$111,0))),0)</f>
        <v>0</v>
      </c>
      <c r="AA16" s="91">
        <f>IFERROR(IF(AA$4="Yes",0,INDEX(Calculations!AI$99:AI$111,MATCH(Cost!$S16,Calculations!$A$99:$A$111,0))),0)</f>
        <v>0</v>
      </c>
      <c r="AB16" s="91">
        <f>IFERROR(IF(AB$4="Yes",0,INDEX(Calculations!AJ$99:AJ$111,MATCH(Cost!$S16,Calculations!$A$99:$A$111,0))),0)</f>
        <v>0</v>
      </c>
      <c r="AC16" s="91">
        <f>IFERROR(IF(AC$4="Yes",0,INDEX(Calculations!AK$99:AK$111,MATCH(Cost!$S16,Calculations!$A$99:$A$111,0))),0)</f>
        <v>0</v>
      </c>
      <c r="AD16" s="91">
        <f>IFERROR(IF(AD$4="Yes",0,INDEX(Calculations!AL$99:AL$111,MATCH(Cost!$S16,Calculations!$A$99:$A$111,0))),0)</f>
        <v>0</v>
      </c>
      <c r="AE16" s="91">
        <f>IFERROR(IF(AE$4="Yes",0,INDEX(Calculations!AM$99:AM$111,MATCH(Cost!$S16,Calculations!$A$99:$A$111,0))),0)</f>
        <v>0</v>
      </c>
      <c r="AF16" s="91">
        <f>IFERROR(IF(AF$4="Yes",0,INDEX(Calculations!AN$99:AN$111,MATCH(Cost!$S16,Calculations!$A$99:$A$111,0))),0)</f>
        <v>0</v>
      </c>
      <c r="AG16" s="91">
        <f>IFERROR(IF(AG$4="Yes",0,INDEX(Calculations!AO$99:AO$111,MATCH(Cost!$S16,Calculations!$A$99:$A$111,0))),0)</f>
        <v>0</v>
      </c>
      <c r="AH16" s="91">
        <f>IFERROR(IF(AH$4="Yes",0,INDEX(Calculations!AP$99:AP$111,MATCH(Cost!$S16,Calculations!$A$99:$A$111,0))),0)</f>
        <v>0</v>
      </c>
      <c r="AI16" s="91">
        <f>IFERROR(IF(AI$4="Yes",0,INDEX(Calculations!AQ$99:AQ$111,MATCH(Cost!$S16,Calculations!$A$99:$A$111,0))),0)</f>
        <v>0</v>
      </c>
      <c r="AJ16" s="91">
        <f>IFERROR(IF(AJ$4="Yes",0,INDEX(Calculations!AR$99:AR$111,MATCH(Cost!$S16,Calculations!$A$99:$A$111,0))),0)</f>
        <v>0</v>
      </c>
      <c r="AK16" s="124">
        <f>IFERROR(SUM(U16:AI16)*'Project Info'!$D$28,0)</f>
        <v>0</v>
      </c>
      <c r="AL16" s="91">
        <f>IFERROR(INDEX(Calculations!BC$99:BC$111,MATCH(Cost!$S16,Calculations!$A$99:$A$111,0))*-1,0)</f>
        <v>0</v>
      </c>
      <c r="AM16" s="91">
        <f>IFERROR(INDEX(Calculations!BD$99:BD$111,MATCH(Cost!$S16,Calculations!$A$99:$A$111,0))*-1,0)</f>
        <v>0</v>
      </c>
      <c r="AN16" s="123">
        <f ca="1">IFERROR(SUM(OFFSET(Calculations!BE$99,MATCH($S16,Calculations!$A$99:$A$111,0)-1,0,1,4))*-1,0)</f>
        <v>0</v>
      </c>
      <c r="AO16" s="91">
        <f t="shared" ca="1" si="0"/>
        <v>0</v>
      </c>
      <c r="AP16" s="17"/>
      <c r="AQ16" s="4"/>
      <c r="AW16" s="91">
        <f>IFERROR(INDEX(Calculations!BL$9:BL$21,MATCH($S16,Calculations!$A$9:$A$21,0)),0)</f>
        <v>0</v>
      </c>
      <c r="AX16" s="91">
        <f>IFERROR(INDEX(Calculations!BM$9:BM$21,MATCH($S16,Calculations!$A$9:$A$21,0)),0)</f>
        <v>0</v>
      </c>
      <c r="AY16" s="91">
        <f>IFERROR(INDEX(Calculations!BN$9:BN$21,MATCH($S16,Calculations!$A$9:$A$21,0)),0)</f>
        <v>0</v>
      </c>
      <c r="AZ16" s="91">
        <f>IFERROR(INDEX(Calculations!BO$9:BO$21,MATCH($S16,Calculations!$A$9:$A$21,0)),0)</f>
        <v>0</v>
      </c>
      <c r="BA16" s="91">
        <f>IFERROR(INDEX(Calculations!BP$9:BP$21,MATCH($S16,Calculations!$A$9:$A$21,0)),0)</f>
        <v>0</v>
      </c>
    </row>
    <row r="17" spans="17:53">
      <c r="Q17" s="12"/>
      <c r="S17" s="20" t="e">
        <f>SiteE!#REF!</f>
        <v>#REF!</v>
      </c>
      <c r="U17" s="91">
        <f>IFERROR(IF(U$4="Yes",0,INDEX(Calculations!AC$99:AC$111,MATCH(Cost!$S17,Calculations!$A$99:$A$111,0))),0)</f>
        <v>0</v>
      </c>
      <c r="V17" s="91">
        <f>IFERROR(IF(V$4="Yes",0,INDEX(Calculations!AD$99:AD$111,MATCH(Cost!$S17,Calculations!$A$99:$A$111,0))),0)</f>
        <v>0</v>
      </c>
      <c r="W17" s="91">
        <f>IFERROR(IF(W$4="Yes",0,INDEX(Calculations!AE$99:AE$111,MATCH(Cost!$S17,Calculations!$A$99:$A$111,0))),0)</f>
        <v>0</v>
      </c>
      <c r="X17" s="91">
        <f>IFERROR(IF(X$4="Yes",0,INDEX(Calculations!AF$99:AF$111,MATCH(Cost!$S17,Calculations!$A$99:$A$111,0))),0)</f>
        <v>0</v>
      </c>
      <c r="Y17" s="91">
        <f>IFERROR(IF(Y$4="Yes",0,INDEX(Calculations!AG$99:AG$111,MATCH(Cost!$S17,Calculations!$A$99:$A$111,0))),0)</f>
        <v>0</v>
      </c>
      <c r="Z17" s="91">
        <f>IFERROR(IF(Z$4="Yes",0,INDEX(Calculations!AH$99:AH$111,MATCH(Cost!$S17,Calculations!$A$99:$A$111,0))),0)</f>
        <v>0</v>
      </c>
      <c r="AA17" s="91">
        <f>IFERROR(IF(AA$4="Yes",0,INDEX(Calculations!AI$99:AI$111,MATCH(Cost!$S17,Calculations!$A$99:$A$111,0))),0)</f>
        <v>0</v>
      </c>
      <c r="AB17" s="91">
        <f>IFERROR(IF(AB$4="Yes",0,INDEX(Calculations!AJ$99:AJ$111,MATCH(Cost!$S17,Calculations!$A$99:$A$111,0))),0)</f>
        <v>0</v>
      </c>
      <c r="AC17" s="91">
        <f>IFERROR(IF(AC$4="Yes",0,INDEX(Calculations!AK$99:AK$111,MATCH(Cost!$S17,Calculations!$A$99:$A$111,0))),0)</f>
        <v>0</v>
      </c>
      <c r="AD17" s="91">
        <f>IFERROR(IF(AD$4="Yes",0,INDEX(Calculations!AL$99:AL$111,MATCH(Cost!$S17,Calculations!$A$99:$A$111,0))),0)</f>
        <v>0</v>
      </c>
      <c r="AE17" s="91">
        <f>IFERROR(IF(AE$4="Yes",0,INDEX(Calculations!AM$99:AM$111,MATCH(Cost!$S17,Calculations!$A$99:$A$111,0))),0)</f>
        <v>0</v>
      </c>
      <c r="AF17" s="91">
        <f>IFERROR(IF(AF$4="Yes",0,INDEX(Calculations!AN$99:AN$111,MATCH(Cost!$S17,Calculations!$A$99:$A$111,0))),0)</f>
        <v>0</v>
      </c>
      <c r="AG17" s="91">
        <f>IFERROR(IF(AG$4="Yes",0,INDEX(Calculations!AO$99:AO$111,MATCH(Cost!$S17,Calculations!$A$99:$A$111,0))),0)</f>
        <v>0</v>
      </c>
      <c r="AH17" s="91">
        <f>IFERROR(IF(AH$4="Yes",0,INDEX(Calculations!AP$99:AP$111,MATCH(Cost!$S17,Calculations!$A$99:$A$111,0))),0)</f>
        <v>0</v>
      </c>
      <c r="AI17" s="91">
        <f>IFERROR(IF(AI$4="Yes",0,INDEX(Calculations!AQ$99:AQ$111,MATCH(Cost!$S17,Calculations!$A$99:$A$111,0))),0)</f>
        <v>0</v>
      </c>
      <c r="AJ17" s="91">
        <f>IFERROR(IF(AJ$4="Yes",0,INDEX(Calculations!AR$99:AR$111,MATCH(Cost!$S17,Calculations!$A$99:$A$111,0))),0)</f>
        <v>0</v>
      </c>
      <c r="AK17" s="124">
        <f>IFERROR(SUM(U17:AI17)*'Project Info'!$D$28,0)</f>
        <v>0</v>
      </c>
      <c r="AL17" s="91">
        <f>IFERROR(INDEX(Calculations!BC$99:BC$111,MATCH(Cost!$S17,Calculations!$A$99:$A$111,0))*-1,0)</f>
        <v>0</v>
      </c>
      <c r="AM17" s="91">
        <f>IFERROR(INDEX(Calculations!BD$99:BD$111,MATCH(Cost!$S17,Calculations!$A$99:$A$111,0))*-1,0)</f>
        <v>0</v>
      </c>
      <c r="AN17" s="123">
        <f ca="1">IFERROR(SUM(OFFSET(Calculations!BE$99,MATCH($S17,Calculations!$A$99:$A$111,0)-1,0,1,4))*-1,0)</f>
        <v>0</v>
      </c>
      <c r="AO17" s="91">
        <f t="shared" ca="1" si="0"/>
        <v>0</v>
      </c>
      <c r="AP17" s="17"/>
      <c r="AQ17" s="4"/>
      <c r="AW17" s="91">
        <f>IFERROR(INDEX(Calculations!BL$9:BL$21,MATCH($S17,Calculations!$A$9:$A$21,0)),0)</f>
        <v>0</v>
      </c>
      <c r="AX17" s="91">
        <f>IFERROR(INDEX(Calculations!BM$9:BM$21,MATCH($S17,Calculations!$A$9:$A$21,0)),0)</f>
        <v>0</v>
      </c>
      <c r="AY17" s="91">
        <f>IFERROR(INDEX(Calculations!BN$9:BN$21,MATCH($S17,Calculations!$A$9:$A$21,0)),0)</f>
        <v>0</v>
      </c>
      <c r="AZ17" s="91">
        <f>IFERROR(INDEX(Calculations!BO$9:BO$21,MATCH($S17,Calculations!$A$9:$A$21,0)),0)</f>
        <v>0</v>
      </c>
      <c r="BA17" s="91">
        <f>IFERROR(INDEX(Calculations!BP$9:BP$21,MATCH($S17,Calculations!$A$9:$A$21,0)),0)</f>
        <v>0</v>
      </c>
    </row>
    <row r="18" spans="17:53">
      <c r="Q18" s="12"/>
      <c r="AK18" s="46"/>
      <c r="AN18" s="47"/>
    </row>
    <row r="19" spans="17:53" ht="15.6" thickBot="1">
      <c r="Q19" s="12"/>
      <c r="S19" s="61" t="str">
        <f>Calculations!A113</f>
        <v>Energy Cost Intensity ($/ft²)</v>
      </c>
      <c r="T19" s="193"/>
      <c r="U19" s="193"/>
      <c r="V19" s="193"/>
      <c r="W19" s="193"/>
      <c r="X19" s="193"/>
      <c r="Y19" s="193"/>
      <c r="Z19" s="193"/>
      <c r="AA19" s="193"/>
      <c r="AB19" s="193"/>
      <c r="AC19" s="193"/>
      <c r="AD19" s="193"/>
      <c r="AE19" s="193"/>
      <c r="AF19" s="193"/>
      <c r="AG19" s="193"/>
      <c r="AH19" s="193"/>
      <c r="AI19" s="193"/>
      <c r="AJ19" s="193"/>
      <c r="AK19" s="193"/>
      <c r="AL19" s="193"/>
      <c r="AM19" s="193"/>
      <c r="AN19" s="193"/>
      <c r="AO19" s="193"/>
      <c r="AP19" s="193"/>
      <c r="AQ19" s="193"/>
      <c r="AR19" s="193"/>
      <c r="AS19" s="193"/>
      <c r="AT19" s="193"/>
      <c r="AU19" s="193"/>
      <c r="AV19" s="193"/>
      <c r="AW19" s="193"/>
      <c r="AX19" s="193"/>
      <c r="AY19" s="193"/>
      <c r="AZ19" s="193"/>
      <c r="BA19" s="193"/>
    </row>
    <row r="20" spans="17:53">
      <c r="Q20" s="12"/>
      <c r="S20" s="20" t="str">
        <f>SiteE!S20</f>
        <v>Proposed Design</v>
      </c>
      <c r="U20" s="103">
        <f>IFERROR(IF(U$4="Yes",0,INDEX(Calculations!AC$114:AC$126,MATCH(Cost!$S20,Calculations!$A$9:$A$21,0))),0)</f>
        <v>0.10205148215797152</v>
      </c>
      <c r="V20" s="103">
        <f>IFERROR(IF(V$4="Yes",0,INDEX(Calculations!AD$114:AD$126,MATCH(Cost!$S20,Calculations!$A$9:$A$21,0))),0)</f>
        <v>0.38034522005947807</v>
      </c>
      <c r="W20" s="103">
        <f>IFERROR(IF(W$4="Yes",0,INDEX(Calculations!AE$114:AE$126,MATCH(Cost!$S20,Calculations!$A$9:$A$21,0))),0)</f>
        <v>0.40826950645095933</v>
      </c>
      <c r="X20" s="103">
        <f>IFERROR(IF(X$4="Yes",0,INDEX(Calculations!AF$114:AF$126,MATCH(Cost!$S20,Calculations!$A$9:$A$21,0))),0)</f>
        <v>0</v>
      </c>
      <c r="Y20" s="103">
        <f>IFERROR(IF(Y$4="Yes",0,INDEX(Calculations!AG$114:AG$126,MATCH(Cost!$S20,Calculations!$A$9:$A$21,0))),0)</f>
        <v>0.47936767326589358</v>
      </c>
      <c r="Z20" s="103">
        <f>IFERROR(IF(Z$4="Yes",0,INDEX(Calculations!AH$114:AH$126,MATCH(Cost!$S20,Calculations!$A$9:$A$21,0))),0)</f>
        <v>0</v>
      </c>
      <c r="AA20" s="103">
        <f>IFERROR(IF(AA$4="Yes",0,INDEX(Calculations!AI$114:AI$126,MATCH(Cost!$S20,Calculations!$A$9:$A$21,0))),0)</f>
        <v>0.4652965395231704</v>
      </c>
      <c r="AB20" s="103">
        <f>IFERROR(IF(AB$4="Yes",0,INDEX(Calculations!AJ$114:AJ$126,MATCH(Cost!$S20,Calculations!$A$9:$A$21,0))),0)</f>
        <v>0</v>
      </c>
      <c r="AC20" s="103">
        <f>IFERROR(IF(AC$4="Yes",0,INDEX(Calculations!AK$114:AK$126,MATCH(Cost!$S20,Calculations!$A$9:$A$21,0))),0)</f>
        <v>0</v>
      </c>
      <c r="AD20" s="103">
        <f>IFERROR(IF(AD$4="Yes",0,INDEX(Calculations!AL$114:AL$126,MATCH(Cost!$S20,Calculations!$A$9:$A$21,0))),0)</f>
        <v>0</v>
      </c>
      <c r="AE20" s="103">
        <f>IFERROR(IF(AE$4="Yes",0,INDEX(Calculations!AM$114:AM$126,MATCH(Cost!$S20,Calculations!$A$9:$A$21,0))),0)</f>
        <v>0</v>
      </c>
      <c r="AF20" s="103">
        <f>IFERROR(IF(AF$4="Yes",0,INDEX(Calculations!AN$114:AN$126,MATCH(Cost!$S20,Calculations!$A$9:$A$21,0))),0)</f>
        <v>0</v>
      </c>
      <c r="AG20" s="103">
        <f>IFERROR(IF(AG$4="Yes",0,INDEX(Calculations!AO$114:AO$126,MATCH(Cost!$S20,Calculations!$A$9:$A$21,0))),0)</f>
        <v>0</v>
      </c>
      <c r="AH20" s="103">
        <f>IFERROR(IF(AH$4="Yes",0,INDEX(Calculations!AP$114:AP$126,MATCH(Cost!$S20,Calculations!$A$9:$A$21,0))),0)</f>
        <v>0</v>
      </c>
      <c r="AI20" s="103">
        <f>IFERROR(IF(AI$4="Yes",0,INDEX(Calculations!AQ$114:AQ$126,MATCH(Cost!$S20,Calculations!$A$9:$A$21,0))),0)</f>
        <v>0</v>
      </c>
      <c r="AJ20" s="103">
        <f>IFERROR(IF(AJ$4="Yes",0,INDEX(Calculations!AR$114:AR$126,MATCH(Cost!$S20,Calculations!$A$9:$A$21,0))),0)</f>
        <v>0</v>
      </c>
      <c r="AK20" s="126">
        <f>IFERROR(SUM(U20:AI20)*'Project Info'!$D$28,0)</f>
        <v>0</v>
      </c>
      <c r="AL20" s="103">
        <f>IFERROR(INDEX(Calculations!BC$114:BC$126,MATCH(Cost!$S20,Calculations!$A$9:$A$21,0))*-1,0)</f>
        <v>0</v>
      </c>
      <c r="AM20" s="103">
        <f>IFERROR(INDEX(Calculations!BD$114:BD$126,MATCH(Cost!$S20,Calculations!$A$9:$A$21,0))*-1,0)</f>
        <v>0</v>
      </c>
      <c r="AN20" s="125">
        <f ca="1">IFERROR(SUM(OFFSET(Calculations!BE$114,MATCH($S20,Calculations!$A$9:$A$21,0)-1,0,1,4))*-1,0)</f>
        <v>0</v>
      </c>
      <c r="AO20" s="103">
        <f t="shared" ref="AO20:AO31" ca="1" si="3">SUM(U20:AN20)</f>
        <v>1.8353304214574728</v>
      </c>
      <c r="AP20" s="17"/>
      <c r="AQ20" s="4" t="str">
        <f>'Project Info'!D22</f>
        <v>NA</v>
      </c>
      <c r="AS20" s="4" t="e">
        <f>CONCATENATE(AQ20*100,"% LEED Target")</f>
        <v>#VALUE!</v>
      </c>
      <c r="AT20" s="103" t="e">
        <f>Calculations!BQ114*(1-AQ20)</f>
        <v>#VALUE!</v>
      </c>
      <c r="AU20" s="103" t="e">
        <f>AT20</f>
        <v>#VALUE!</v>
      </c>
      <c r="AW20" s="103">
        <f>IFERROR(INDEX(Calculations!BL$24:BL$36,MATCH($S20,Calculations!$A$24:$A$36,0)),0)</f>
        <v>50.503260840902435</v>
      </c>
      <c r="AX20" s="103">
        <f>IFERROR(INDEX(Calculations!BM$24:BM$36,MATCH($S20,Calculations!$A$24:$A$36,0)),0)</f>
        <v>0</v>
      </c>
      <c r="AY20" s="103">
        <f>IFERROR(INDEX(Calculations!BN$24:BN$36,MATCH($S20,Calculations!$A$24:$A$36,0)),0)</f>
        <v>0</v>
      </c>
      <c r="AZ20" s="103">
        <f>IFERROR(INDEX(Calculations!BO$24:BO$36,MATCH($S20,Calculations!$A$24:$A$36,0)),0)</f>
        <v>0</v>
      </c>
      <c r="BA20" s="103">
        <f>IFERROR(INDEX(Calculations!BP$24:BP$36,MATCH($S20,Calculations!$A$24:$A$36,0)),0)</f>
        <v>0</v>
      </c>
    </row>
    <row r="21" spans="17:53">
      <c r="Q21" s="12"/>
      <c r="S21" s="20" t="str">
        <f>SiteE!S21</f>
        <v xml:space="preserve"> </v>
      </c>
      <c r="U21" s="103">
        <f>IFERROR(IF(U$4="Yes",0,INDEX(Calculations!AC$114:AC$126,MATCH(Cost!$S21,Calculations!$A$9:$A$21,0))),0)</f>
        <v>0</v>
      </c>
      <c r="V21" s="103">
        <f>IFERROR(IF(V$4="Yes",0,INDEX(Calculations!AD$114:AD$126,MATCH(Cost!$S21,Calculations!$A$9:$A$21,0))),0)</f>
        <v>0</v>
      </c>
      <c r="W21" s="103">
        <f>IFERROR(IF(W$4="Yes",0,INDEX(Calculations!AE$114:AE$126,MATCH(Cost!$S21,Calculations!$A$9:$A$21,0))),0)</f>
        <v>0</v>
      </c>
      <c r="X21" s="103">
        <f>IFERROR(IF(X$4="Yes",0,INDEX(Calculations!AF$114:AF$126,MATCH(Cost!$S21,Calculations!$A$9:$A$21,0))),0)</f>
        <v>0</v>
      </c>
      <c r="Y21" s="103">
        <f>IFERROR(IF(Y$4="Yes",0,INDEX(Calculations!AG$114:AG$126,MATCH(Cost!$S21,Calculations!$A$9:$A$21,0))),0)</f>
        <v>0</v>
      </c>
      <c r="Z21" s="103">
        <f>IFERROR(IF(Z$4="Yes",0,INDEX(Calculations!AH$114:AH$126,MATCH(Cost!$S21,Calculations!$A$9:$A$21,0))),0)</f>
        <v>0</v>
      </c>
      <c r="AA21" s="103">
        <f>IFERROR(IF(AA$4="Yes",0,INDEX(Calculations!AI$114:AI$126,MATCH(Cost!$S21,Calculations!$A$9:$A$21,0))),0)</f>
        <v>0</v>
      </c>
      <c r="AB21" s="103">
        <f>IFERROR(IF(AB$4="Yes",0,INDEX(Calculations!AJ$114:AJ$126,MATCH(Cost!$S21,Calculations!$A$9:$A$21,0))),0)</f>
        <v>0</v>
      </c>
      <c r="AC21" s="103">
        <f>IFERROR(IF(AC$4="Yes",0,INDEX(Calculations!AK$114:AK$126,MATCH(Cost!$S21,Calculations!$A$9:$A$21,0))),0)</f>
        <v>0</v>
      </c>
      <c r="AD21" s="103">
        <f>IFERROR(IF(AD$4="Yes",0,INDEX(Calculations!AL$114:AL$126,MATCH(Cost!$S21,Calculations!$A$9:$A$21,0))),0)</f>
        <v>0</v>
      </c>
      <c r="AE21" s="103">
        <f>IFERROR(IF(AE$4="Yes",0,INDEX(Calculations!AM$114:AM$126,MATCH(Cost!$S21,Calculations!$A$9:$A$21,0))),0)</f>
        <v>0</v>
      </c>
      <c r="AF21" s="103">
        <f>IFERROR(IF(AF$4="Yes",0,INDEX(Calculations!AN$114:AN$126,MATCH(Cost!$S21,Calculations!$A$9:$A$21,0))),0)</f>
        <v>0</v>
      </c>
      <c r="AG21" s="103">
        <f>IFERROR(IF(AG$4="Yes",0,INDEX(Calculations!AO$114:AO$126,MATCH(Cost!$S21,Calculations!$A$9:$A$21,0))),0)</f>
        <v>0</v>
      </c>
      <c r="AH21" s="103">
        <f>IFERROR(IF(AH$4="Yes",0,INDEX(Calculations!AP$114:AP$126,MATCH(Cost!$S21,Calculations!$A$9:$A$21,0))),0)</f>
        <v>0</v>
      </c>
      <c r="AI21" s="103">
        <f>IFERROR(IF(AI$4="Yes",0,INDEX(Calculations!AQ$114:AQ$126,MATCH(Cost!$S21,Calculations!$A$9:$A$21,0))),0)</f>
        <v>0</v>
      </c>
      <c r="AJ21" s="103">
        <f>IFERROR(IF(AJ$4="Yes",0,INDEX(Calculations!AR$114:AR$126,MATCH(Cost!$S21,Calculations!$A$9:$A$21,0))),0)</f>
        <v>0</v>
      </c>
      <c r="AK21" s="126">
        <f>IFERROR(SUM(U21:AI21)*'Project Info'!$D$28,0)</f>
        <v>0</v>
      </c>
      <c r="AL21" s="103">
        <f>IFERROR(INDEX(Calculations!BC$114:BC$126,MATCH(Cost!$S21,Calculations!$A$9:$A$21,0))*-1,0)</f>
        <v>0</v>
      </c>
      <c r="AM21" s="103">
        <f>IFERROR(INDEX(Calculations!BD$114:BD$126,MATCH(Cost!$S21,Calculations!$A$9:$A$21,0))*-1,0)</f>
        <v>0</v>
      </c>
      <c r="AN21" s="125">
        <f ca="1">IFERROR(SUM(OFFSET(Calculations!BE$114,MATCH($S21,Calculations!$A$9:$A$21,0)-1,0,1,4))*-1,0)</f>
        <v>0</v>
      </c>
      <c r="AO21" s="103">
        <f t="shared" ca="1" si="3"/>
        <v>0</v>
      </c>
      <c r="AP21" s="17"/>
      <c r="AQ21" s="4" t="str">
        <f>'Project Info'!E22</f>
        <v>NA</v>
      </c>
      <c r="AS21" s="4" t="e">
        <f>CONCATENATE(AQ21*100,"% Code Target")</f>
        <v>#VALUE!</v>
      </c>
      <c r="AT21" s="103" t="e">
        <f>Calculations!BQ115*(1-AQ21)</f>
        <v>#VALUE!</v>
      </c>
      <c r="AU21" s="103" t="e">
        <f>AT21</f>
        <v>#VALUE!</v>
      </c>
      <c r="AW21" s="103">
        <f>IFERROR(INDEX(Calculations!BL$24:BL$36,MATCH($S21,Calculations!$A$24:$A$36,0)),0)</f>
        <v>0</v>
      </c>
      <c r="AX21" s="103">
        <f>IFERROR(INDEX(Calculations!BM$24:BM$36,MATCH($S21,Calculations!$A$24:$A$36,0)),0)</f>
        <v>0</v>
      </c>
      <c r="AY21" s="103">
        <f>IFERROR(INDEX(Calculations!BN$24:BN$36,MATCH($S21,Calculations!$A$24:$A$36,0)),0)</f>
        <v>0</v>
      </c>
      <c r="AZ21" s="103">
        <f>IFERROR(INDEX(Calculations!BO$24:BO$36,MATCH($S21,Calculations!$A$24:$A$36,0)),0)</f>
        <v>0</v>
      </c>
      <c r="BA21" s="103">
        <f>IFERROR(INDEX(Calculations!BP$24:BP$36,MATCH($S21,Calculations!$A$24:$A$36,0)),0)</f>
        <v>0</v>
      </c>
    </row>
    <row r="22" spans="17:53">
      <c r="Q22" s="12"/>
      <c r="S22" s="20" t="str">
        <f>SiteE!S22</f>
        <v xml:space="preserve"> </v>
      </c>
      <c r="U22" s="103">
        <f>IFERROR(IF(U$4="Yes",0,INDEX(Calculations!AC$114:AC$126,MATCH(Cost!$S22,Calculations!$A$9:$A$21,0))),0)</f>
        <v>0</v>
      </c>
      <c r="V22" s="103">
        <f>IFERROR(IF(V$4="Yes",0,INDEX(Calculations!AD$114:AD$126,MATCH(Cost!$S22,Calculations!$A$9:$A$21,0))),0)</f>
        <v>0</v>
      </c>
      <c r="W22" s="103">
        <f>IFERROR(IF(W$4="Yes",0,INDEX(Calculations!AE$114:AE$126,MATCH(Cost!$S22,Calculations!$A$9:$A$21,0))),0)</f>
        <v>0</v>
      </c>
      <c r="X22" s="103">
        <f>IFERROR(IF(X$4="Yes",0,INDEX(Calculations!AF$114:AF$126,MATCH(Cost!$S22,Calculations!$A$9:$A$21,0))),0)</f>
        <v>0</v>
      </c>
      <c r="Y22" s="103">
        <f>IFERROR(IF(Y$4="Yes",0,INDEX(Calculations!AG$114:AG$126,MATCH(Cost!$S22,Calculations!$A$9:$A$21,0))),0)</f>
        <v>0</v>
      </c>
      <c r="Z22" s="103">
        <f>IFERROR(IF(Z$4="Yes",0,INDEX(Calculations!AH$114:AH$126,MATCH(Cost!$S22,Calculations!$A$9:$A$21,0))),0)</f>
        <v>0</v>
      </c>
      <c r="AA22" s="103">
        <f>IFERROR(IF(AA$4="Yes",0,INDEX(Calculations!AI$114:AI$126,MATCH(Cost!$S22,Calculations!$A$9:$A$21,0))),0)</f>
        <v>0</v>
      </c>
      <c r="AB22" s="103">
        <f>IFERROR(IF(AB$4="Yes",0,INDEX(Calculations!AJ$114:AJ$126,MATCH(Cost!$S22,Calculations!$A$9:$A$21,0))),0)</f>
        <v>0</v>
      </c>
      <c r="AC22" s="103">
        <f>IFERROR(IF(AC$4="Yes",0,INDEX(Calculations!AK$114:AK$126,MATCH(Cost!$S22,Calculations!$A$9:$A$21,0))),0)</f>
        <v>0</v>
      </c>
      <c r="AD22" s="103">
        <f>IFERROR(IF(AD$4="Yes",0,INDEX(Calculations!AL$114:AL$126,MATCH(Cost!$S22,Calculations!$A$9:$A$21,0))),0)</f>
        <v>0</v>
      </c>
      <c r="AE22" s="103">
        <f>IFERROR(IF(AE$4="Yes",0,INDEX(Calculations!AM$114:AM$126,MATCH(Cost!$S22,Calculations!$A$9:$A$21,0))),0)</f>
        <v>0</v>
      </c>
      <c r="AF22" s="103">
        <f>IFERROR(IF(AF$4="Yes",0,INDEX(Calculations!AN$114:AN$126,MATCH(Cost!$S22,Calculations!$A$9:$A$21,0))),0)</f>
        <v>0</v>
      </c>
      <c r="AG22" s="103">
        <f>IFERROR(IF(AG$4="Yes",0,INDEX(Calculations!AO$114:AO$126,MATCH(Cost!$S22,Calculations!$A$9:$A$21,0))),0)</f>
        <v>0</v>
      </c>
      <c r="AH22" s="103">
        <f>IFERROR(IF(AH$4="Yes",0,INDEX(Calculations!AP$114:AP$126,MATCH(Cost!$S22,Calculations!$A$9:$A$21,0))),0)</f>
        <v>0</v>
      </c>
      <c r="AI22" s="103">
        <f>IFERROR(IF(AI$4="Yes",0,INDEX(Calculations!AQ$114:AQ$126,MATCH(Cost!$S22,Calculations!$A$9:$A$21,0))),0)</f>
        <v>0</v>
      </c>
      <c r="AJ22" s="103">
        <f>IFERROR(IF(AJ$4="Yes",0,INDEX(Calculations!AR$114:AR$126,MATCH(Cost!$S22,Calculations!$A$9:$A$21,0))),0)</f>
        <v>0</v>
      </c>
      <c r="AK22" s="126">
        <f>IFERROR(SUM(U22:AI22)*'Project Info'!$D$28,0)</f>
        <v>0</v>
      </c>
      <c r="AL22" s="103">
        <f>IFERROR(INDEX(Calculations!BC$114:BC$126,MATCH(Cost!$S22,Calculations!$A$9:$A$21,0))*-1,0)</f>
        <v>0</v>
      </c>
      <c r="AM22" s="103">
        <f>IFERROR(INDEX(Calculations!BD$114:BD$126,MATCH(Cost!$S22,Calculations!$A$9:$A$21,0))*-1,0)</f>
        <v>0</v>
      </c>
      <c r="AN22" s="125">
        <f ca="1">IFERROR(SUM(OFFSET(Calculations!BE$114,MATCH($S22,Calculations!$A$9:$A$21,0)-1,0,1,4))*-1,0)</f>
        <v>0</v>
      </c>
      <c r="AO22" s="103">
        <f t="shared" ca="1" si="3"/>
        <v>0</v>
      </c>
      <c r="AP22" s="17"/>
      <c r="AQ22" s="4"/>
      <c r="AW22" s="103">
        <f>IFERROR(INDEX(Calculations!BL$24:BL$36,MATCH($S22,Calculations!$A$24:$A$36,0)),0)</f>
        <v>0</v>
      </c>
      <c r="AX22" s="103">
        <f>IFERROR(INDEX(Calculations!BM$24:BM$36,MATCH($S22,Calculations!$A$24:$A$36,0)),0)</f>
        <v>0</v>
      </c>
      <c r="AY22" s="103">
        <f>IFERROR(INDEX(Calculations!BN$24:BN$36,MATCH($S22,Calculations!$A$24:$A$36,0)),0)</f>
        <v>0</v>
      </c>
      <c r="AZ22" s="103">
        <f>IFERROR(INDEX(Calculations!BO$24:BO$36,MATCH($S22,Calculations!$A$24:$A$36,0)),0)</f>
        <v>0</v>
      </c>
      <c r="BA22" s="103">
        <f>IFERROR(INDEX(Calculations!BP$24:BP$36,MATCH($S22,Calculations!$A$24:$A$36,0)),0)</f>
        <v>0</v>
      </c>
    </row>
    <row r="23" spans="17:53">
      <c r="Q23" s="12"/>
      <c r="S23" s="20" t="str">
        <f>SiteE!S23</f>
        <v xml:space="preserve"> </v>
      </c>
      <c r="U23" s="103">
        <f>IFERROR(IF(U$4="Yes",0,INDEX(Calculations!AC$114:AC$126,MATCH(Cost!$S23,Calculations!$A$9:$A$21,0))),0)</f>
        <v>0</v>
      </c>
      <c r="V23" s="103">
        <f>IFERROR(IF(V$4="Yes",0,INDEX(Calculations!AD$114:AD$126,MATCH(Cost!$S23,Calculations!$A$9:$A$21,0))),0)</f>
        <v>0</v>
      </c>
      <c r="W23" s="103">
        <f>IFERROR(IF(W$4="Yes",0,INDEX(Calculations!AE$114:AE$126,MATCH(Cost!$S23,Calculations!$A$9:$A$21,0))),0)</f>
        <v>0</v>
      </c>
      <c r="X23" s="103">
        <f>IFERROR(IF(X$4="Yes",0,INDEX(Calculations!AF$114:AF$126,MATCH(Cost!$S23,Calculations!$A$9:$A$21,0))),0)</f>
        <v>0</v>
      </c>
      <c r="Y23" s="103">
        <f>IFERROR(IF(Y$4="Yes",0,INDEX(Calculations!AG$114:AG$126,MATCH(Cost!$S23,Calculations!$A$9:$A$21,0))),0)</f>
        <v>0</v>
      </c>
      <c r="Z23" s="103">
        <f>IFERROR(IF(Z$4="Yes",0,INDEX(Calculations!AH$114:AH$126,MATCH(Cost!$S23,Calculations!$A$9:$A$21,0))),0)</f>
        <v>0</v>
      </c>
      <c r="AA23" s="103">
        <f>IFERROR(IF(AA$4="Yes",0,INDEX(Calculations!AI$114:AI$126,MATCH(Cost!$S23,Calculations!$A$9:$A$21,0))),0)</f>
        <v>0</v>
      </c>
      <c r="AB23" s="103">
        <f>IFERROR(IF(AB$4="Yes",0,INDEX(Calculations!AJ$114:AJ$126,MATCH(Cost!$S23,Calculations!$A$9:$A$21,0))),0)</f>
        <v>0</v>
      </c>
      <c r="AC23" s="103">
        <f>IFERROR(IF(AC$4="Yes",0,INDEX(Calculations!AK$114:AK$126,MATCH(Cost!$S23,Calculations!$A$9:$A$21,0))),0)</f>
        <v>0</v>
      </c>
      <c r="AD23" s="103">
        <f>IFERROR(IF(AD$4="Yes",0,INDEX(Calculations!AL$114:AL$126,MATCH(Cost!$S23,Calculations!$A$9:$A$21,0))),0)</f>
        <v>0</v>
      </c>
      <c r="AE23" s="103">
        <f>IFERROR(IF(AE$4="Yes",0,INDEX(Calculations!AM$114:AM$126,MATCH(Cost!$S23,Calculations!$A$9:$A$21,0))),0)</f>
        <v>0</v>
      </c>
      <c r="AF23" s="103">
        <f>IFERROR(IF(AF$4="Yes",0,INDEX(Calculations!AN$114:AN$126,MATCH(Cost!$S23,Calculations!$A$9:$A$21,0))),0)</f>
        <v>0</v>
      </c>
      <c r="AG23" s="103">
        <f>IFERROR(IF(AG$4="Yes",0,INDEX(Calculations!AO$114:AO$126,MATCH(Cost!$S23,Calculations!$A$9:$A$21,0))),0)</f>
        <v>0</v>
      </c>
      <c r="AH23" s="103">
        <f>IFERROR(IF(AH$4="Yes",0,INDEX(Calculations!AP$114:AP$126,MATCH(Cost!$S23,Calculations!$A$9:$A$21,0))),0)</f>
        <v>0</v>
      </c>
      <c r="AI23" s="103">
        <f>IFERROR(IF(AI$4="Yes",0,INDEX(Calculations!AQ$114:AQ$126,MATCH(Cost!$S23,Calculations!$A$9:$A$21,0))),0)</f>
        <v>0</v>
      </c>
      <c r="AJ23" s="103">
        <f>IFERROR(IF(AJ$4="Yes",0,INDEX(Calculations!AR$114:AR$126,MATCH(Cost!$S23,Calculations!$A$9:$A$21,0))),0)</f>
        <v>0</v>
      </c>
      <c r="AK23" s="126">
        <f>IFERROR(SUM(U23:AI23)*'Project Info'!$D$28,0)</f>
        <v>0</v>
      </c>
      <c r="AL23" s="103">
        <f>IFERROR(INDEX(Calculations!BC$114:BC$126,MATCH(Cost!$S23,Calculations!$A$9:$A$21,0))*-1,0)</f>
        <v>0</v>
      </c>
      <c r="AM23" s="103">
        <f>IFERROR(INDEX(Calculations!BD$114:BD$126,MATCH(Cost!$S23,Calculations!$A$9:$A$21,0))*-1,0)</f>
        <v>0</v>
      </c>
      <c r="AN23" s="125">
        <f ca="1">IFERROR(SUM(OFFSET(Calculations!BE$114,MATCH($S23,Calculations!$A$9:$A$21,0)-1,0,1,4))*-1,0)</f>
        <v>0</v>
      </c>
      <c r="AO23" s="103">
        <f t="shared" ca="1" si="3"/>
        <v>0</v>
      </c>
      <c r="AP23" s="17"/>
      <c r="AQ23" s="4"/>
      <c r="AW23" s="103">
        <f>IFERROR(INDEX(Calculations!BL$24:BL$36,MATCH($S23,Calculations!$A$24:$A$36,0)),0)</f>
        <v>0</v>
      </c>
      <c r="AX23" s="103">
        <f>IFERROR(INDEX(Calculations!BM$24:BM$36,MATCH($S23,Calculations!$A$24:$A$36,0)),0)</f>
        <v>0</v>
      </c>
      <c r="AY23" s="103">
        <f>IFERROR(INDEX(Calculations!BN$24:BN$36,MATCH($S23,Calculations!$A$24:$A$36,0)),0)</f>
        <v>0</v>
      </c>
      <c r="AZ23" s="103">
        <f>IFERROR(INDEX(Calculations!BO$24:BO$36,MATCH($S23,Calculations!$A$24:$A$36,0)),0)</f>
        <v>0</v>
      </c>
      <c r="BA23" s="103">
        <f>IFERROR(INDEX(Calculations!BP$24:BP$36,MATCH($S23,Calculations!$A$24:$A$36,0)),0)</f>
        <v>0</v>
      </c>
    </row>
    <row r="24" spans="17:53">
      <c r="Q24" s="12"/>
      <c r="S24" s="20" t="str">
        <f>SiteE!S24</f>
        <v xml:space="preserve"> </v>
      </c>
      <c r="U24" s="103">
        <f>IFERROR(IF(U$4="Yes",0,INDEX(Calculations!AC$114:AC$126,MATCH(Cost!$S24,Calculations!$A$9:$A$21,0))),0)</f>
        <v>0</v>
      </c>
      <c r="V24" s="103">
        <f>IFERROR(IF(V$4="Yes",0,INDEX(Calculations!AD$114:AD$126,MATCH(Cost!$S24,Calculations!$A$9:$A$21,0))),0)</f>
        <v>0</v>
      </c>
      <c r="W24" s="103">
        <f>IFERROR(IF(W$4="Yes",0,INDEX(Calculations!AE$114:AE$126,MATCH(Cost!$S24,Calculations!$A$9:$A$21,0))),0)</f>
        <v>0</v>
      </c>
      <c r="X24" s="103">
        <f>IFERROR(IF(X$4="Yes",0,INDEX(Calculations!AF$114:AF$126,MATCH(Cost!$S24,Calculations!$A$9:$A$21,0))),0)</f>
        <v>0</v>
      </c>
      <c r="Y24" s="103">
        <f>IFERROR(IF(Y$4="Yes",0,INDEX(Calculations!AG$114:AG$126,MATCH(Cost!$S24,Calculations!$A$9:$A$21,0))),0)</f>
        <v>0</v>
      </c>
      <c r="Z24" s="103">
        <f>IFERROR(IF(Z$4="Yes",0,INDEX(Calculations!AH$114:AH$126,MATCH(Cost!$S24,Calculations!$A$9:$A$21,0))),0)</f>
        <v>0</v>
      </c>
      <c r="AA24" s="103">
        <f>IFERROR(IF(AA$4="Yes",0,INDEX(Calculations!AI$114:AI$126,MATCH(Cost!$S24,Calculations!$A$9:$A$21,0))),0)</f>
        <v>0</v>
      </c>
      <c r="AB24" s="103">
        <f>IFERROR(IF(AB$4="Yes",0,INDEX(Calculations!AJ$114:AJ$126,MATCH(Cost!$S24,Calculations!$A$9:$A$21,0))),0)</f>
        <v>0</v>
      </c>
      <c r="AC24" s="103">
        <f>IFERROR(IF(AC$4="Yes",0,INDEX(Calculations!AK$114:AK$126,MATCH(Cost!$S24,Calculations!$A$9:$A$21,0))),0)</f>
        <v>0</v>
      </c>
      <c r="AD24" s="103">
        <f>IFERROR(IF(AD$4="Yes",0,INDEX(Calculations!AL$114:AL$126,MATCH(Cost!$S24,Calculations!$A$9:$A$21,0))),0)</f>
        <v>0</v>
      </c>
      <c r="AE24" s="103">
        <f>IFERROR(IF(AE$4="Yes",0,INDEX(Calculations!AM$114:AM$126,MATCH(Cost!$S24,Calculations!$A$9:$A$21,0))),0)</f>
        <v>0</v>
      </c>
      <c r="AF24" s="103">
        <f>IFERROR(IF(AF$4="Yes",0,INDEX(Calculations!AN$114:AN$126,MATCH(Cost!$S24,Calculations!$A$9:$A$21,0))),0)</f>
        <v>0</v>
      </c>
      <c r="AG24" s="103">
        <f>IFERROR(IF(AG$4="Yes",0,INDEX(Calculations!AO$114:AO$126,MATCH(Cost!$S24,Calculations!$A$9:$A$21,0))),0)</f>
        <v>0</v>
      </c>
      <c r="AH24" s="103">
        <f>IFERROR(IF(AH$4="Yes",0,INDEX(Calculations!AP$114:AP$126,MATCH(Cost!$S24,Calculations!$A$9:$A$21,0))),0)</f>
        <v>0</v>
      </c>
      <c r="AI24" s="103">
        <f>IFERROR(IF(AI$4="Yes",0,INDEX(Calculations!AQ$114:AQ$126,MATCH(Cost!$S24,Calculations!$A$9:$A$21,0))),0)</f>
        <v>0</v>
      </c>
      <c r="AJ24" s="103">
        <f>IFERROR(IF(AJ$4="Yes",0,INDEX(Calculations!AR$114:AR$126,MATCH(Cost!$S24,Calculations!$A$9:$A$21,0))),0)</f>
        <v>0</v>
      </c>
      <c r="AK24" s="126">
        <f>IFERROR(SUM(U24:AI24)*'Project Info'!$D$28,0)</f>
        <v>0</v>
      </c>
      <c r="AL24" s="103">
        <f>IFERROR(INDEX(Calculations!BC$114:BC$126,MATCH(Cost!$S24,Calculations!$A$9:$A$21,0))*-1,0)</f>
        <v>0</v>
      </c>
      <c r="AM24" s="103">
        <f>IFERROR(INDEX(Calculations!BD$114:BD$126,MATCH(Cost!$S24,Calculations!$A$9:$A$21,0))*-1,0)</f>
        <v>0</v>
      </c>
      <c r="AN24" s="125">
        <f ca="1">IFERROR(SUM(OFFSET(Calculations!BE$114,MATCH($S24,Calculations!$A$9:$A$21,0)-1,0,1,4))*-1,0)</f>
        <v>0</v>
      </c>
      <c r="AO24" s="103">
        <f t="shared" ca="1" si="3"/>
        <v>0</v>
      </c>
      <c r="AP24" s="17"/>
      <c r="AQ24" s="4"/>
      <c r="AW24" s="103">
        <f>IFERROR(INDEX(Calculations!BL$24:BL$36,MATCH($S24,Calculations!$A$24:$A$36,0)),0)</f>
        <v>0</v>
      </c>
      <c r="AX24" s="103">
        <f>IFERROR(INDEX(Calculations!BM$24:BM$36,MATCH($S24,Calculations!$A$24:$A$36,0)),0)</f>
        <v>0</v>
      </c>
      <c r="AY24" s="103">
        <f>IFERROR(INDEX(Calculations!BN$24:BN$36,MATCH($S24,Calculations!$A$24:$A$36,0)),0)</f>
        <v>0</v>
      </c>
      <c r="AZ24" s="103">
        <f>IFERROR(INDEX(Calculations!BO$24:BO$36,MATCH($S24,Calculations!$A$24:$A$36,0)),0)</f>
        <v>0</v>
      </c>
      <c r="BA24" s="103">
        <f>IFERROR(INDEX(Calculations!BP$24:BP$36,MATCH($S24,Calculations!$A$24:$A$36,0)),0)</f>
        <v>0</v>
      </c>
    </row>
    <row r="25" spans="17:53">
      <c r="Q25" s="12"/>
      <c r="S25" s="20" t="str">
        <f>SiteE!S25</f>
        <v xml:space="preserve"> </v>
      </c>
      <c r="U25" s="103">
        <f>IFERROR(IF(U$4="Yes",0,INDEX(Calculations!AC$114:AC$126,MATCH(Cost!$S25,Calculations!$A$9:$A$21,0))),0)</f>
        <v>0</v>
      </c>
      <c r="V25" s="103">
        <f>IFERROR(IF(V$4="Yes",0,INDEX(Calculations!AD$114:AD$126,MATCH(Cost!$S25,Calculations!$A$9:$A$21,0))),0)</f>
        <v>0</v>
      </c>
      <c r="W25" s="103">
        <f>IFERROR(IF(W$4="Yes",0,INDEX(Calculations!AE$114:AE$126,MATCH(Cost!$S25,Calculations!$A$9:$A$21,0))),0)</f>
        <v>0</v>
      </c>
      <c r="X25" s="103">
        <f>IFERROR(IF(X$4="Yes",0,INDEX(Calculations!AF$114:AF$126,MATCH(Cost!$S25,Calculations!$A$9:$A$21,0))),0)</f>
        <v>0</v>
      </c>
      <c r="Y25" s="103">
        <f>IFERROR(IF(Y$4="Yes",0,INDEX(Calculations!AG$114:AG$126,MATCH(Cost!$S25,Calculations!$A$9:$A$21,0))),0)</f>
        <v>0</v>
      </c>
      <c r="Z25" s="103">
        <f>IFERROR(IF(Z$4="Yes",0,INDEX(Calculations!AH$114:AH$126,MATCH(Cost!$S25,Calculations!$A$9:$A$21,0))),0)</f>
        <v>0</v>
      </c>
      <c r="AA25" s="103">
        <f>IFERROR(IF(AA$4="Yes",0,INDEX(Calculations!AI$114:AI$126,MATCH(Cost!$S25,Calculations!$A$9:$A$21,0))),0)</f>
        <v>0</v>
      </c>
      <c r="AB25" s="103">
        <f>IFERROR(IF(AB$4="Yes",0,INDEX(Calculations!AJ$114:AJ$126,MATCH(Cost!$S25,Calculations!$A$9:$A$21,0))),0)</f>
        <v>0</v>
      </c>
      <c r="AC25" s="103">
        <f>IFERROR(IF(AC$4="Yes",0,INDEX(Calculations!AK$114:AK$126,MATCH(Cost!$S25,Calculations!$A$9:$A$21,0))),0)</f>
        <v>0</v>
      </c>
      <c r="AD25" s="103">
        <f>IFERROR(IF(AD$4="Yes",0,INDEX(Calculations!AL$114:AL$126,MATCH(Cost!$S25,Calculations!$A$9:$A$21,0))),0)</f>
        <v>0</v>
      </c>
      <c r="AE25" s="103">
        <f>IFERROR(IF(AE$4="Yes",0,INDEX(Calculations!AM$114:AM$126,MATCH(Cost!$S25,Calculations!$A$9:$A$21,0))),0)</f>
        <v>0</v>
      </c>
      <c r="AF25" s="103">
        <f>IFERROR(IF(AF$4="Yes",0,INDEX(Calculations!AN$114:AN$126,MATCH(Cost!$S25,Calculations!$A$9:$A$21,0))),0)</f>
        <v>0</v>
      </c>
      <c r="AG25" s="103">
        <f>IFERROR(IF(AG$4="Yes",0,INDEX(Calculations!AO$114:AO$126,MATCH(Cost!$S25,Calculations!$A$9:$A$21,0))),0)</f>
        <v>0</v>
      </c>
      <c r="AH25" s="103">
        <f>IFERROR(IF(AH$4="Yes",0,INDEX(Calculations!AP$114:AP$126,MATCH(Cost!$S25,Calculations!$A$9:$A$21,0))),0)</f>
        <v>0</v>
      </c>
      <c r="AI25" s="103">
        <f>IFERROR(IF(AI$4="Yes",0,INDEX(Calculations!AQ$114:AQ$126,MATCH(Cost!$S25,Calculations!$A$9:$A$21,0))),0)</f>
        <v>0</v>
      </c>
      <c r="AJ25" s="103">
        <f>IFERROR(IF(AJ$4="Yes",0,INDEX(Calculations!AR$114:AR$126,MATCH(Cost!$S25,Calculations!$A$9:$A$21,0))),0)</f>
        <v>0</v>
      </c>
      <c r="AK25" s="126">
        <f>IFERROR(SUM(U25:AI25)*'Project Info'!$D$28,0)</f>
        <v>0</v>
      </c>
      <c r="AL25" s="103">
        <f>IFERROR(INDEX(Calculations!BC$114:BC$126,MATCH(Cost!$S25,Calculations!$A$9:$A$21,0))*-1,0)</f>
        <v>0</v>
      </c>
      <c r="AM25" s="103">
        <f>IFERROR(INDEX(Calculations!BD$114:BD$126,MATCH(Cost!$S25,Calculations!$A$9:$A$21,0))*-1,0)</f>
        <v>0</v>
      </c>
      <c r="AN25" s="125">
        <f ca="1">IFERROR(SUM(OFFSET(Calculations!BE$114,MATCH($S25,Calculations!$A$9:$A$21,0)-1,0,1,4))*-1,0)</f>
        <v>0</v>
      </c>
      <c r="AO25" s="103">
        <f t="shared" ca="1" si="3"/>
        <v>0</v>
      </c>
      <c r="AP25" s="17"/>
      <c r="AQ25" s="4"/>
      <c r="AW25" s="103">
        <f>IFERROR(INDEX(Calculations!BL$24:BL$36,MATCH($S25,Calculations!$A$24:$A$36,0)),0)</f>
        <v>0</v>
      </c>
      <c r="AX25" s="103">
        <f>IFERROR(INDEX(Calculations!BM$24:BM$36,MATCH($S25,Calculations!$A$24:$A$36,0)),0)</f>
        <v>0</v>
      </c>
      <c r="AY25" s="103">
        <f>IFERROR(INDEX(Calculations!BN$24:BN$36,MATCH($S25,Calculations!$A$24:$A$36,0)),0)</f>
        <v>0</v>
      </c>
      <c r="AZ25" s="103">
        <f>IFERROR(INDEX(Calculations!BO$24:BO$36,MATCH($S25,Calculations!$A$24:$A$36,0)),0)</f>
        <v>0</v>
      </c>
      <c r="BA25" s="103">
        <f>IFERROR(INDEX(Calculations!BP$24:BP$36,MATCH($S25,Calculations!$A$24:$A$36,0)),0)</f>
        <v>0</v>
      </c>
    </row>
    <row r="26" spans="17:53">
      <c r="Q26" s="12"/>
      <c r="S26" s="20" t="str">
        <f>SiteE!S26</f>
        <v xml:space="preserve"> </v>
      </c>
      <c r="U26" s="103">
        <f>IFERROR(IF(U$4="Yes",0,INDEX(Calculations!AC$114:AC$126,MATCH(Cost!$S26,Calculations!$A$9:$A$21,0))),0)</f>
        <v>0</v>
      </c>
      <c r="V26" s="103">
        <f>IFERROR(IF(V$4="Yes",0,INDEX(Calculations!AD$114:AD$126,MATCH(Cost!$S26,Calculations!$A$9:$A$21,0))),0)</f>
        <v>0</v>
      </c>
      <c r="W26" s="103">
        <f>IFERROR(IF(W$4="Yes",0,INDEX(Calculations!AE$114:AE$126,MATCH(Cost!$S26,Calculations!$A$9:$A$21,0))),0)</f>
        <v>0</v>
      </c>
      <c r="X26" s="103">
        <f>IFERROR(IF(X$4="Yes",0,INDEX(Calculations!AF$114:AF$126,MATCH(Cost!$S26,Calculations!$A$9:$A$21,0))),0)</f>
        <v>0</v>
      </c>
      <c r="Y26" s="103">
        <f>IFERROR(IF(Y$4="Yes",0,INDEX(Calculations!AG$114:AG$126,MATCH(Cost!$S26,Calculations!$A$9:$A$21,0))),0)</f>
        <v>0</v>
      </c>
      <c r="Z26" s="103">
        <f>IFERROR(IF(Z$4="Yes",0,INDEX(Calculations!AH$114:AH$126,MATCH(Cost!$S26,Calculations!$A$9:$A$21,0))),0)</f>
        <v>0</v>
      </c>
      <c r="AA26" s="103">
        <f>IFERROR(IF(AA$4="Yes",0,INDEX(Calculations!AI$114:AI$126,MATCH(Cost!$S26,Calculations!$A$9:$A$21,0))),0)</f>
        <v>0</v>
      </c>
      <c r="AB26" s="103">
        <f>IFERROR(IF(AB$4="Yes",0,INDEX(Calculations!AJ$114:AJ$126,MATCH(Cost!$S26,Calculations!$A$9:$A$21,0))),0)</f>
        <v>0</v>
      </c>
      <c r="AC26" s="103">
        <f>IFERROR(IF(AC$4="Yes",0,INDEX(Calculations!AK$114:AK$126,MATCH(Cost!$S26,Calculations!$A$9:$A$21,0))),0)</f>
        <v>0</v>
      </c>
      <c r="AD26" s="103">
        <f>IFERROR(IF(AD$4="Yes",0,INDEX(Calculations!AL$114:AL$126,MATCH(Cost!$S26,Calculations!$A$9:$A$21,0))),0)</f>
        <v>0</v>
      </c>
      <c r="AE26" s="103">
        <f>IFERROR(IF(AE$4="Yes",0,INDEX(Calculations!AM$114:AM$126,MATCH(Cost!$S26,Calculations!$A$9:$A$21,0))),0)</f>
        <v>0</v>
      </c>
      <c r="AF26" s="103">
        <f>IFERROR(IF(AF$4="Yes",0,INDEX(Calculations!AN$114:AN$126,MATCH(Cost!$S26,Calculations!$A$9:$A$21,0))),0)</f>
        <v>0</v>
      </c>
      <c r="AG26" s="103">
        <f>IFERROR(IF(AG$4="Yes",0,INDEX(Calculations!AO$114:AO$126,MATCH(Cost!$S26,Calculations!$A$9:$A$21,0))),0)</f>
        <v>0</v>
      </c>
      <c r="AH26" s="103">
        <f>IFERROR(IF(AH$4="Yes",0,INDEX(Calculations!AP$114:AP$126,MATCH(Cost!$S26,Calculations!$A$9:$A$21,0))),0)</f>
        <v>0</v>
      </c>
      <c r="AI26" s="103">
        <f>IFERROR(IF(AI$4="Yes",0,INDEX(Calculations!AQ$114:AQ$126,MATCH(Cost!$S26,Calculations!$A$9:$A$21,0))),0)</f>
        <v>0</v>
      </c>
      <c r="AJ26" s="103">
        <f>IFERROR(IF(AJ$4="Yes",0,INDEX(Calculations!AR$114:AR$126,MATCH(Cost!$S26,Calculations!$A$9:$A$21,0))),0)</f>
        <v>0</v>
      </c>
      <c r="AK26" s="126">
        <f>IFERROR(SUM(U26:AI26)*'Project Info'!$D$28,0)</f>
        <v>0</v>
      </c>
      <c r="AL26" s="103">
        <f>IFERROR(INDEX(Calculations!BC$114:BC$126,MATCH(Cost!$S26,Calculations!$A$9:$A$21,0))*-1,0)</f>
        <v>0</v>
      </c>
      <c r="AM26" s="103">
        <f>IFERROR(INDEX(Calculations!BD$114:BD$126,MATCH(Cost!$S26,Calculations!$A$9:$A$21,0))*-1,0)</f>
        <v>0</v>
      </c>
      <c r="AN26" s="125">
        <f ca="1">IFERROR(SUM(OFFSET(Calculations!BE$114,MATCH($S26,Calculations!$A$9:$A$21,0)-1,0,1,4))*-1,0)</f>
        <v>0</v>
      </c>
      <c r="AO26" s="103">
        <f t="shared" ca="1" si="3"/>
        <v>0</v>
      </c>
      <c r="AP26" s="17"/>
      <c r="AQ26" s="4"/>
      <c r="AW26" s="103">
        <f>IFERROR(INDEX(Calculations!BL$24:BL$36,MATCH($S26,Calculations!$A$24:$A$36,0)),0)</f>
        <v>0</v>
      </c>
      <c r="AX26" s="103">
        <f>IFERROR(INDEX(Calculations!BM$24:BM$36,MATCH($S26,Calculations!$A$24:$A$36,0)),0)</f>
        <v>0</v>
      </c>
      <c r="AY26" s="103">
        <f>IFERROR(INDEX(Calculations!BN$24:BN$36,MATCH($S26,Calculations!$A$24:$A$36,0)),0)</f>
        <v>0</v>
      </c>
      <c r="AZ26" s="103">
        <f>IFERROR(INDEX(Calculations!BO$24:BO$36,MATCH($S26,Calculations!$A$24:$A$36,0)),0)</f>
        <v>0</v>
      </c>
      <c r="BA26" s="103">
        <f>IFERROR(INDEX(Calculations!BP$24:BP$36,MATCH($S26,Calculations!$A$24:$A$36,0)),0)</f>
        <v>0</v>
      </c>
    </row>
    <row r="27" spans="17:53">
      <c r="Q27" s="12"/>
      <c r="S27" s="20" t="str">
        <f>SiteE!S27</f>
        <v xml:space="preserve"> </v>
      </c>
      <c r="U27" s="103">
        <f>IFERROR(IF(U$4="Yes",0,INDEX(Calculations!AC$114:AC$126,MATCH(Cost!$S27,Calculations!$A$9:$A$21,0))),0)</f>
        <v>0</v>
      </c>
      <c r="V27" s="103">
        <f>IFERROR(IF(V$4="Yes",0,INDEX(Calculations!AD$114:AD$126,MATCH(Cost!$S27,Calculations!$A$9:$A$21,0))),0)</f>
        <v>0</v>
      </c>
      <c r="W27" s="103">
        <f>IFERROR(IF(W$4="Yes",0,INDEX(Calculations!AE$114:AE$126,MATCH(Cost!$S27,Calculations!$A$9:$A$21,0))),0)</f>
        <v>0</v>
      </c>
      <c r="X27" s="103">
        <f>IFERROR(IF(X$4="Yes",0,INDEX(Calculations!AF$114:AF$126,MATCH(Cost!$S27,Calculations!$A$9:$A$21,0))),0)</f>
        <v>0</v>
      </c>
      <c r="Y27" s="103">
        <f>IFERROR(IF(Y$4="Yes",0,INDEX(Calculations!AG$114:AG$126,MATCH(Cost!$S27,Calculations!$A$9:$A$21,0))),0)</f>
        <v>0</v>
      </c>
      <c r="Z27" s="103">
        <f>IFERROR(IF(Z$4="Yes",0,INDEX(Calculations!AH$114:AH$126,MATCH(Cost!$S27,Calculations!$A$9:$A$21,0))),0)</f>
        <v>0</v>
      </c>
      <c r="AA27" s="103">
        <f>IFERROR(IF(AA$4="Yes",0,INDEX(Calculations!AI$114:AI$126,MATCH(Cost!$S27,Calculations!$A$9:$A$21,0))),0)</f>
        <v>0</v>
      </c>
      <c r="AB27" s="103">
        <f>IFERROR(IF(AB$4="Yes",0,INDEX(Calculations!AJ$114:AJ$126,MATCH(Cost!$S27,Calculations!$A$9:$A$21,0))),0)</f>
        <v>0</v>
      </c>
      <c r="AC27" s="103">
        <f>IFERROR(IF(AC$4="Yes",0,INDEX(Calculations!AK$114:AK$126,MATCH(Cost!$S27,Calculations!$A$9:$A$21,0))),0)</f>
        <v>0</v>
      </c>
      <c r="AD27" s="103">
        <f>IFERROR(IF(AD$4="Yes",0,INDEX(Calculations!AL$114:AL$126,MATCH(Cost!$S27,Calculations!$A$9:$A$21,0))),0)</f>
        <v>0</v>
      </c>
      <c r="AE27" s="103">
        <f>IFERROR(IF(AE$4="Yes",0,INDEX(Calculations!AM$114:AM$126,MATCH(Cost!$S27,Calculations!$A$9:$A$21,0))),0)</f>
        <v>0</v>
      </c>
      <c r="AF27" s="103">
        <f>IFERROR(IF(AF$4="Yes",0,INDEX(Calculations!AN$114:AN$126,MATCH(Cost!$S27,Calculations!$A$9:$A$21,0))),0)</f>
        <v>0</v>
      </c>
      <c r="AG27" s="103">
        <f>IFERROR(IF(AG$4="Yes",0,INDEX(Calculations!AO$114:AO$126,MATCH(Cost!$S27,Calculations!$A$9:$A$21,0))),0)</f>
        <v>0</v>
      </c>
      <c r="AH27" s="103">
        <f>IFERROR(IF(AH$4="Yes",0,INDEX(Calculations!AP$114:AP$126,MATCH(Cost!$S27,Calculations!$A$9:$A$21,0))),0)</f>
        <v>0</v>
      </c>
      <c r="AI27" s="103">
        <f>IFERROR(IF(AI$4="Yes",0,INDEX(Calculations!AQ$114:AQ$126,MATCH(Cost!$S27,Calculations!$A$9:$A$21,0))),0)</f>
        <v>0</v>
      </c>
      <c r="AJ27" s="103">
        <f>IFERROR(IF(AJ$4="Yes",0,INDEX(Calculations!AR$114:AR$126,MATCH(Cost!$S27,Calculations!$A$9:$A$21,0))),0)</f>
        <v>0</v>
      </c>
      <c r="AK27" s="126">
        <f>IFERROR(SUM(U27:AI27)*'Project Info'!$D$28,0)</f>
        <v>0</v>
      </c>
      <c r="AL27" s="103">
        <f>IFERROR(INDEX(Calculations!BC$114:BC$126,MATCH(Cost!$S27,Calculations!$A$9:$A$21,0))*-1,0)</f>
        <v>0</v>
      </c>
      <c r="AM27" s="103">
        <f>IFERROR(INDEX(Calculations!BD$114:BD$126,MATCH(Cost!$S27,Calculations!$A$9:$A$21,0))*-1,0)</f>
        <v>0</v>
      </c>
      <c r="AN27" s="125">
        <f ca="1">IFERROR(SUM(OFFSET(Calculations!BE$114,MATCH($S27,Calculations!$A$9:$A$21,0)-1,0,1,4))*-1,0)</f>
        <v>0</v>
      </c>
      <c r="AO27" s="103">
        <f t="shared" ca="1" si="3"/>
        <v>0</v>
      </c>
      <c r="AP27" s="17"/>
      <c r="AQ27" s="4"/>
      <c r="AW27" s="103">
        <f>IFERROR(INDEX(Calculations!BL$24:BL$36,MATCH($S27,Calculations!$A$24:$A$36,0)),0)</f>
        <v>0</v>
      </c>
      <c r="AX27" s="103">
        <f>IFERROR(INDEX(Calculations!BM$24:BM$36,MATCH($S27,Calculations!$A$24:$A$36,0)),0)</f>
        <v>0</v>
      </c>
      <c r="AY27" s="103">
        <f>IFERROR(INDEX(Calculations!BN$24:BN$36,MATCH($S27,Calculations!$A$24:$A$36,0)),0)</f>
        <v>0</v>
      </c>
      <c r="AZ27" s="103">
        <f>IFERROR(INDEX(Calculations!BO$24:BO$36,MATCH($S27,Calculations!$A$24:$A$36,0)),0)</f>
        <v>0</v>
      </c>
      <c r="BA27" s="103">
        <f>IFERROR(INDEX(Calculations!BP$24:BP$36,MATCH($S27,Calculations!$A$24:$A$36,0)),0)</f>
        <v>0</v>
      </c>
    </row>
    <row r="28" spans="17:53">
      <c r="Q28" s="12"/>
      <c r="S28" s="20" t="str">
        <f>SiteE!S28</f>
        <v xml:space="preserve"> </v>
      </c>
      <c r="U28" s="103">
        <f>IFERROR(IF(U$4="Yes",0,INDEX(Calculations!AC$114:AC$126,MATCH(Cost!$S28,Calculations!$A$9:$A$21,0))),0)</f>
        <v>0</v>
      </c>
      <c r="V28" s="103">
        <f>IFERROR(IF(V$4="Yes",0,INDEX(Calculations!AD$114:AD$126,MATCH(Cost!$S28,Calculations!$A$9:$A$21,0))),0)</f>
        <v>0</v>
      </c>
      <c r="W28" s="103">
        <f>IFERROR(IF(W$4="Yes",0,INDEX(Calculations!AE$114:AE$126,MATCH(Cost!$S28,Calculations!$A$9:$A$21,0))),0)</f>
        <v>0</v>
      </c>
      <c r="X28" s="103">
        <f>IFERROR(IF(X$4="Yes",0,INDEX(Calculations!AF$114:AF$126,MATCH(Cost!$S28,Calculations!$A$9:$A$21,0))),0)</f>
        <v>0</v>
      </c>
      <c r="Y28" s="103">
        <f>IFERROR(IF(Y$4="Yes",0,INDEX(Calculations!AG$114:AG$126,MATCH(Cost!$S28,Calculations!$A$9:$A$21,0))),0)</f>
        <v>0</v>
      </c>
      <c r="Z28" s="103">
        <f>IFERROR(IF(Z$4="Yes",0,INDEX(Calculations!AH$114:AH$126,MATCH(Cost!$S28,Calculations!$A$9:$A$21,0))),0)</f>
        <v>0</v>
      </c>
      <c r="AA28" s="103">
        <f>IFERROR(IF(AA$4="Yes",0,INDEX(Calculations!AI$114:AI$126,MATCH(Cost!$S28,Calculations!$A$9:$A$21,0))),0)</f>
        <v>0</v>
      </c>
      <c r="AB28" s="103">
        <f>IFERROR(IF(AB$4="Yes",0,INDEX(Calculations!AJ$114:AJ$126,MATCH(Cost!$S28,Calculations!$A$9:$A$21,0))),0)</f>
        <v>0</v>
      </c>
      <c r="AC28" s="103">
        <f>IFERROR(IF(AC$4="Yes",0,INDEX(Calculations!AK$114:AK$126,MATCH(Cost!$S28,Calculations!$A$9:$A$21,0))),0)</f>
        <v>0</v>
      </c>
      <c r="AD28" s="103">
        <f>IFERROR(IF(AD$4="Yes",0,INDEX(Calculations!AL$114:AL$126,MATCH(Cost!$S28,Calculations!$A$9:$A$21,0))),0)</f>
        <v>0</v>
      </c>
      <c r="AE28" s="103">
        <f>IFERROR(IF(AE$4="Yes",0,INDEX(Calculations!AM$114:AM$126,MATCH(Cost!$S28,Calculations!$A$9:$A$21,0))),0)</f>
        <v>0</v>
      </c>
      <c r="AF28" s="103">
        <f>IFERROR(IF(AF$4="Yes",0,INDEX(Calculations!AN$114:AN$126,MATCH(Cost!$S28,Calculations!$A$9:$A$21,0))),0)</f>
        <v>0</v>
      </c>
      <c r="AG28" s="103">
        <f>IFERROR(IF(AG$4="Yes",0,INDEX(Calculations!AO$114:AO$126,MATCH(Cost!$S28,Calculations!$A$9:$A$21,0))),0)</f>
        <v>0</v>
      </c>
      <c r="AH28" s="103">
        <f>IFERROR(IF(AH$4="Yes",0,INDEX(Calculations!AP$114:AP$126,MATCH(Cost!$S28,Calculations!$A$9:$A$21,0))),0)</f>
        <v>0</v>
      </c>
      <c r="AI28" s="103">
        <f>IFERROR(IF(AI$4="Yes",0,INDEX(Calculations!AQ$114:AQ$126,MATCH(Cost!$S28,Calculations!$A$9:$A$21,0))),0)</f>
        <v>0</v>
      </c>
      <c r="AJ28" s="103">
        <f>IFERROR(IF(AJ$4="Yes",0,INDEX(Calculations!AR$114:AR$126,MATCH(Cost!$S28,Calculations!$A$9:$A$21,0))),0)</f>
        <v>0</v>
      </c>
      <c r="AK28" s="126">
        <f>IFERROR(SUM(U28:AI28)*'Project Info'!$D$28,0)</f>
        <v>0</v>
      </c>
      <c r="AL28" s="103">
        <f>IFERROR(INDEX(Calculations!BC$114:BC$126,MATCH(Cost!$S31,Calculations!$A$9:$A$21,0))*-1,0)</f>
        <v>0</v>
      </c>
      <c r="AM28" s="103">
        <f>IFERROR(INDEX(Calculations!BD$114:BD$126,MATCH(Cost!$S31,Calculations!$A$9:$A$21,0))*-1,0)</f>
        <v>0</v>
      </c>
      <c r="AN28" s="125">
        <f ca="1">IFERROR(SUM(OFFSET(Calculations!BE$114,MATCH($S28,Calculations!$A$9:$A$21,0)-1,0,1,4))*-1,0)</f>
        <v>0</v>
      </c>
      <c r="AO28" s="103">
        <f t="shared" ca="1" si="3"/>
        <v>0</v>
      </c>
      <c r="AP28" s="17"/>
      <c r="AQ28" s="4"/>
      <c r="AW28" s="103">
        <f>IFERROR(INDEX(Calculations!BL$24:BL$36,MATCH($S28,Calculations!$A$24:$A$36,0)),0)</f>
        <v>0</v>
      </c>
      <c r="AX28" s="103">
        <f>IFERROR(INDEX(Calculations!BM$24:BM$36,MATCH($S28,Calculations!$A$24:$A$36,0)),0)</f>
        <v>0</v>
      </c>
      <c r="AY28" s="103">
        <f>IFERROR(INDEX(Calculations!BN$24:BN$36,MATCH($S28,Calculations!$A$24:$A$36,0)),0)</f>
        <v>0</v>
      </c>
      <c r="AZ28" s="103">
        <f>IFERROR(INDEX(Calculations!BO$24:BO$36,MATCH($S28,Calculations!$A$24:$A$36,0)),0)</f>
        <v>0</v>
      </c>
      <c r="BA28" s="103">
        <f>IFERROR(INDEX(Calculations!BP$24:BP$36,MATCH($S28,Calculations!$A$24:$A$36,0)),0)</f>
        <v>0</v>
      </c>
    </row>
    <row r="29" spans="17:53">
      <c r="Q29" s="12"/>
      <c r="S29" s="20" t="str">
        <f>SiteE!S29</f>
        <v xml:space="preserve"> </v>
      </c>
      <c r="U29" s="103">
        <f>IFERROR(IF(U$4="Yes",0,INDEX(Calculations!AC$114:AC$126,MATCH(Cost!$S29,Calculations!$A$9:$A$21,0))),0)</f>
        <v>0</v>
      </c>
      <c r="V29" s="103">
        <f>IFERROR(IF(V$4="Yes",0,INDEX(Calculations!AD$114:AD$126,MATCH(Cost!$S29,Calculations!$A$9:$A$21,0))),0)</f>
        <v>0</v>
      </c>
      <c r="W29" s="103">
        <f>IFERROR(IF(W$4="Yes",0,INDEX(Calculations!AE$114:AE$126,MATCH(Cost!$S29,Calculations!$A$9:$A$21,0))),0)</f>
        <v>0</v>
      </c>
      <c r="X29" s="103">
        <f>IFERROR(IF(X$4="Yes",0,INDEX(Calculations!AF$114:AF$126,MATCH(Cost!$S29,Calculations!$A$9:$A$21,0))),0)</f>
        <v>0</v>
      </c>
      <c r="Y29" s="103">
        <f>IFERROR(IF(Y$4="Yes",0,INDEX(Calculations!AG$114:AG$126,MATCH(Cost!$S29,Calculations!$A$9:$A$21,0))),0)</f>
        <v>0</v>
      </c>
      <c r="Z29" s="103">
        <f>IFERROR(IF(Z$4="Yes",0,INDEX(Calculations!AH$114:AH$126,MATCH(Cost!$S29,Calculations!$A$9:$A$21,0))),0)</f>
        <v>0</v>
      </c>
      <c r="AA29" s="103">
        <f>IFERROR(IF(AA$4="Yes",0,INDEX(Calculations!AI$114:AI$126,MATCH(Cost!$S29,Calculations!$A$9:$A$21,0))),0)</f>
        <v>0</v>
      </c>
      <c r="AB29" s="103">
        <f>IFERROR(IF(AB$4="Yes",0,INDEX(Calculations!AJ$114:AJ$126,MATCH(Cost!$S29,Calculations!$A$9:$A$21,0))),0)</f>
        <v>0</v>
      </c>
      <c r="AC29" s="103">
        <f>IFERROR(IF(AC$4="Yes",0,INDEX(Calculations!AK$114:AK$126,MATCH(Cost!$S29,Calculations!$A$9:$A$21,0))),0)</f>
        <v>0</v>
      </c>
      <c r="AD29" s="103">
        <f>IFERROR(IF(AD$4="Yes",0,INDEX(Calculations!AL$114:AL$126,MATCH(Cost!$S29,Calculations!$A$9:$A$21,0))),0)</f>
        <v>0</v>
      </c>
      <c r="AE29" s="103">
        <f>IFERROR(IF(AE$4="Yes",0,INDEX(Calculations!AM$114:AM$126,MATCH(Cost!$S29,Calculations!$A$9:$A$21,0))),0)</f>
        <v>0</v>
      </c>
      <c r="AF29" s="103">
        <f>IFERROR(IF(AF$4="Yes",0,INDEX(Calculations!AN$114:AN$126,MATCH(Cost!$S29,Calculations!$A$9:$A$21,0))),0)</f>
        <v>0</v>
      </c>
      <c r="AG29" s="103">
        <f>IFERROR(IF(AG$4="Yes",0,INDEX(Calculations!AO$114:AO$126,MATCH(Cost!$S29,Calculations!$A$9:$A$21,0))),0)</f>
        <v>0</v>
      </c>
      <c r="AH29" s="103">
        <f>IFERROR(IF(AH$4="Yes",0,INDEX(Calculations!AP$114:AP$126,MATCH(Cost!$S29,Calculations!$A$9:$A$21,0))),0)</f>
        <v>0</v>
      </c>
      <c r="AI29" s="103">
        <f>IFERROR(IF(AI$4="Yes",0,INDEX(Calculations!AQ$114:AQ$126,MATCH(Cost!$S29,Calculations!$A$9:$A$21,0))),0)</f>
        <v>0</v>
      </c>
      <c r="AJ29" s="103">
        <f>IFERROR(IF(AJ$4="Yes",0,INDEX(Calculations!AR$114:AR$126,MATCH(Cost!$S29,Calculations!$A$9:$A$21,0))),0)</f>
        <v>0</v>
      </c>
      <c r="AK29" s="126">
        <f>IFERROR(SUM(U29:AI29)*'Project Info'!$D$28,0)</f>
        <v>0</v>
      </c>
      <c r="AL29" s="103">
        <f>IFERROR(INDEX(Calculations!BC$114:BC$126,MATCH(Cost!$S29,Calculations!$A$9:$A$21,0))*-1,0)</f>
        <v>0</v>
      </c>
      <c r="AM29" s="103">
        <f>IFERROR(INDEX(Calculations!BD$114:BD$126,MATCH(Cost!$S29,Calculations!$A$9:$A$21,0))*-1,0)</f>
        <v>0</v>
      </c>
      <c r="AN29" s="125">
        <f ca="1">IFERROR(SUM(OFFSET(Calculations!BE$114,MATCH($S29,Calculations!$A$9:$A$21,0)-1,0,1,4))*-1,0)</f>
        <v>0</v>
      </c>
      <c r="AO29" s="103">
        <f t="shared" ca="1" si="3"/>
        <v>0</v>
      </c>
      <c r="AP29" s="17"/>
      <c r="AQ29" s="4"/>
      <c r="AW29" s="103">
        <f>IFERROR(INDEX(Calculations!BL$24:BL$36,MATCH($S29,Calculations!$A$24:$A$36,0)),0)</f>
        <v>0</v>
      </c>
      <c r="AX29" s="103">
        <f>IFERROR(INDEX(Calculations!BM$24:BM$36,MATCH($S29,Calculations!$A$24:$A$36,0)),0)</f>
        <v>0</v>
      </c>
      <c r="AY29" s="103">
        <f>IFERROR(INDEX(Calculations!BN$24:BN$36,MATCH($S29,Calculations!$A$24:$A$36,0)),0)</f>
        <v>0</v>
      </c>
      <c r="AZ29" s="103">
        <f>IFERROR(INDEX(Calculations!BO$24:BO$36,MATCH($S29,Calculations!$A$24:$A$36,0)),0)</f>
        <v>0</v>
      </c>
      <c r="BA29" s="103">
        <f>IFERROR(INDEX(Calculations!BP$24:BP$36,MATCH($S29,Calculations!$A$24:$A$36,0)),0)</f>
        <v>0</v>
      </c>
    </row>
    <row r="30" spans="17:53">
      <c r="Q30" s="12"/>
      <c r="S30" s="20" t="str">
        <f>SiteE!S30</f>
        <v xml:space="preserve"> </v>
      </c>
      <c r="U30" s="103">
        <f>IFERROR(IF(U$4="Yes",0,INDEX(Calculations!AC$114:AC$126,MATCH(Cost!$S30,Calculations!$A$9:$A$21,0))),0)</f>
        <v>0</v>
      </c>
      <c r="V30" s="103">
        <f>IFERROR(IF(V$4="Yes",0,INDEX(Calculations!AD$114:AD$126,MATCH(Cost!$S30,Calculations!$A$9:$A$21,0))),0)</f>
        <v>0</v>
      </c>
      <c r="W30" s="103">
        <f>IFERROR(IF(W$4="Yes",0,INDEX(Calculations!AE$114:AE$126,MATCH(Cost!$S30,Calculations!$A$9:$A$21,0))),0)</f>
        <v>0</v>
      </c>
      <c r="X30" s="103">
        <f>IFERROR(IF(X$4="Yes",0,INDEX(Calculations!AF$114:AF$126,MATCH(Cost!$S30,Calculations!$A$9:$A$21,0))),0)</f>
        <v>0</v>
      </c>
      <c r="Y30" s="103">
        <f>IFERROR(IF(Y$4="Yes",0,INDEX(Calculations!AG$114:AG$126,MATCH(Cost!$S30,Calculations!$A$9:$A$21,0))),0)</f>
        <v>0</v>
      </c>
      <c r="Z30" s="103">
        <f>IFERROR(IF(Z$4="Yes",0,INDEX(Calculations!AH$114:AH$126,MATCH(Cost!$S30,Calculations!$A$9:$A$21,0))),0)</f>
        <v>0</v>
      </c>
      <c r="AA30" s="103">
        <f>IFERROR(IF(AA$4="Yes",0,INDEX(Calculations!AI$114:AI$126,MATCH(Cost!$S30,Calculations!$A$9:$A$21,0))),0)</f>
        <v>0</v>
      </c>
      <c r="AB30" s="103">
        <f>IFERROR(IF(AB$4="Yes",0,INDEX(Calculations!AJ$114:AJ$126,MATCH(Cost!$S30,Calculations!$A$9:$A$21,0))),0)</f>
        <v>0</v>
      </c>
      <c r="AC30" s="103">
        <f>IFERROR(IF(AC$4="Yes",0,INDEX(Calculations!AK$114:AK$126,MATCH(Cost!$S30,Calculations!$A$9:$A$21,0))),0)</f>
        <v>0</v>
      </c>
      <c r="AD30" s="103">
        <f>IFERROR(IF(AD$4="Yes",0,INDEX(Calculations!AL$114:AL$126,MATCH(Cost!$S30,Calculations!$A$9:$A$21,0))),0)</f>
        <v>0</v>
      </c>
      <c r="AE30" s="103">
        <f>IFERROR(IF(AE$4="Yes",0,INDEX(Calculations!AM$114:AM$126,MATCH(Cost!$S30,Calculations!$A$9:$A$21,0))),0)</f>
        <v>0</v>
      </c>
      <c r="AF30" s="103">
        <f>IFERROR(IF(AF$4="Yes",0,INDEX(Calculations!AN$114:AN$126,MATCH(Cost!$S30,Calculations!$A$9:$A$21,0))),0)</f>
        <v>0</v>
      </c>
      <c r="AG30" s="103">
        <f>IFERROR(IF(AG$4="Yes",0,INDEX(Calculations!AO$114:AO$126,MATCH(Cost!$S30,Calculations!$A$9:$A$21,0))),0)</f>
        <v>0</v>
      </c>
      <c r="AH30" s="103">
        <f>IFERROR(IF(AH$4="Yes",0,INDEX(Calculations!AP$114:AP$126,MATCH(Cost!$S30,Calculations!$A$9:$A$21,0))),0)</f>
        <v>0</v>
      </c>
      <c r="AI30" s="103">
        <f>IFERROR(IF(AI$4="Yes",0,INDEX(Calculations!AQ$114:AQ$126,MATCH(Cost!$S30,Calculations!$A$9:$A$21,0))),0)</f>
        <v>0</v>
      </c>
      <c r="AJ30" s="103">
        <f>IFERROR(IF(AJ$4="Yes",0,INDEX(Calculations!AR$114:AR$126,MATCH(Cost!$S30,Calculations!$A$9:$A$21,0))),0)</f>
        <v>0</v>
      </c>
      <c r="AK30" s="126">
        <f>IFERROR(SUM(U30:AI30)*'Project Info'!$D$28,0)</f>
        <v>0</v>
      </c>
      <c r="AL30" s="103">
        <f>IFERROR(INDEX(Calculations!BC$114:BC$126,MATCH(Cost!$S30,Calculations!$A$9:$A$21,0))*-1,0)</f>
        <v>0</v>
      </c>
      <c r="AM30" s="103">
        <f>IFERROR(INDEX(Calculations!BD$114:BD$126,MATCH(Cost!$S30,Calculations!$A$9:$A$21,0))*-1,0)</f>
        <v>0</v>
      </c>
      <c r="AN30" s="125">
        <f ca="1">IFERROR(SUM(OFFSET(Calculations!BE$114,MATCH($S30,Calculations!$A$9:$A$21,0)-1,0,1,4))*-1,0)</f>
        <v>0</v>
      </c>
      <c r="AO30" s="103">
        <f t="shared" ca="1" si="3"/>
        <v>0</v>
      </c>
      <c r="AP30" s="17"/>
      <c r="AQ30" s="4"/>
      <c r="AW30" s="103">
        <f>IFERROR(INDEX(Calculations!BL$24:BL$36,MATCH($S30,Calculations!$A$24:$A$36,0)),0)</f>
        <v>0</v>
      </c>
      <c r="AX30" s="103">
        <f>IFERROR(INDEX(Calculations!BM$24:BM$36,MATCH($S30,Calculations!$A$24:$A$36,0)),0)</f>
        <v>0</v>
      </c>
      <c r="AY30" s="103">
        <f>IFERROR(INDEX(Calculations!BN$24:BN$36,MATCH($S30,Calculations!$A$24:$A$36,0)),0)</f>
        <v>0</v>
      </c>
      <c r="AZ30" s="103">
        <f>IFERROR(INDEX(Calculations!BO$24:BO$36,MATCH($S30,Calculations!$A$24:$A$36,0)),0)</f>
        <v>0</v>
      </c>
      <c r="BA30" s="103">
        <f>IFERROR(INDEX(Calculations!BP$24:BP$36,MATCH($S30,Calculations!$A$24:$A$36,0)),0)</f>
        <v>0</v>
      </c>
    </row>
    <row r="31" spans="17:53">
      <c r="Q31" s="12"/>
      <c r="S31" s="20" t="str">
        <f>SiteE!S31</f>
        <v xml:space="preserve"> </v>
      </c>
      <c r="U31" s="103">
        <f>IFERROR(IF(U$4="Yes",0,INDEX(Calculations!AC$114:AC$126,MATCH(Cost!$S31,Calculations!$A$9:$A$21,0))),0)</f>
        <v>0</v>
      </c>
      <c r="V31" s="103">
        <f>IFERROR(IF(V$4="Yes",0,INDEX(Calculations!AD$114:AD$126,MATCH(Cost!$S31,Calculations!$A$9:$A$21,0))),0)</f>
        <v>0</v>
      </c>
      <c r="W31" s="103">
        <f>IFERROR(IF(W$4="Yes",0,INDEX(Calculations!AE$114:AE$126,MATCH(Cost!$S31,Calculations!$A$9:$A$21,0))),0)</f>
        <v>0</v>
      </c>
      <c r="X31" s="103">
        <f>IFERROR(IF(X$4="Yes",0,INDEX(Calculations!AF$114:AF$126,MATCH(Cost!$S31,Calculations!$A$9:$A$21,0))),0)</f>
        <v>0</v>
      </c>
      <c r="Y31" s="103">
        <f>IFERROR(IF(Y$4="Yes",0,INDEX(Calculations!AG$114:AG$126,MATCH(Cost!$S31,Calculations!$A$9:$A$21,0))),0)</f>
        <v>0</v>
      </c>
      <c r="Z31" s="103">
        <f>IFERROR(IF(Z$4="Yes",0,INDEX(Calculations!AH$114:AH$126,MATCH(Cost!$S31,Calculations!$A$9:$A$21,0))),0)</f>
        <v>0</v>
      </c>
      <c r="AA31" s="103">
        <f>IFERROR(IF(AA$4="Yes",0,INDEX(Calculations!AI$114:AI$126,MATCH(Cost!$S31,Calculations!$A$9:$A$21,0))),0)</f>
        <v>0</v>
      </c>
      <c r="AB31" s="103">
        <f>IFERROR(IF(AB$4="Yes",0,INDEX(Calculations!AJ$114:AJ$126,MATCH(Cost!$S31,Calculations!$A$9:$A$21,0))),0)</f>
        <v>0</v>
      </c>
      <c r="AC31" s="103">
        <f>IFERROR(IF(AC$4="Yes",0,INDEX(Calculations!AK$114:AK$126,MATCH(Cost!$S31,Calculations!$A$9:$A$21,0))),0)</f>
        <v>0</v>
      </c>
      <c r="AD31" s="103">
        <f>IFERROR(IF(AD$4="Yes",0,INDEX(Calculations!AL$114:AL$126,MATCH(Cost!$S31,Calculations!$A$9:$A$21,0))),0)</f>
        <v>0</v>
      </c>
      <c r="AE31" s="103">
        <f>IFERROR(IF(AE$4="Yes",0,INDEX(Calculations!AM$114:AM$126,MATCH(Cost!$S31,Calculations!$A$9:$A$21,0))),0)</f>
        <v>0</v>
      </c>
      <c r="AF31" s="103">
        <f>IFERROR(IF(AF$4="Yes",0,INDEX(Calculations!AN$114:AN$126,MATCH(Cost!$S31,Calculations!$A$9:$A$21,0))),0)</f>
        <v>0</v>
      </c>
      <c r="AG31" s="103">
        <f>IFERROR(IF(AG$4="Yes",0,INDEX(Calculations!AO$114:AO$126,MATCH(Cost!$S31,Calculations!$A$9:$A$21,0))),0)</f>
        <v>0</v>
      </c>
      <c r="AH31" s="103">
        <f>IFERROR(IF(AH$4="Yes",0,INDEX(Calculations!AP$114:AP$126,MATCH(Cost!$S31,Calculations!$A$9:$A$21,0))),0)</f>
        <v>0</v>
      </c>
      <c r="AI31" s="103">
        <f>IFERROR(IF(AI$4="Yes",0,INDEX(Calculations!AQ$114:AQ$126,MATCH(Cost!$S31,Calculations!$A$9:$A$21,0))),0)</f>
        <v>0</v>
      </c>
      <c r="AJ31" s="103">
        <f>IFERROR(IF(AJ$4="Yes",0,INDEX(Calculations!AR$114:AR$126,MATCH(Cost!$S31,Calculations!$A$9:$A$21,0))),0)</f>
        <v>0</v>
      </c>
      <c r="AK31" s="126">
        <f>IFERROR(SUM(U31:AI31)*'Project Info'!$D$28,0)</f>
        <v>0</v>
      </c>
      <c r="AL31" s="103">
        <f>IFERROR(INDEX(Calculations!BC$114:BC$126,MATCH(Cost!$S31,Calculations!$A$9:$A$21,0))*-1,0)</f>
        <v>0</v>
      </c>
      <c r="AM31" s="103">
        <f>IFERROR(INDEX(Calculations!BD$114:BD$126,MATCH(Cost!$S31,Calculations!$A$9:$A$21,0))*-1,0)</f>
        <v>0</v>
      </c>
      <c r="AN31" s="125">
        <f ca="1">IFERROR(SUM(OFFSET(Calculations!BE$114,MATCH($S31,Calculations!$A$9:$A$21,0)-1,0,1,4))*-1,0)</f>
        <v>0</v>
      </c>
      <c r="AO31" s="103">
        <f t="shared" ca="1" si="3"/>
        <v>0</v>
      </c>
      <c r="AP31" s="17"/>
      <c r="AQ31" s="4"/>
      <c r="AW31" s="103">
        <f>IFERROR(INDEX(Calculations!BL$24:BL$36,MATCH($S31,Calculations!$A$24:$A$36,0)),0)</f>
        <v>0</v>
      </c>
      <c r="AX31" s="103">
        <f>IFERROR(INDEX(Calculations!BM$24:BM$36,MATCH($S31,Calculations!$A$24:$A$36,0)),0)</f>
        <v>0</v>
      </c>
      <c r="AY31" s="103">
        <f>IFERROR(INDEX(Calculations!BN$24:BN$36,MATCH($S31,Calculations!$A$24:$A$36,0)),0)</f>
        <v>0</v>
      </c>
      <c r="AZ31" s="103">
        <f>IFERROR(INDEX(Calculations!BO$24:BO$36,MATCH($S31,Calculations!$A$24:$A$36,0)),0)</f>
        <v>0</v>
      </c>
      <c r="BA31" s="103">
        <f>IFERROR(INDEX(Calculations!BP$24:BP$36,MATCH($S31,Calculations!$A$24:$A$36,0)),0)</f>
        <v>0</v>
      </c>
    </row>
    <row r="32" spans="17:53">
      <c r="Q32" s="12"/>
    </row>
    <row r="33" spans="17:17">
      <c r="Q33" s="12"/>
    </row>
    <row r="34" spans="17:17">
      <c r="Q34" s="12"/>
    </row>
    <row r="35" spans="17:17">
      <c r="Q35" s="12"/>
    </row>
    <row r="36" spans="17:17">
      <c r="Q36" s="12"/>
    </row>
    <row r="37" spans="17:17">
      <c r="Q37" s="12"/>
    </row>
    <row r="38" spans="17:17">
      <c r="Q38" s="12"/>
    </row>
    <row r="39" spans="17:17">
      <c r="Q39" s="12"/>
    </row>
    <row r="40" spans="17:17">
      <c r="Q40" s="12"/>
    </row>
    <row r="41" spans="17:17">
      <c r="Q41" s="12"/>
    </row>
    <row r="42" spans="17:17">
      <c r="Q42" s="12"/>
    </row>
    <row r="43" spans="17:17">
      <c r="Q43" s="12"/>
    </row>
    <row r="44" spans="17:17">
      <c r="Q44" s="12"/>
    </row>
    <row r="45" spans="17:17">
      <c r="Q45" s="12"/>
    </row>
    <row r="46" spans="17:17">
      <c r="Q46" s="12"/>
    </row>
    <row r="47" spans="17:17">
      <c r="Q47" s="12"/>
    </row>
    <row r="48" spans="17:17">
      <c r="Q48" s="12"/>
    </row>
    <row r="49" spans="11:17">
      <c r="Q49" s="12"/>
    </row>
    <row r="50" spans="11:17">
      <c r="Q50" s="12"/>
    </row>
    <row r="51" spans="11:17">
      <c r="Q51" s="12"/>
    </row>
    <row r="52" spans="11:17">
      <c r="Q52" s="12"/>
    </row>
    <row r="53" spans="11:17">
      <c r="Q53" s="12"/>
    </row>
    <row r="54" spans="11:17">
      <c r="Q54" s="12"/>
    </row>
    <row r="55" spans="11:17">
      <c r="Q55" s="12"/>
    </row>
    <row r="56" spans="11:17">
      <c r="Q56" s="12"/>
    </row>
    <row r="57" spans="11:17">
      <c r="Q57" s="12"/>
    </row>
    <row r="58" spans="11:17">
      <c r="Q58" s="12"/>
    </row>
    <row r="59" spans="11:17">
      <c r="Q59" s="12"/>
    </row>
    <row r="60" spans="11:17">
      <c r="K60" s="1" t="s">
        <v>210</v>
      </c>
      <c r="Q60" s="12"/>
    </row>
    <row r="61" spans="11:17">
      <c r="Q61" s="12"/>
    </row>
    <row r="62" spans="11:17">
      <c r="Q62" s="12"/>
    </row>
    <row r="63" spans="11:17">
      <c r="Q63" s="12"/>
    </row>
    <row r="64" spans="11:17">
      <c r="Q64" s="12"/>
    </row>
  </sheetData>
  <dataValidations count="1">
    <dataValidation type="list" allowBlank="1" showInputMessage="1" showErrorMessage="1" sqref="B4" xr:uid="{CA2497B9-D91C-4FF2-BCB8-54D8E7F5B60C}">
      <formula1>Result_Set</formula1>
    </dataValidation>
  </dataValidations>
  <pageMargins left="0.7" right="0.7" top="0.75" bottom="0.75" header="0.3" footer="0.3"/>
  <pageSetup paperSize="258" orientation="portrait" horizontalDpi="300"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0" tint="-0.34998626667073579"/>
    <pageSetUpPr autoPageBreaks="0"/>
  </sheetPr>
  <dimension ref="A1:CP32"/>
  <sheetViews>
    <sheetView showGridLines="0" zoomScale="70" zoomScaleNormal="70" workbookViewId="0">
      <selection activeCell="D25" sqref="D25"/>
    </sheetView>
  </sheetViews>
  <sheetFormatPr defaultColWidth="9.109375" defaultRowHeight="15" outlineLevelCol="1"/>
  <cols>
    <col min="1" max="1" width="3.5546875" style="1" customWidth="1"/>
    <col min="2" max="2" width="30.5546875" style="1" customWidth="1"/>
    <col min="3" max="3" width="10.5546875" style="1" customWidth="1"/>
    <col min="4" max="4" width="15.5546875" style="1" customWidth="1"/>
    <col min="5" max="5" width="3.5546875" style="47" customWidth="1"/>
    <col min="6" max="6" width="3.5546875" style="1" customWidth="1" outlineLevel="1"/>
    <col min="7" max="7" width="24.5546875" style="1" customWidth="1" outlineLevel="1"/>
    <col min="8" max="8" width="12.5546875" style="1" customWidth="1" outlineLevel="1"/>
    <col min="9" max="11" width="15.5546875" style="1" customWidth="1" outlineLevel="1"/>
    <col min="12" max="13" width="9.5546875" style="1" customWidth="1" outlineLevel="1"/>
    <col min="14" max="14" width="3.5546875" style="1" customWidth="1" outlineLevel="1"/>
    <col min="15" max="19" width="15.5546875" style="1" customWidth="1" outlineLevel="1"/>
    <col min="20" max="20" width="3.5546875" style="47" customWidth="1"/>
    <col min="21" max="21" width="3.5546875" style="1" customWidth="1" outlineLevel="1"/>
    <col min="22" max="22" width="24.5546875" style="1" customWidth="1" outlineLevel="1"/>
    <col min="23" max="23" width="12.5546875" style="1" customWidth="1" outlineLevel="1"/>
    <col min="24" max="26" width="15.5546875" style="1" customWidth="1" outlineLevel="1"/>
    <col min="27" max="28" width="9.5546875" style="1" customWidth="1" outlineLevel="1"/>
    <col min="29" max="29" width="3.5546875" style="1" customWidth="1" outlineLevel="1"/>
    <col min="30" max="34" width="15.5546875" style="1" customWidth="1" outlineLevel="1"/>
    <col min="35" max="35" width="3.5546875" style="47" customWidth="1"/>
    <col min="36" max="36" width="3.5546875" style="1" customWidth="1" outlineLevel="1"/>
    <col min="37" max="37" width="24.5546875" style="1" customWidth="1" outlineLevel="1"/>
    <col min="38" max="38" width="12.5546875" style="1" customWidth="1" outlineLevel="1"/>
    <col min="39" max="41" width="15.5546875" style="1" customWidth="1" outlineLevel="1"/>
    <col min="42" max="43" width="9.5546875" style="1" customWidth="1" outlineLevel="1"/>
    <col min="44" max="44" width="3.5546875" style="1" customWidth="1" outlineLevel="1"/>
    <col min="45" max="49" width="15.5546875" style="1" customWidth="1" outlineLevel="1"/>
    <col min="50" max="50" width="3.5546875" style="47" customWidth="1"/>
    <col min="51" max="51" width="3.5546875" style="1" customWidth="1" outlineLevel="1"/>
    <col min="52" max="52" width="24.5546875" style="1" customWidth="1" outlineLevel="1"/>
    <col min="53" max="53" width="12.5546875" style="1" customWidth="1" outlineLevel="1"/>
    <col min="54" max="56" width="15.5546875" style="1" customWidth="1" outlineLevel="1"/>
    <col min="57" max="58" width="9.5546875" style="1" customWidth="1" outlineLevel="1"/>
    <col min="59" max="59" width="3.5546875" style="1" customWidth="1" outlineLevel="1"/>
    <col min="60" max="64" width="15.5546875" style="1" customWidth="1" outlineLevel="1"/>
    <col min="65" max="65" width="3.5546875" style="47" customWidth="1"/>
    <col min="66" max="66" width="3.5546875" style="1" customWidth="1"/>
    <col min="67" max="67" width="30.5546875" style="1" customWidth="1"/>
    <col min="68" max="70" width="15.5546875" style="1" customWidth="1"/>
    <col min="71" max="71" width="3.5546875" style="1" customWidth="1"/>
    <col min="72" max="76" width="0" style="1" hidden="1" customWidth="1"/>
    <col min="77" max="16384" width="9.109375" style="1"/>
  </cols>
  <sheetData>
    <row r="1" spans="1:94">
      <c r="A1" s="76" t="s">
        <v>212</v>
      </c>
      <c r="B1" s="76"/>
      <c r="C1" s="76"/>
      <c r="D1" s="76"/>
      <c r="E1" s="161"/>
      <c r="F1" s="77"/>
      <c r="G1" s="77"/>
      <c r="H1" s="77"/>
      <c r="I1" s="77"/>
      <c r="J1" s="77"/>
      <c r="K1" s="77"/>
      <c r="L1" s="77"/>
      <c r="M1" s="77"/>
      <c r="N1" s="77"/>
      <c r="O1" s="77"/>
      <c r="P1" s="77"/>
      <c r="Q1" s="77"/>
      <c r="R1" s="77"/>
      <c r="S1" s="77"/>
      <c r="T1" s="156"/>
      <c r="U1" s="160"/>
      <c r="V1" s="160"/>
      <c r="W1" s="160"/>
      <c r="X1" s="160"/>
      <c r="Y1" s="160"/>
      <c r="Z1" s="160"/>
      <c r="AA1" s="160"/>
      <c r="AB1" s="160"/>
      <c r="AC1" s="160"/>
      <c r="AD1" s="160"/>
      <c r="AE1" s="160"/>
      <c r="AF1" s="160"/>
      <c r="AG1" s="160"/>
      <c r="AH1" s="160"/>
      <c r="AI1" s="156"/>
      <c r="AJ1" s="160"/>
      <c r="AK1" s="160"/>
      <c r="AL1" s="160"/>
      <c r="AM1" s="160"/>
      <c r="AN1" s="160"/>
      <c r="AO1" s="160"/>
      <c r="AP1" s="160"/>
      <c r="AQ1" s="160"/>
      <c r="AR1" s="160"/>
      <c r="AS1" s="160"/>
      <c r="AT1" s="160"/>
      <c r="AU1" s="160"/>
      <c r="AV1" s="160"/>
      <c r="AW1" s="160"/>
      <c r="AX1" s="156"/>
      <c r="AY1" s="160"/>
      <c r="AZ1" s="77"/>
      <c r="BA1" s="77"/>
      <c r="BB1" s="77"/>
      <c r="BC1" s="77"/>
      <c r="BD1" s="77"/>
      <c r="BE1" s="77"/>
      <c r="BF1" s="77"/>
      <c r="BG1" s="77"/>
      <c r="BH1" s="77"/>
      <c r="BI1" s="77"/>
      <c r="BJ1" s="77"/>
      <c r="BK1" s="77"/>
      <c r="BL1" s="77"/>
      <c r="BM1" s="156"/>
      <c r="BN1" s="77"/>
      <c r="BO1" s="77"/>
      <c r="BP1" s="77"/>
      <c r="BQ1" s="77"/>
      <c r="BR1" s="77"/>
      <c r="BS1" s="77"/>
      <c r="BT1" s="77"/>
      <c r="BU1" s="77"/>
      <c r="BV1" s="77"/>
      <c r="BW1" s="77"/>
      <c r="BX1" s="77"/>
      <c r="BY1" s="77"/>
      <c r="BZ1" s="77"/>
      <c r="CA1" s="77"/>
      <c r="CB1" s="77"/>
      <c r="CC1" s="77"/>
      <c r="CD1" s="77"/>
      <c r="CE1" s="77"/>
      <c r="CF1" s="77"/>
      <c r="CG1" s="77"/>
      <c r="CH1" s="77"/>
      <c r="CI1" s="77"/>
      <c r="CJ1" s="77"/>
      <c r="CK1" s="77"/>
      <c r="CL1" s="77"/>
      <c r="CM1" s="77"/>
      <c r="CN1" s="77"/>
      <c r="CO1" s="77"/>
      <c r="CP1" s="77"/>
    </row>
    <row r="2" spans="1:94">
      <c r="T2" s="230" t="str">
        <f>G4</f>
        <v>Energy Use</v>
      </c>
      <c r="U2" s="166"/>
      <c r="V2" s="166"/>
      <c r="W2" s="166"/>
      <c r="X2" s="166"/>
      <c r="Y2" s="166"/>
      <c r="Z2" s="166"/>
      <c r="AA2" s="166"/>
      <c r="AB2" s="166"/>
      <c r="AC2" s="166"/>
      <c r="AD2" s="166"/>
      <c r="AE2" s="166"/>
      <c r="AF2" s="166"/>
      <c r="AG2" s="166"/>
      <c r="AH2" s="166"/>
      <c r="AI2" s="230" t="str">
        <f>V4</f>
        <v>Source Energy Use</v>
      </c>
      <c r="AJ2" s="166"/>
      <c r="AK2" s="166"/>
      <c r="AL2" s="166"/>
      <c r="AM2" s="166"/>
      <c r="AN2" s="166"/>
      <c r="AO2" s="166"/>
      <c r="AP2" s="166"/>
      <c r="AQ2" s="166"/>
      <c r="AR2" s="166"/>
      <c r="AS2" s="166"/>
      <c r="AT2" s="166"/>
      <c r="AU2" s="166"/>
      <c r="AV2" s="166"/>
      <c r="AW2" s="166"/>
      <c r="AX2" s="230" t="str">
        <f>AK4</f>
        <v>Carbon Emissions</v>
      </c>
      <c r="BM2" s="230" t="str">
        <f>AZ4</f>
        <v>Energy Cost</v>
      </c>
    </row>
    <row r="3" spans="1:94">
      <c r="T3" s="230"/>
      <c r="U3" s="166"/>
      <c r="V3" s="166"/>
      <c r="W3" s="166"/>
      <c r="X3" s="166"/>
      <c r="Y3" s="166"/>
      <c r="Z3" s="166"/>
      <c r="AA3" s="166"/>
      <c r="AB3" s="166"/>
      <c r="AC3" s="166"/>
      <c r="AD3" s="166"/>
      <c r="AE3" s="166"/>
      <c r="AF3" s="166"/>
      <c r="AG3" s="166"/>
      <c r="AH3" s="166"/>
      <c r="AI3" s="230"/>
      <c r="AJ3" s="166"/>
      <c r="AK3" s="166"/>
      <c r="AL3" s="166"/>
      <c r="AM3" s="166"/>
      <c r="AN3" s="166"/>
      <c r="AO3" s="166"/>
      <c r="AP3" s="166"/>
      <c r="AQ3" s="166"/>
      <c r="AR3" s="166"/>
      <c r="AS3" s="166"/>
      <c r="AT3" s="166"/>
      <c r="AU3" s="166"/>
      <c r="AV3" s="166"/>
      <c r="AW3" s="166"/>
      <c r="AX3" s="230"/>
      <c r="BM3" s="230"/>
    </row>
    <row r="4" spans="1:94">
      <c r="B4" s="2" t="s">
        <v>213</v>
      </c>
      <c r="C4" s="222" t="s">
        <v>163</v>
      </c>
      <c r="D4" s="223"/>
      <c r="E4" s="162"/>
      <c r="G4" s="78" t="str">
        <f>Menus!C24</f>
        <v>Energy Use</v>
      </c>
      <c r="O4" s="2" t="s">
        <v>214</v>
      </c>
      <c r="P4" s="2"/>
      <c r="Q4" s="2"/>
      <c r="T4" s="230"/>
      <c r="U4" s="166"/>
      <c r="V4" s="78" t="str">
        <f>Menus!C25</f>
        <v>Source Energy Use</v>
      </c>
      <c r="AC4" s="166"/>
      <c r="AD4" s="166"/>
      <c r="AE4" s="166"/>
      <c r="AF4" s="166"/>
      <c r="AG4" s="166"/>
      <c r="AH4" s="166"/>
      <c r="AI4" s="230"/>
      <c r="AJ4" s="166"/>
      <c r="AK4" s="78" t="str">
        <f>Menus!C26</f>
        <v>Carbon Emissions</v>
      </c>
      <c r="AL4" s="166"/>
      <c r="AM4" s="166"/>
      <c r="AN4" s="166"/>
      <c r="AO4" s="166"/>
      <c r="AP4" s="166"/>
      <c r="AQ4" s="166"/>
      <c r="AR4" s="166"/>
      <c r="AS4" s="2" t="s">
        <v>215</v>
      </c>
      <c r="AT4" s="166"/>
      <c r="AU4" s="166"/>
      <c r="AV4" s="166"/>
      <c r="AW4" s="166"/>
      <c r="AX4" s="230"/>
      <c r="AZ4" s="2" t="str">
        <f>Menus!C27</f>
        <v>Energy Cost</v>
      </c>
      <c r="BH4" s="2" t="s">
        <v>216</v>
      </c>
      <c r="BM4" s="230"/>
    </row>
    <row r="5" spans="1:94">
      <c r="G5" s="2"/>
      <c r="L5" s="155"/>
      <c r="T5" s="230"/>
      <c r="U5" s="166"/>
      <c r="V5" s="2"/>
      <c r="AA5" s="155"/>
      <c r="AC5" s="166"/>
      <c r="AD5" s="166"/>
      <c r="AE5" s="166"/>
      <c r="AF5" s="166"/>
      <c r="AG5" s="166"/>
      <c r="AH5" s="166"/>
      <c r="AI5" s="230"/>
      <c r="AJ5" s="166"/>
      <c r="AK5" s="166"/>
      <c r="AL5" s="166"/>
      <c r="AM5" s="166"/>
      <c r="AN5" s="166"/>
      <c r="AO5" s="166"/>
      <c r="AP5" s="166"/>
      <c r="AQ5" s="166"/>
      <c r="AR5" s="166"/>
      <c r="AS5" s="166"/>
      <c r="AT5" s="166"/>
      <c r="AU5" s="166"/>
      <c r="AV5" s="166"/>
      <c r="AW5" s="166"/>
      <c r="AX5" s="230"/>
      <c r="BM5" s="230"/>
    </row>
    <row r="6" spans="1:94" ht="15.6" thickBot="1">
      <c r="B6" s="63" t="s">
        <v>217</v>
      </c>
      <c r="C6" s="63" t="s">
        <v>218</v>
      </c>
      <c r="D6" s="63"/>
      <c r="G6" s="63" t="s">
        <v>178</v>
      </c>
      <c r="H6" s="63" t="s">
        <v>218</v>
      </c>
      <c r="I6" s="72" t="s">
        <v>162</v>
      </c>
      <c r="J6" s="72" t="s">
        <v>219</v>
      </c>
      <c r="K6" s="72" t="s">
        <v>220</v>
      </c>
      <c r="L6" s="72" t="s">
        <v>78</v>
      </c>
      <c r="M6" s="72" t="s">
        <v>79</v>
      </c>
      <c r="N6" s="84"/>
      <c r="O6" s="84"/>
      <c r="P6" s="84"/>
      <c r="Q6" s="84"/>
      <c r="R6" s="84"/>
      <c r="S6" s="84"/>
      <c r="T6" s="230"/>
      <c r="U6" s="166"/>
      <c r="V6" s="63" t="s">
        <v>178</v>
      </c>
      <c r="W6" s="63" t="s">
        <v>218</v>
      </c>
      <c r="X6" s="72" t="s">
        <v>162</v>
      </c>
      <c r="Y6" s="72" t="s">
        <v>219</v>
      </c>
      <c r="Z6" s="72" t="s">
        <v>220</v>
      </c>
      <c r="AA6" s="72" t="s">
        <v>78</v>
      </c>
      <c r="AB6" s="72" t="s">
        <v>79</v>
      </c>
      <c r="AC6" s="166"/>
      <c r="AD6" s="166"/>
      <c r="AE6" s="166"/>
      <c r="AF6" s="166"/>
      <c r="AG6" s="166"/>
      <c r="AH6" s="166"/>
      <c r="AI6" s="230"/>
      <c r="AJ6" s="166"/>
      <c r="AK6" s="63" t="s">
        <v>178</v>
      </c>
      <c r="AL6" s="63" t="s">
        <v>218</v>
      </c>
      <c r="AM6" s="72" t="str">
        <f>I6</f>
        <v>LEED Baseline</v>
      </c>
      <c r="AN6" s="72" t="str">
        <f>J6</f>
        <v>Code Baseline</v>
      </c>
      <c r="AO6" s="72" t="str">
        <f>K6</f>
        <v>Proposed</v>
      </c>
      <c r="AP6" s="72" t="s">
        <v>78</v>
      </c>
      <c r="AQ6" s="72" t="s">
        <v>79</v>
      </c>
      <c r="AR6" s="166"/>
      <c r="AS6" s="166"/>
      <c r="AT6" s="166"/>
      <c r="AU6" s="166"/>
      <c r="AV6" s="166"/>
      <c r="AW6" s="166"/>
      <c r="AX6" s="230"/>
      <c r="AZ6" s="63" t="s">
        <v>178</v>
      </c>
      <c r="BA6" s="63"/>
      <c r="BB6" s="72" t="str">
        <f>I6</f>
        <v>LEED Baseline</v>
      </c>
      <c r="BC6" s="72" t="str">
        <f>J6</f>
        <v>Code Baseline</v>
      </c>
      <c r="BD6" s="72" t="str">
        <f>K6</f>
        <v>Proposed</v>
      </c>
      <c r="BE6" s="72" t="str">
        <f>L6</f>
        <v>LEED</v>
      </c>
      <c r="BF6" s="72" t="s">
        <v>79</v>
      </c>
      <c r="BM6" s="230"/>
      <c r="BO6" s="63"/>
      <c r="BP6" s="72" t="str">
        <f>I6</f>
        <v>LEED Baseline</v>
      </c>
      <c r="BQ6" s="72" t="str">
        <f t="shared" ref="BQ6:BR6" si="0">J6</f>
        <v>Code Baseline</v>
      </c>
      <c r="BR6" s="72" t="str">
        <f t="shared" si="0"/>
        <v>Proposed</v>
      </c>
      <c r="BT6" s="63" t="s">
        <v>221</v>
      </c>
      <c r="BU6" s="63" t="s">
        <v>222</v>
      </c>
      <c r="BV6" s="63" t="s">
        <v>223</v>
      </c>
      <c r="BW6" s="63" t="s">
        <v>224</v>
      </c>
      <c r="BX6" s="63" t="s">
        <v>225</v>
      </c>
    </row>
    <row r="7" spans="1:94">
      <c r="B7" s="59" t="s">
        <v>226</v>
      </c>
      <c r="C7" s="59" t="str">
        <f>SiteE!C12</f>
        <v>kBtu/ft²</v>
      </c>
      <c r="D7" s="59">
        <f>IFERROR(INDEX(Calculations!$BQ$27:$BQ$36,MATCH($C$4,Calculations!$A$12:$A$21,0)),0)</f>
        <v>50.503260840902435</v>
      </c>
      <c r="G7" s="59" t="str">
        <f>Calculations!AC4</f>
        <v>Heating</v>
      </c>
      <c r="H7" s="59" t="str">
        <f>'Project Info'!$I$6</f>
        <v>kBtu</v>
      </c>
      <c r="I7" s="66">
        <f>IFERROR(INDEX(Calculations!$AC$9:$AR$21,1,MATCH($G7,Calculations!$AC$4:$AR$4,0)),0)</f>
        <v>38337.231999999996</v>
      </c>
      <c r="J7" s="66">
        <f>IFERROR(INDEX(Calculations!$AC$9:$AR$21,2,MATCH($G7,Calculations!$AC$4:$AR$4,0)),0)</f>
        <v>0</v>
      </c>
      <c r="K7" s="66">
        <f>IFERROR(INDEX(Calculations!$AC$9:$AR$21,MATCH($C$4,Calculations!$A$9:$A$21,0),MATCH($G7,Calculations!$AC$4:$AR$4,0)),0)</f>
        <v>38337.231999999996</v>
      </c>
      <c r="L7" s="67">
        <f>IFERROR(1-($K7/I7),0)</f>
        <v>0</v>
      </c>
      <c r="M7" s="67">
        <f>IFERROR(1-($K7/J7),0)</f>
        <v>0</v>
      </c>
      <c r="N7" s="154"/>
      <c r="O7" s="154"/>
      <c r="P7" s="154"/>
      <c r="Q7" s="154"/>
      <c r="R7" s="154"/>
      <c r="S7" s="154"/>
      <c r="T7" s="230"/>
      <c r="U7" s="166"/>
      <c r="V7" s="59" t="str">
        <f t="shared" ref="V7:V23" si="1">G7</f>
        <v>Heating</v>
      </c>
      <c r="W7" s="59" t="str">
        <f>'Project Info'!$I$6</f>
        <v>kBtu</v>
      </c>
      <c r="X7" s="66">
        <f>IFERROR(INDEX(Calculations!$AC$39:$AR$57,1,MATCH($G7,Calculations!$AC$4:$AR$4,0)),0)</f>
        <v>107344.24959999998</v>
      </c>
      <c r="Y7" s="66">
        <f>IFERROR(INDEX(Calculations!$AC$39:$AR$57,2,MATCH($G7,Calculations!$AC$4:$AR$4,0)),0)</f>
        <v>0</v>
      </c>
      <c r="Z7" s="66">
        <f>IFERROR(INDEX(Calculations!$AC$39:$AR$57,MATCH($C$4,Calculations!$A$39:$A$57,0),MATCH($G7,Calculations!$AC$4:$AR$4,0)),0)</f>
        <v>107344.24959999998</v>
      </c>
      <c r="AA7" s="67">
        <f t="shared" ref="AA7:AA22" si="2">IFERROR(1-($K7/X7),0)</f>
        <v>0.64285714285714279</v>
      </c>
      <c r="AB7" s="67">
        <f t="shared" ref="AB7:AB22" si="3">IFERROR(1-($K7/Y7),0)</f>
        <v>0</v>
      </c>
      <c r="AI7" s="230"/>
      <c r="AJ7" s="166"/>
      <c r="AK7" s="59" t="str">
        <f t="shared" ref="AK7:AK23" si="4">G7</f>
        <v>Heating</v>
      </c>
      <c r="AL7" s="59" t="str">
        <f>'Project Info'!$G$22</f>
        <v>kg CO2e</v>
      </c>
      <c r="AM7" s="66">
        <f>IFERROR(INDEX(Calculations!$AC$69:$AR$81,1,MATCH($AK7,Calculations!$AC$4:$AR$4,0)),0)</f>
        <v>4539.1577508543023</v>
      </c>
      <c r="AN7" s="66">
        <f>IFERROR(INDEX(Calculations!$AC$69:$AR$81,2,MATCH($AK7,Calculations!$AC$4:$AR$4,0)),0)</f>
        <v>0</v>
      </c>
      <c r="AO7" s="66">
        <f>IFERROR(INDEX(Calculations!$AC$69:$AR$81,MATCH($C$4,Calculations!$A$69:$A$81,0),MATCH($AK7,Calculations!$AC$4:$AR$4,0)),0)</f>
        <v>4539.1577508543023</v>
      </c>
      <c r="AP7" s="67">
        <f>IFERROR(1-($AO7/AM7),0)</f>
        <v>0</v>
      </c>
      <c r="AQ7" s="67">
        <f>IFERROR(1-($AO7/AN7),0)</f>
        <v>0</v>
      </c>
      <c r="AX7" s="230"/>
      <c r="AZ7" s="59" t="str">
        <f t="shared" ref="AZ7:AZ23" si="5">G7</f>
        <v>Heating</v>
      </c>
      <c r="BA7" s="59" t="s">
        <v>227</v>
      </c>
      <c r="BB7" s="114">
        <f>IFERROR(INDEX(Calculations!$AC$99:$AR$111,1,MATCH($G7,Calculations!$AC$4:$AR$4,0)),0)</f>
        <v>1393.2068344206273</v>
      </c>
      <c r="BC7" s="114">
        <f>IFERROR(INDEX(Calculations!$AC$99:$AR$111,2,MATCH($G7,Calculations!$AC$4:$AR$4,0)),0)</f>
        <v>0</v>
      </c>
      <c r="BD7" s="114">
        <f>IFERROR(INDEX(Calculations!$AC$99:$AR$111,MATCH($C$4,Calculations!$A$9:$A$21,0),MATCH($G7,Calculations!$AC$4:$AR$4,0)),0)</f>
        <v>1393.2068344206273</v>
      </c>
      <c r="BE7" s="67">
        <f>IFERROR(1-($BD7/BB7),0)</f>
        <v>0</v>
      </c>
      <c r="BF7" s="67">
        <f>IFERROR(1-($BD7/BC7),0)</f>
        <v>0</v>
      </c>
      <c r="BM7" s="230"/>
      <c r="BO7" s="59" t="s">
        <v>228</v>
      </c>
      <c r="BP7" s="59" cm="1">
        <f t="array" aca="1" ref="BP7" ca="1">IFERROR(INDIRECT("'BL Data'!"&amp;ADDRESS(BU7,$BX7)),0)</f>
        <v>50</v>
      </c>
      <c r="BQ7" s="59" cm="1">
        <f t="array" aca="1" ref="BQ7" ca="1">IFERROR(INDIRECT("'BL Data'!"&amp;ADDRESS(BV7,$BX7)),0)</f>
        <v>0</v>
      </c>
      <c r="BR7" s="59" cm="1">
        <f t="array" aca="1" ref="BR7" ca="1">IFERROR(INDIRECT("'Proposed Data'!"&amp;ADDRESS(BW7,$BX7)),0)</f>
        <v>0</v>
      </c>
      <c r="BT7" s="74" t="str">
        <f>'Proposed Data'!F1</f>
        <v>Heating Unmet Hours</v>
      </c>
      <c r="BU7" s="75">
        <v>2</v>
      </c>
      <c r="BV7" s="75">
        <v>6</v>
      </c>
      <c r="BW7" s="75">
        <f>IFERROR(MATCH(C$4,Select_Case,0)+1,0)</f>
        <v>0</v>
      </c>
      <c r="BX7" s="75">
        <f>MATCH($BT7,'Proposed Data'!$A$1:$ET$1,0)</f>
        <v>6</v>
      </c>
    </row>
    <row r="8" spans="1:94" ht="16.5" customHeight="1">
      <c r="B8" s="59" t="s">
        <v>229</v>
      </c>
      <c r="C8" s="59" t="str">
        <f>Carbon!C12</f>
        <v>kg CO2e/ft²</v>
      </c>
      <c r="D8" s="199">
        <f>IFERROR(INDEX(Calculations!$BQ$87:$BQ$96,MATCH($C$4,Calculations!$A$12:$A$21,0)),0)</f>
        <v>5.9796249215227348</v>
      </c>
      <c r="E8" s="163"/>
      <c r="G8" s="59" t="str">
        <f>Calculations!AD4</f>
        <v>Cooling</v>
      </c>
      <c r="H8" s="59" t="str">
        <f>'Project Info'!$I$6</f>
        <v>kBtu</v>
      </c>
      <c r="I8" s="66">
        <f>IFERROR(INDEX(Calculations!$AC$9:$AR$21,1,MATCH($G8,Calculations!$AC$4:$AR$4,0)),0)</f>
        <v>142882.61800000002</v>
      </c>
      <c r="J8" s="66">
        <f>IFERROR(INDEX(Calculations!$AC$9:$AR$21,2,MATCH($G8,Calculations!$AC$4:$AR$4,0)),0)</f>
        <v>0</v>
      </c>
      <c r="K8" s="66">
        <f>IFERROR(INDEX(Calculations!$AC$9:$AR$21,MATCH($C$4,Calculations!$A$9:$A$21,0),MATCH($G8,Calculations!$AC$4:$AR$4,0)),0)</f>
        <v>142882.61800000002</v>
      </c>
      <c r="L8" s="67">
        <f t="shared" ref="L8:L22" si="6">IFERROR(1-($K8/I8),0)</f>
        <v>0</v>
      </c>
      <c r="M8" s="67">
        <f t="shared" ref="M8:M22" si="7">IFERROR(1-($K8/J8),0)</f>
        <v>0</v>
      </c>
      <c r="N8" s="154"/>
      <c r="O8" s="154"/>
      <c r="P8" s="154"/>
      <c r="Q8" s="154"/>
      <c r="R8" s="154"/>
      <c r="S8" s="154"/>
      <c r="T8" s="230"/>
      <c r="U8" s="166"/>
      <c r="V8" s="59" t="str">
        <f t="shared" si="1"/>
        <v>Cooling</v>
      </c>
      <c r="W8" s="59" t="str">
        <f>'Project Info'!$I$6</f>
        <v>kBtu</v>
      </c>
      <c r="X8" s="66">
        <f>IFERROR(INDEX(Calculations!$AC$39:$AR$57,1,MATCH($G8,Calculations!$AC$4:$AR$4,0)),0)</f>
        <v>400071.33040000004</v>
      </c>
      <c r="Y8" s="66">
        <f>IFERROR(INDEX(Calculations!$AC$39:$AR$57,2,MATCH($G8,Calculations!$AC$4:$AR$4,0)),0)</f>
        <v>0</v>
      </c>
      <c r="Z8" s="66">
        <f>IFERROR(INDEX(Calculations!$AC$39:$AR$57,MATCH($C$4,Calculations!$A$39:$A$57,0),MATCH($G8,Calculations!$AC$4:$AR$4,0)),0)</f>
        <v>400071.33040000004</v>
      </c>
      <c r="AA8" s="67">
        <f t="shared" si="2"/>
        <v>0.64285714285714279</v>
      </c>
      <c r="AB8" s="67">
        <f t="shared" si="3"/>
        <v>0</v>
      </c>
      <c r="AI8" s="230"/>
      <c r="AJ8" s="166"/>
      <c r="AK8" s="59" t="str">
        <f t="shared" si="4"/>
        <v>Cooling</v>
      </c>
      <c r="AL8" s="59" t="str">
        <f>'Project Info'!$G$22</f>
        <v>kg CO2e</v>
      </c>
      <c r="AM8" s="66">
        <f>IFERROR(INDEX(Calculations!$AC$69:$AR$81,1,MATCH($AK8,Calculations!$AC$4:$AR$4,0)),0)</f>
        <v>16917.411850627468</v>
      </c>
      <c r="AN8" s="66">
        <f>IFERROR(INDEX(Calculations!$AC$69:$AR$81,2,MATCH($AK8,Calculations!$AC$4:$AR$4,0)),0)</f>
        <v>0</v>
      </c>
      <c r="AO8" s="66">
        <f>IFERROR(INDEX(Calculations!$AC$69:$AR$81,MATCH($C$4,Calculations!$A$69:$A$81,0),MATCH($AK8,Calculations!$AC$4:$AR$4,0)),0)</f>
        <v>16917.411850627468</v>
      </c>
      <c r="AP8" s="67">
        <f>IFERROR(1-($AO8/AM8),0)</f>
        <v>0</v>
      </c>
      <c r="AQ8" s="67">
        <f>IFERROR(1-($AO8/AN8),0)</f>
        <v>0</v>
      </c>
      <c r="AX8" s="230"/>
      <c r="AZ8" s="59" t="str">
        <f t="shared" si="5"/>
        <v>Cooling</v>
      </c>
      <c r="BA8" s="59" t="s">
        <v>227</v>
      </c>
      <c r="BB8" s="114">
        <f>IFERROR(INDEX(Calculations!$AC$99:$AR$111,1,MATCH($G8,Calculations!$AC$4:$AR$4,0)),0)</f>
        <v>5192.4729442519947</v>
      </c>
      <c r="BC8" s="114">
        <f>IFERROR(INDEX(Calculations!$AC$99:$AR$111,2,MATCH($G8,Calculations!$AC$4:$AR$4,0)),0)</f>
        <v>0</v>
      </c>
      <c r="BD8" s="114">
        <f>IFERROR(INDEX(Calculations!$AC$99:$AR$111,MATCH($C$4,Calculations!$A$9:$A$21,0),MATCH($G8,Calculations!$AC$4:$AR$4,0)),0)</f>
        <v>5192.4729442519947</v>
      </c>
      <c r="BE8" s="67">
        <f t="shared" ref="BE8:BF22" si="8">IFERROR(1-($BD8/BB8),0)</f>
        <v>0</v>
      </c>
      <c r="BF8" s="67">
        <f t="shared" si="8"/>
        <v>0</v>
      </c>
      <c r="BM8" s="230"/>
      <c r="BO8" s="59" t="s">
        <v>230</v>
      </c>
      <c r="BP8" s="59" cm="1">
        <f t="array" aca="1" ref="BP8" ca="1">IFERROR(INDIRECT("'BL Data'!"&amp;ADDRESS(BU8,$BX8)),0)</f>
        <v>1565</v>
      </c>
      <c r="BQ8" s="59" cm="1">
        <f t="array" aca="1" ref="BQ8" ca="1">IFERROR(INDIRECT("'BL Data'!"&amp;ADDRESS(BV8,$BX8)),0)</f>
        <v>0</v>
      </c>
      <c r="BR8" s="59" cm="1">
        <f t="array" aca="1" ref="BR8" ca="1">IFERROR(INDIRECT("'Proposed Data'!"&amp;ADDRESS(BW8,$BX8)),0)</f>
        <v>0</v>
      </c>
      <c r="BT8" s="75" t="str">
        <f>'Proposed Data'!G1</f>
        <v>Cooling Unmet Hours</v>
      </c>
      <c r="BU8" s="75">
        <v>2</v>
      </c>
      <c r="BV8" s="75">
        <v>6</v>
      </c>
      <c r="BW8" s="75">
        <f>IFERROR(MATCH(C$4,Select_Case,0)+1,0)</f>
        <v>0</v>
      </c>
      <c r="BX8" s="75">
        <f>MATCH($BT8,'Proposed Data'!$A$1:$ET$1,0)</f>
        <v>7</v>
      </c>
    </row>
    <row r="9" spans="1:94">
      <c r="B9" s="59" t="s">
        <v>231</v>
      </c>
      <c r="C9" s="59" t="str">
        <f>Cost!C12</f>
        <v>$/ft²</v>
      </c>
      <c r="D9" s="200">
        <f>IFERROR(INDEX(Calculations!$BQ$117:$BQ$126,MATCH($C$4,Calculations!$A$12:$A$21,0)),0)</f>
        <v>1.8353304214574728</v>
      </c>
      <c r="E9" s="164"/>
      <c r="F9" s="174" t="str">
        <f>Calculations!AC6</f>
        <v>No</v>
      </c>
      <c r="G9" s="59" t="str">
        <f>Calculations!AE4</f>
        <v>Lighting</v>
      </c>
      <c r="H9" s="59" t="str">
        <f>'Project Info'!$I$6</f>
        <v>kBtu</v>
      </c>
      <c r="I9" s="66">
        <f>IFERROR(INDEX(Calculations!$AC$9:$AR$21,1,MATCH($G9,Calculations!$AC$4:$AR$4,0)),0)</f>
        <v>153372.81200000001</v>
      </c>
      <c r="J9" s="66">
        <f>IFERROR(INDEX(Calculations!$AC$9:$AR$21,2,MATCH($G9,Calculations!$AC$4:$AR$4,0)),0)</f>
        <v>0</v>
      </c>
      <c r="K9" s="66">
        <f>IFERROR(INDEX(Calculations!$AC$9:$AR$21,MATCH($C$4,Calculations!$A$9:$A$21,0),MATCH($G9,Calculations!$AC$4:$AR$4,0)),0)</f>
        <v>153372.81200000001</v>
      </c>
      <c r="L9" s="67">
        <f t="shared" si="6"/>
        <v>0</v>
      </c>
      <c r="M9" s="67">
        <f t="shared" si="7"/>
        <v>0</v>
      </c>
      <c r="N9" s="154"/>
      <c r="O9" s="154"/>
      <c r="P9" s="154"/>
      <c r="Q9" s="154"/>
      <c r="R9" s="154"/>
      <c r="S9" s="154"/>
      <c r="T9" s="157"/>
      <c r="V9" s="59" t="str">
        <f t="shared" si="1"/>
        <v>Lighting</v>
      </c>
      <c r="W9" s="59" t="str">
        <f>'Project Info'!$I$6</f>
        <v>kBtu</v>
      </c>
      <c r="X9" s="66">
        <f>IFERROR(INDEX(Calculations!$AC$39:$AR$57,1,MATCH($G9,Calculations!$AC$4:$AR$4,0)),0)</f>
        <v>429443.87359999999</v>
      </c>
      <c r="Y9" s="66">
        <f>IFERROR(INDEX(Calculations!$AC$39:$AR$57,2,MATCH($G9,Calculations!$AC$4:$AR$4,0)),0)</f>
        <v>0</v>
      </c>
      <c r="Z9" s="66">
        <f>IFERROR(INDEX(Calculations!$AC$39:$AR$57,MATCH($C$4,Calculations!$A$39:$A$57,0),MATCH($G9,Calculations!$AC$4:$AR$4,0)),0)</f>
        <v>429443.87359999999</v>
      </c>
      <c r="AA9" s="67">
        <f t="shared" si="2"/>
        <v>0.64285714285714279</v>
      </c>
      <c r="AB9" s="67">
        <f t="shared" si="3"/>
        <v>0</v>
      </c>
      <c r="AK9" s="59" t="str">
        <f t="shared" si="4"/>
        <v>Lighting</v>
      </c>
      <c r="AL9" s="59" t="str">
        <f>'Project Info'!$G$22</f>
        <v>kg CO2e</v>
      </c>
      <c r="AM9" s="66">
        <f>IFERROR(INDEX(Calculations!$AC$69:$AR$81,1,MATCH($AK9,Calculations!$AC$4:$AR$4,0)),0)</f>
        <v>18159.458887384459</v>
      </c>
      <c r="AN9" s="66">
        <f>IFERROR(INDEX(Calculations!$AC$69:$AR$81,2,MATCH($AK9,Calculations!$AC$4:$AR$4,0)),0)</f>
        <v>0</v>
      </c>
      <c r="AO9" s="66">
        <f>IFERROR(INDEX(Calculations!$AC$69:$AR$81,MATCH($C$4,Calculations!$A$69:$A$81,0),MATCH($AK9,Calculations!$AC$4:$AR$4,0)),0)</f>
        <v>18159.458887384459</v>
      </c>
      <c r="AP9" s="67">
        <f t="shared" ref="AP9:AP22" si="9">IFERROR(1-($AO9/AM9),0)</f>
        <v>0</v>
      </c>
      <c r="AQ9" s="67">
        <f t="shared" ref="AQ9:AQ22" si="10">IFERROR(1-($AO9/AN9),0)</f>
        <v>0</v>
      </c>
      <c r="AZ9" s="59" t="str">
        <f t="shared" si="5"/>
        <v>Lighting</v>
      </c>
      <c r="BA9" s="59" t="s">
        <v>227</v>
      </c>
      <c r="BB9" s="114">
        <f>IFERROR(INDEX(Calculations!$AC$99:$AR$111,1,MATCH($G9,Calculations!$AC$4:$AR$4,0)),0)</f>
        <v>5573.6953020684969</v>
      </c>
      <c r="BC9" s="114">
        <f>IFERROR(INDEX(Calculations!$AC$99:$AR$111,2,MATCH($G9,Calculations!$AC$4:$AR$4,0)),0)</f>
        <v>0</v>
      </c>
      <c r="BD9" s="114">
        <f>IFERROR(INDEX(Calculations!$AC$99:$AR$111,MATCH($C$4,Calculations!$A$9:$A$21,0),MATCH($G9,Calculations!$AC$4:$AR$4,0)),0)</f>
        <v>5573.6953020684969</v>
      </c>
      <c r="BE9" s="67">
        <f t="shared" si="8"/>
        <v>0</v>
      </c>
      <c r="BF9" s="67">
        <f t="shared" si="8"/>
        <v>0</v>
      </c>
    </row>
    <row r="10" spans="1:94">
      <c r="B10" s="59"/>
      <c r="C10" s="59"/>
      <c r="D10" s="59"/>
      <c r="E10" s="164"/>
      <c r="F10" s="174" t="str">
        <f>Calculations!AD6</f>
        <v>No</v>
      </c>
      <c r="G10" s="59" t="str">
        <f>Calculations!AF4</f>
        <v>Exterior Lighting</v>
      </c>
      <c r="H10" s="59" t="str">
        <f>'Project Info'!$I$6</f>
        <v>kBtu</v>
      </c>
      <c r="I10" s="66">
        <f>IFERROR(INDEX(Calculations!$AC$9:$AR$21,1,MATCH($G10,Calculations!$AC$4:$AR$4,0)),0)</f>
        <v>0</v>
      </c>
      <c r="J10" s="66">
        <f>IFERROR(INDEX(Calculations!$AC$9:$AR$21,2,MATCH($G10,Calculations!$AC$4:$AR$4,0)),0)</f>
        <v>0</v>
      </c>
      <c r="K10" s="66">
        <f>IFERROR(INDEX(Calculations!$AC$9:$AR$21,MATCH($C$4,Calculations!$A$9:$A$21,0),MATCH($G10,Calculations!$AC$4:$AR$4,0)),0)</f>
        <v>0</v>
      </c>
      <c r="L10" s="67">
        <f t="shared" si="6"/>
        <v>0</v>
      </c>
      <c r="M10" s="67">
        <f t="shared" si="7"/>
        <v>0</v>
      </c>
      <c r="N10" s="154"/>
      <c r="O10" s="154"/>
      <c r="P10" s="154"/>
      <c r="Q10" s="154"/>
      <c r="R10" s="154"/>
      <c r="S10" s="154"/>
      <c r="T10" s="159"/>
      <c r="V10" s="59" t="str">
        <f t="shared" si="1"/>
        <v>Exterior Lighting</v>
      </c>
      <c r="W10" s="59" t="str">
        <f>'Project Info'!$I$6</f>
        <v>kBtu</v>
      </c>
      <c r="X10" s="66">
        <f>IFERROR(INDEX(Calculations!$AC$39:$AR$57,1,MATCH($G10,Calculations!$AC$4:$AR$4,0)),0)</f>
        <v>0</v>
      </c>
      <c r="Y10" s="66">
        <f>IFERROR(INDEX(Calculations!$AC$39:$AR$57,2,MATCH($G10,Calculations!$AC$4:$AR$4,0)),0)</f>
        <v>0</v>
      </c>
      <c r="Z10" s="66">
        <f>IFERROR(INDEX(Calculations!$AC$39:$AR$57,MATCH($C$4,Calculations!$A$39:$A$57,0),MATCH($G10,Calculations!$AC$4:$AR$4,0)),0)</f>
        <v>0</v>
      </c>
      <c r="AA10" s="67">
        <f t="shared" si="2"/>
        <v>0</v>
      </c>
      <c r="AB10" s="67">
        <f t="shared" si="3"/>
        <v>0</v>
      </c>
      <c r="AK10" s="59" t="str">
        <f t="shared" si="4"/>
        <v>Exterior Lighting</v>
      </c>
      <c r="AL10" s="59" t="str">
        <f>'Project Info'!$G$22</f>
        <v>kg CO2e</v>
      </c>
      <c r="AM10" s="66">
        <f>IFERROR(INDEX(Calculations!$AC$69:$AR$81,1,MATCH($AK10,Calculations!$AC$4:$AR$4,0)),0)</f>
        <v>0</v>
      </c>
      <c r="AN10" s="66">
        <f>IFERROR(INDEX(Calculations!$AC$69:$AR$81,2,MATCH($AK10,Calculations!$AC$4:$AR$4,0)),0)</f>
        <v>0</v>
      </c>
      <c r="AO10" s="66">
        <f>IFERROR(INDEX(Calculations!$AC$69:$AR$81,MATCH($C$4,Calculations!$A$69:$A$81,0),MATCH($AK10,Calculations!$AC$4:$AR$4,0)),0)</f>
        <v>0</v>
      </c>
      <c r="AP10" s="67">
        <f t="shared" si="9"/>
        <v>0</v>
      </c>
      <c r="AQ10" s="67">
        <f t="shared" si="10"/>
        <v>0</v>
      </c>
      <c r="AZ10" s="59" t="str">
        <f t="shared" si="5"/>
        <v>Exterior Lighting</v>
      </c>
      <c r="BA10" s="59" t="s">
        <v>227</v>
      </c>
      <c r="BB10" s="114">
        <f>IFERROR(INDEX(Calculations!$AC$99:$AR$111,1,MATCH($G10,Calculations!$AC$4:$AR$4,0)),0)</f>
        <v>0</v>
      </c>
      <c r="BC10" s="114">
        <f>IFERROR(INDEX(Calculations!$AC$99:$AR$111,2,MATCH($G10,Calculations!$AC$4:$AR$4,0)),0)</f>
        <v>0</v>
      </c>
      <c r="BD10" s="114">
        <f>IFERROR(INDEX(Calculations!$AC$99:$AR$111,MATCH($C$4,Calculations!$A$9:$A$21,0),MATCH($G10,Calculations!$AC$4:$AR$4,0)),0)</f>
        <v>0</v>
      </c>
      <c r="BE10" s="67">
        <f t="shared" si="8"/>
        <v>0</v>
      </c>
      <c r="BF10" s="67">
        <f t="shared" si="8"/>
        <v>0</v>
      </c>
    </row>
    <row r="11" spans="1:94">
      <c r="F11" s="174" t="str">
        <f>Calculations!AE6</f>
        <v>No</v>
      </c>
      <c r="G11" s="59" t="str">
        <f>Calculations!AG4</f>
        <v>Equipment</v>
      </c>
      <c r="H11" s="59" t="str">
        <f>'Project Info'!$I$6</f>
        <v>kBtu</v>
      </c>
      <c r="I11" s="66">
        <f>IFERROR(INDEX(Calculations!$AC$9:$AR$21,1,MATCH($G11,Calculations!$AC$4:$AR$4,0)),0)</f>
        <v>180081.948</v>
      </c>
      <c r="J11" s="66">
        <f>IFERROR(INDEX(Calculations!$AC$9:$AR$21,2,MATCH($G11,Calculations!$AC$4:$AR$4,0)),0)</f>
        <v>0</v>
      </c>
      <c r="K11" s="66">
        <f>IFERROR(INDEX(Calculations!$AC$9:$AR$21,MATCH($C$4,Calculations!$A$9:$A$21,0),MATCH($G11,Calculations!$AC$4:$AR$4,0)),0)</f>
        <v>180081.948</v>
      </c>
      <c r="L11" s="67">
        <f t="shared" si="6"/>
        <v>0</v>
      </c>
      <c r="M11" s="67">
        <f t="shared" si="7"/>
        <v>0</v>
      </c>
      <c r="N11" s="154"/>
      <c r="O11" s="154"/>
      <c r="P11" s="154"/>
      <c r="Q11" s="154"/>
      <c r="R11" s="154"/>
      <c r="S11" s="154"/>
      <c r="V11" s="59" t="str">
        <f t="shared" si="1"/>
        <v>Equipment</v>
      </c>
      <c r="W11" s="59" t="str">
        <f>'Project Info'!$I$6</f>
        <v>kBtu</v>
      </c>
      <c r="X11" s="66">
        <f>IFERROR(INDEX(Calculations!$AC$39:$AR$57,1,MATCH($G11,Calculations!$AC$4:$AR$4,0)),0)</f>
        <v>504229.45439999999</v>
      </c>
      <c r="Y11" s="66">
        <f>IFERROR(INDEX(Calculations!$AC$39:$AR$57,2,MATCH($G11,Calculations!$AC$4:$AR$4,0)),0)</f>
        <v>0</v>
      </c>
      <c r="Z11" s="66">
        <f>IFERROR(INDEX(Calculations!$AC$39:$AR$57,MATCH($C$4,Calculations!$A$39:$A$57,0),MATCH($G11,Calculations!$AC$4:$AR$4,0)),0)</f>
        <v>504229.45439999999</v>
      </c>
      <c r="AA11" s="67">
        <f t="shared" si="2"/>
        <v>0.64285714285714279</v>
      </c>
      <c r="AB11" s="67">
        <f t="shared" si="3"/>
        <v>0</v>
      </c>
      <c r="AK11" s="59" t="str">
        <f t="shared" si="4"/>
        <v>Equipment</v>
      </c>
      <c r="AL11" s="59" t="str">
        <f>'Project Info'!$G$22</f>
        <v>kg CO2e</v>
      </c>
      <c r="AM11" s="66">
        <f>IFERROR(INDEX(Calculations!$AC$69:$AR$81,1,MATCH($AK11,Calculations!$AC$4:$AR$4,0)),0)</f>
        <v>21321.841129613676</v>
      </c>
      <c r="AN11" s="66">
        <f>IFERROR(INDEX(Calculations!$AC$69:$AR$81,2,MATCH($AK11,Calculations!$AC$4:$AR$4,0)),0)</f>
        <v>0</v>
      </c>
      <c r="AO11" s="66">
        <f>IFERROR(INDEX(Calculations!$AC$69:$AR$81,MATCH($C$4,Calculations!$A$69:$A$81,0),MATCH($AK11,Calculations!$AC$4:$AR$4,0)),0)</f>
        <v>21321.841129613676</v>
      </c>
      <c r="AP11" s="67">
        <f t="shared" si="9"/>
        <v>0</v>
      </c>
      <c r="AQ11" s="67">
        <f t="shared" si="10"/>
        <v>0</v>
      </c>
      <c r="AZ11" s="59" t="str">
        <f t="shared" si="5"/>
        <v>Equipment</v>
      </c>
      <c r="BA11" s="59" t="s">
        <v>227</v>
      </c>
      <c r="BB11" s="114">
        <f>IFERROR(INDEX(Calculations!$AC$99:$AR$111,1,MATCH($G11,Calculations!$AC$4:$AR$4,0)),0)</f>
        <v>6544.3274754259792</v>
      </c>
      <c r="BC11" s="114">
        <f>IFERROR(INDEX(Calculations!$AC$99:$AR$111,2,MATCH($G11,Calculations!$AC$4:$AR$4,0)),0)</f>
        <v>0</v>
      </c>
      <c r="BD11" s="114">
        <f>IFERROR(INDEX(Calculations!$AC$99:$AR$111,MATCH($C$4,Calculations!$A$9:$A$21,0),MATCH($G11,Calculations!$AC$4:$AR$4,0)),0)</f>
        <v>6544.3274754259792</v>
      </c>
      <c r="BE11" s="67">
        <f t="shared" si="8"/>
        <v>0</v>
      </c>
      <c r="BF11" s="67">
        <f t="shared" si="8"/>
        <v>0</v>
      </c>
    </row>
    <row r="12" spans="1:94" ht="15.6" thickBot="1">
      <c r="B12" s="63" t="s">
        <v>232</v>
      </c>
      <c r="C12" s="63" t="s">
        <v>233</v>
      </c>
      <c r="D12" s="63" t="s">
        <v>234</v>
      </c>
      <c r="F12" s="174" t="str">
        <f>Calculations!AF6</f>
        <v>No</v>
      </c>
      <c r="G12" s="59" t="str">
        <f>Calculations!AH4</f>
        <v>Exterior Equipment</v>
      </c>
      <c r="H12" s="59" t="str">
        <f>'Project Info'!$I$6</f>
        <v>kBtu</v>
      </c>
      <c r="I12" s="66">
        <f>IFERROR(INDEX(Calculations!$AC$9:$AR$21,1,MATCH($G12,Calculations!$AC$4:$AR$4,0)),0)</f>
        <v>0</v>
      </c>
      <c r="J12" s="66">
        <f>IFERROR(INDEX(Calculations!$AC$9:$AR$21,2,MATCH($G12,Calculations!$AC$4:$AR$4,0)),0)</f>
        <v>0</v>
      </c>
      <c r="K12" s="66">
        <f>IFERROR(INDEX(Calculations!$AC$9:$AR$21,MATCH($C$4,Calculations!$A$9:$A$21,0),MATCH($G12,Calculations!$AC$4:$AR$4,0)),0)</f>
        <v>0</v>
      </c>
      <c r="L12" s="67">
        <f t="shared" si="6"/>
        <v>0</v>
      </c>
      <c r="M12" s="67">
        <f t="shared" si="7"/>
        <v>0</v>
      </c>
      <c r="N12" s="154"/>
      <c r="O12" s="154"/>
      <c r="P12" s="154"/>
      <c r="Q12" s="154"/>
      <c r="R12" s="154"/>
      <c r="S12" s="154"/>
      <c r="V12" s="59" t="str">
        <f t="shared" si="1"/>
        <v>Exterior Equipment</v>
      </c>
      <c r="W12" s="59" t="str">
        <f>'Project Info'!$I$6</f>
        <v>kBtu</v>
      </c>
      <c r="X12" s="66">
        <f>IFERROR(INDEX(Calculations!$AC$39:$AR$57,1,MATCH($G12,Calculations!$AC$4:$AR$4,0)),0)</f>
        <v>0</v>
      </c>
      <c r="Y12" s="66">
        <f>IFERROR(INDEX(Calculations!$AC$39:$AR$57,2,MATCH($G12,Calculations!$AC$4:$AR$4,0)),0)</f>
        <v>0</v>
      </c>
      <c r="Z12" s="66">
        <f>IFERROR(INDEX(Calculations!$AC$39:$AR$57,MATCH($C$4,Calculations!$A$39:$A$57,0),MATCH($G12,Calculations!$AC$4:$AR$4,0)),0)</f>
        <v>0</v>
      </c>
      <c r="AA12" s="67">
        <f t="shared" si="2"/>
        <v>0</v>
      </c>
      <c r="AB12" s="67">
        <f t="shared" si="3"/>
        <v>0</v>
      </c>
      <c r="AK12" s="59" t="str">
        <f t="shared" si="4"/>
        <v>Exterior Equipment</v>
      </c>
      <c r="AL12" s="59" t="str">
        <f>'Project Info'!$G$22</f>
        <v>kg CO2e</v>
      </c>
      <c r="AM12" s="66">
        <f>IFERROR(INDEX(Calculations!$AC$69:$AR$81,1,MATCH($AK12,Calculations!$AC$4:$AR$4,0)),0)</f>
        <v>0</v>
      </c>
      <c r="AN12" s="66">
        <f>IFERROR(INDEX(Calculations!$AC$69:$AR$81,2,MATCH($AK12,Calculations!$AC$4:$AR$4,0)),0)</f>
        <v>0</v>
      </c>
      <c r="AO12" s="66">
        <f>IFERROR(INDEX(Calculations!$AC$69:$AR$81,MATCH($C$4,Calculations!$A$69:$A$81,0),MATCH($AK12,Calculations!$AC$4:$AR$4,0)),0)</f>
        <v>0</v>
      </c>
      <c r="AP12" s="67">
        <f t="shared" si="9"/>
        <v>0</v>
      </c>
      <c r="AQ12" s="67">
        <f t="shared" si="10"/>
        <v>0</v>
      </c>
      <c r="AZ12" s="59" t="str">
        <f t="shared" si="5"/>
        <v>Exterior Equipment</v>
      </c>
      <c r="BA12" s="59" t="s">
        <v>227</v>
      </c>
      <c r="BB12" s="114">
        <f>IFERROR(INDEX(Calculations!$AC$99:$AR$111,1,MATCH($G12,Calculations!$AC$4:$AR$4,0)),0)</f>
        <v>0</v>
      </c>
      <c r="BC12" s="114">
        <f>IFERROR(INDEX(Calculations!$AC$99:$AR$111,2,MATCH($G12,Calculations!$AC$4:$AR$4,0)),0)</f>
        <v>0</v>
      </c>
      <c r="BD12" s="114">
        <f>IFERROR(INDEX(Calculations!$AC$99:$AR$111,MATCH($C$4,Calculations!$A$9:$A$21,0),MATCH($G12,Calculations!$AC$4:$AR$4,0)),0)</f>
        <v>0</v>
      </c>
      <c r="BE12" s="67">
        <f t="shared" si="8"/>
        <v>0</v>
      </c>
      <c r="BF12" s="67">
        <f t="shared" si="8"/>
        <v>0</v>
      </c>
    </row>
    <row r="13" spans="1:94">
      <c r="B13" s="59" t="str">
        <f>INDEX('LEED Calc'!$C10:$O10,MATCH('Project Info'!$D$12,'LEED Calc'!$C$3:$O$3,0))</f>
        <v>Optimize Energy Performance</v>
      </c>
      <c r="C13" s="67">
        <f>IF($B13=0," ",INDEX('LEED Calc'!$C15:$O15,MATCH('Project Info'!$D$12,'LEED Calc'!$C$3:$O$3,0)))</f>
        <v>0</v>
      </c>
      <c r="D13" s="59">
        <f>IF($B13=0," ",INDEX('LEED Calc'!$C20:$O20,MATCH('Project Info'!$D$12,'LEED Calc'!$C$3:$O$3,0)))</f>
        <v>0</v>
      </c>
      <c r="F13" s="174" t="str">
        <f>Calculations!AG6</f>
        <v>Yes</v>
      </c>
      <c r="G13" s="59" t="str">
        <f>Calculations!AI4</f>
        <v>Fans</v>
      </c>
      <c r="H13" s="59" t="str">
        <f>'Project Info'!$I$6</f>
        <v>kBtu</v>
      </c>
      <c r="I13" s="66">
        <f>IFERROR(INDEX(Calculations!$AC$9:$AR$21,1,MATCH($G13,Calculations!$AC$4:$AR$4,0)),0)</f>
        <v>174795.90700000001</v>
      </c>
      <c r="J13" s="66">
        <f>IFERROR(INDEX(Calculations!$AC$9:$AR$21,2,MATCH($G13,Calculations!$AC$4:$AR$4,0)),0)</f>
        <v>0</v>
      </c>
      <c r="K13" s="66">
        <f>IFERROR(INDEX(Calculations!$AC$9:$AR$21,MATCH($C$4,Calculations!$A$9:$A$21,0),MATCH($G13,Calculations!$AC$4:$AR$4,0)),0)</f>
        <v>174795.90700000001</v>
      </c>
      <c r="L13" s="67">
        <f t="shared" si="6"/>
        <v>0</v>
      </c>
      <c r="M13" s="67">
        <f t="shared" si="7"/>
        <v>0</v>
      </c>
      <c r="N13" s="154"/>
      <c r="O13" s="154"/>
      <c r="P13" s="154"/>
      <c r="Q13" s="154"/>
      <c r="R13" s="154"/>
      <c r="S13" s="154"/>
      <c r="T13" s="159"/>
      <c r="V13" s="59" t="str">
        <f t="shared" si="1"/>
        <v>Fans</v>
      </c>
      <c r="W13" s="59" t="str">
        <f>'Project Info'!$I$6</f>
        <v>kBtu</v>
      </c>
      <c r="X13" s="66">
        <f>IFERROR(INDEX(Calculations!$AC$39:$AR$57,1,MATCH($G13,Calculations!$AC$4:$AR$4,0)),0)</f>
        <v>489428.53959999996</v>
      </c>
      <c r="Y13" s="66">
        <f>IFERROR(INDEX(Calculations!$AC$39:$AR$57,2,MATCH($G13,Calculations!$AC$4:$AR$4,0)),0)</f>
        <v>0</v>
      </c>
      <c r="Z13" s="66">
        <f>IFERROR(INDEX(Calculations!$AC$39:$AR$57,MATCH($C$4,Calculations!$A$39:$A$57,0),MATCH($G13,Calculations!$AC$4:$AR$4,0)),0)</f>
        <v>489428.53959999996</v>
      </c>
      <c r="AA13" s="67">
        <f t="shared" si="2"/>
        <v>0.64285714285714279</v>
      </c>
      <c r="AB13" s="67">
        <f t="shared" si="3"/>
        <v>0</v>
      </c>
      <c r="AK13" s="59" t="str">
        <f t="shared" si="4"/>
        <v>Fans</v>
      </c>
      <c r="AL13" s="59" t="str">
        <f>'Project Info'!$G$22</f>
        <v>kg CO2e</v>
      </c>
      <c r="AM13" s="66">
        <f>IFERROR(INDEX(Calculations!$AC$69:$AR$81,1,MATCH($AK13,Calculations!$AC$4:$AR$4,0)),0)</f>
        <v>20695.969810148472</v>
      </c>
      <c r="AN13" s="66">
        <f>IFERROR(INDEX(Calculations!$AC$69:$AR$81,2,MATCH($AK13,Calculations!$AC$4:$AR$4,0)),0)</f>
        <v>0</v>
      </c>
      <c r="AO13" s="66">
        <f>IFERROR(INDEX(Calculations!$AC$69:$AR$81,MATCH($C$4,Calculations!$A$69:$A$81,0),MATCH($AK13,Calculations!$AC$4:$AR$4,0)),0)</f>
        <v>20695.969810148472</v>
      </c>
      <c r="AP13" s="67">
        <f t="shared" si="9"/>
        <v>0</v>
      </c>
      <c r="AQ13" s="67">
        <f t="shared" si="10"/>
        <v>0</v>
      </c>
      <c r="AZ13" s="59" t="str">
        <f t="shared" si="5"/>
        <v>Fans</v>
      </c>
      <c r="BA13" s="59" t="s">
        <v>227</v>
      </c>
      <c r="BB13" s="114">
        <f>IFERROR(INDEX(Calculations!$AC$99:$AR$111,1,MATCH($G13,Calculations!$AC$4:$AR$4,0)),0)</f>
        <v>6352.2283575703223</v>
      </c>
      <c r="BC13" s="114">
        <f>IFERROR(INDEX(Calculations!$AC$99:$AR$111,2,MATCH($G13,Calculations!$AC$4:$AR$4,0)),0)</f>
        <v>0</v>
      </c>
      <c r="BD13" s="114">
        <f>IFERROR(INDEX(Calculations!$AC$99:$AR$111,MATCH($C$4,Calculations!$A$9:$A$21,0),MATCH($G13,Calculations!$AC$4:$AR$4,0)),0)</f>
        <v>6352.2283575703223</v>
      </c>
      <c r="BE13" s="67">
        <f t="shared" si="8"/>
        <v>0</v>
      </c>
      <c r="BF13" s="67">
        <f t="shared" si="8"/>
        <v>0</v>
      </c>
    </row>
    <row r="14" spans="1:94">
      <c r="B14" s="59" t="str">
        <f>INDEX('LEED Calc'!$C11:$O11,MATCH('Project Info'!$D$12,'LEED Calc'!$C$3:$O$3,0))</f>
        <v xml:space="preserve">  EApc95 Alternative Metric</v>
      </c>
      <c r="C14" s="67">
        <f>IF($B14=0," ",INDEX('LEED Calc'!$C16:$O16,MATCH('Project Info'!$D$12,'LEED Calc'!$C$3:$O$3,0)))</f>
        <v>0</v>
      </c>
      <c r="D14" s="59">
        <f>IF($B14=0," ",INDEX('LEED Calc'!$C21:$O21,MATCH('Project Info'!$D$12,'LEED Calc'!$C$3:$O$3,0)))</f>
        <v>0</v>
      </c>
      <c r="E14" s="163"/>
      <c r="F14" s="174" t="str">
        <f>Calculations!AH6</f>
        <v>Yes</v>
      </c>
      <c r="G14" s="59" t="str">
        <f>Calculations!AJ4</f>
        <v>Pumps</v>
      </c>
      <c r="H14" s="59" t="str">
        <f>'Project Info'!$I$6</f>
        <v>kBtu</v>
      </c>
      <c r="I14" s="66">
        <f>IFERROR(INDEX(Calculations!$AC$9:$AR$21,1,MATCH($G14,Calculations!$AC$4:$AR$4,0)),0)</f>
        <v>0</v>
      </c>
      <c r="J14" s="66">
        <f>IFERROR(INDEX(Calculations!$AC$9:$AR$21,2,MATCH($G14,Calculations!$AC$4:$AR$4,0)),0)</f>
        <v>0</v>
      </c>
      <c r="K14" s="66">
        <f>IFERROR(INDEX(Calculations!$AC$9:$AR$21,MATCH($C$4,Calculations!$A$9:$A$21,0),MATCH($G14,Calculations!$AC$4:$AR$4,0)),0)</f>
        <v>0</v>
      </c>
      <c r="L14" s="67">
        <f t="shared" si="6"/>
        <v>0</v>
      </c>
      <c r="M14" s="67">
        <f t="shared" si="7"/>
        <v>0</v>
      </c>
      <c r="N14" s="154"/>
      <c r="O14" s="154"/>
      <c r="P14" s="154"/>
      <c r="Q14" s="154"/>
      <c r="R14" s="154"/>
      <c r="S14" s="154"/>
      <c r="T14" s="159"/>
      <c r="V14" s="59" t="str">
        <f t="shared" si="1"/>
        <v>Pumps</v>
      </c>
      <c r="W14" s="59" t="str">
        <f>'Project Info'!$I$6</f>
        <v>kBtu</v>
      </c>
      <c r="X14" s="66">
        <f>IFERROR(INDEX(Calculations!$AC$39:$AR$57,1,MATCH($G14,Calculations!$AC$4:$AR$4,0)),0)</f>
        <v>0</v>
      </c>
      <c r="Y14" s="66">
        <f>IFERROR(INDEX(Calculations!$AC$39:$AR$57,2,MATCH($G14,Calculations!$AC$4:$AR$4,0)),0)</f>
        <v>0</v>
      </c>
      <c r="Z14" s="66">
        <f>IFERROR(INDEX(Calculations!$AC$39:$AR$57,MATCH($C$4,Calculations!$A$39:$A$57,0),MATCH($G14,Calculations!$AC$4:$AR$4,0)),0)</f>
        <v>0</v>
      </c>
      <c r="AA14" s="67">
        <f t="shared" si="2"/>
        <v>0</v>
      </c>
      <c r="AB14" s="67">
        <f t="shared" si="3"/>
        <v>0</v>
      </c>
      <c r="AK14" s="59" t="str">
        <f t="shared" si="4"/>
        <v>Pumps</v>
      </c>
      <c r="AL14" s="59" t="str">
        <f>'Project Info'!$G$22</f>
        <v>kg CO2e</v>
      </c>
      <c r="AM14" s="66">
        <f>IFERROR(INDEX(Calculations!$AC$69:$AR$81,1,MATCH($AK14,Calculations!$AC$4:$AR$4,0)),0)</f>
        <v>0</v>
      </c>
      <c r="AN14" s="66">
        <f>IFERROR(INDEX(Calculations!$AC$69:$AR$81,2,MATCH($AK14,Calculations!$AC$4:$AR$4,0)),0)</f>
        <v>0</v>
      </c>
      <c r="AO14" s="66">
        <f>IFERROR(INDEX(Calculations!$AC$69:$AR$81,MATCH($C$4,Calculations!$A$69:$A$81,0),MATCH($AK14,Calculations!$AC$4:$AR$4,0)),0)</f>
        <v>0</v>
      </c>
      <c r="AP14" s="67">
        <f t="shared" si="9"/>
        <v>0</v>
      </c>
      <c r="AQ14" s="67">
        <f t="shared" si="10"/>
        <v>0</v>
      </c>
      <c r="AZ14" s="59" t="str">
        <f t="shared" si="5"/>
        <v>Pumps</v>
      </c>
      <c r="BA14" s="59" t="s">
        <v>227</v>
      </c>
      <c r="BB14" s="114">
        <f>IFERROR(INDEX(Calculations!$AC$99:$AR$111,1,MATCH($G14,Calculations!$AC$4:$AR$4,0)),0)</f>
        <v>0</v>
      </c>
      <c r="BC14" s="114">
        <f>IFERROR(INDEX(Calculations!$AC$99:$AR$111,2,MATCH($G14,Calculations!$AC$4:$AR$4,0)),0)</f>
        <v>0</v>
      </c>
      <c r="BD14" s="114">
        <f>IFERROR(INDEX(Calculations!$AC$99:$AR$111,MATCH($C$4,Calculations!$A$9:$A$21,0),MATCH($G14,Calculations!$AC$4:$AR$4,0)),0)</f>
        <v>0</v>
      </c>
      <c r="BE14" s="67">
        <f t="shared" si="8"/>
        <v>0</v>
      </c>
      <c r="BF14" s="67">
        <f t="shared" si="8"/>
        <v>0</v>
      </c>
    </row>
    <row r="15" spans="1:94">
      <c r="B15" s="59" t="str">
        <f>INDEX('LEED Calc'!$C12:$O12,MATCH('Project Info'!$D$12,'LEED Calc'!$C$3:$O$3,0))</f>
        <v>Renewable Energy Production</v>
      </c>
      <c r="C15" s="67">
        <f>IF($B15=0," ",INDEX('LEED Calc'!$C17:$O17,MATCH('Project Info'!$D$12,'LEED Calc'!$C$3:$O$3,0)))</f>
        <v>0</v>
      </c>
      <c r="D15" s="59">
        <f>IF($B15=0," ",INDEX('LEED Calc'!$C22:$O22,MATCH('Project Info'!$D$12,'LEED Calc'!$C$3:$O$3,0)))</f>
        <v>0</v>
      </c>
      <c r="F15" s="174" t="str">
        <f>Calculations!AI6</f>
        <v>No</v>
      </c>
      <c r="G15" s="59" t="str">
        <f>Calculations!AK4</f>
        <v>Heat Rejection</v>
      </c>
      <c r="H15" s="59" t="str">
        <f>'Project Info'!$I$6</f>
        <v>kBtu</v>
      </c>
      <c r="I15" s="66">
        <f>IFERROR(INDEX(Calculations!$AC$9:$AR$21,1,MATCH($G15,Calculations!$AC$4:$AR$4,0)),0)</f>
        <v>0</v>
      </c>
      <c r="J15" s="66">
        <f>IFERROR(INDEX(Calculations!$AC$9:$AR$21,2,MATCH($G15,Calculations!$AC$4:$AR$4,0)),0)</f>
        <v>0</v>
      </c>
      <c r="K15" s="66">
        <f>IFERROR(INDEX(Calculations!$AC$9:$AR$21,MATCH($C$4,Calculations!$A$9:$A$21,0),MATCH($G15,Calculations!$AC$4:$AR$4,0)),0)</f>
        <v>0</v>
      </c>
      <c r="L15" s="67">
        <f t="shared" si="6"/>
        <v>0</v>
      </c>
      <c r="M15" s="67">
        <f t="shared" si="7"/>
        <v>0</v>
      </c>
      <c r="N15" s="154"/>
      <c r="O15" s="154"/>
      <c r="P15" s="154"/>
      <c r="Q15" s="154"/>
      <c r="R15" s="154"/>
      <c r="S15" s="154"/>
      <c r="T15" s="158"/>
      <c r="V15" s="59" t="str">
        <f t="shared" si="1"/>
        <v>Heat Rejection</v>
      </c>
      <c r="W15" s="59" t="str">
        <f>'Project Info'!$I$6</f>
        <v>kBtu</v>
      </c>
      <c r="X15" s="66">
        <f>IFERROR(INDEX(Calculations!$AC$39:$AR$57,1,MATCH($G15,Calculations!$AC$4:$AR$4,0)),0)</f>
        <v>0</v>
      </c>
      <c r="Y15" s="66">
        <f>IFERROR(INDEX(Calculations!$AC$39:$AR$57,2,MATCH($G15,Calculations!$AC$4:$AR$4,0)),0)</f>
        <v>0</v>
      </c>
      <c r="Z15" s="66">
        <f>IFERROR(INDEX(Calculations!$AC$39:$AR$57,MATCH($C$4,Calculations!$A$39:$A$57,0),MATCH($G15,Calculations!$AC$4:$AR$4,0)),0)</f>
        <v>0</v>
      </c>
      <c r="AA15" s="67">
        <f t="shared" si="2"/>
        <v>0</v>
      </c>
      <c r="AB15" s="67">
        <f t="shared" si="3"/>
        <v>0</v>
      </c>
      <c r="AK15" s="59" t="str">
        <f t="shared" si="4"/>
        <v>Heat Rejection</v>
      </c>
      <c r="AL15" s="59" t="str">
        <f>'Project Info'!$G$22</f>
        <v>kg CO2e</v>
      </c>
      <c r="AM15" s="66">
        <f>IFERROR(INDEX(Calculations!$AC$69:$AR$81,1,MATCH($AK15,Calculations!$AC$4:$AR$4,0)),0)</f>
        <v>0</v>
      </c>
      <c r="AN15" s="66">
        <f>IFERROR(INDEX(Calculations!$AC$69:$AR$81,2,MATCH($AK15,Calculations!$AC$4:$AR$4,0)),0)</f>
        <v>0</v>
      </c>
      <c r="AO15" s="66">
        <f>IFERROR(INDEX(Calculations!$AC$69:$AR$81,MATCH($C$4,Calculations!$A$69:$A$81,0),MATCH($AK15,Calculations!$AC$4:$AR$4,0)),0)</f>
        <v>0</v>
      </c>
      <c r="AP15" s="67">
        <f t="shared" si="9"/>
        <v>0</v>
      </c>
      <c r="AQ15" s="67">
        <f t="shared" si="10"/>
        <v>0</v>
      </c>
      <c r="AZ15" s="59" t="str">
        <f t="shared" si="5"/>
        <v>Heat Rejection</v>
      </c>
      <c r="BA15" s="59" t="s">
        <v>227</v>
      </c>
      <c r="BB15" s="114">
        <f>IFERROR(INDEX(Calculations!$AC$99:$AR$111,1,MATCH($G15,Calculations!$AC$4:$AR$4,0)),0)</f>
        <v>0</v>
      </c>
      <c r="BC15" s="114">
        <f>IFERROR(INDEX(Calculations!$AC$99:$AR$111,2,MATCH($G15,Calculations!$AC$4:$AR$4,0)),0)</f>
        <v>0</v>
      </c>
      <c r="BD15" s="114">
        <f>IFERROR(INDEX(Calculations!$AC$99:$AR$111,MATCH($C$4,Calculations!$A$9:$A$21,0),MATCH($G15,Calculations!$AC$4:$AR$4,0)),0)</f>
        <v>0</v>
      </c>
      <c r="BE15" s="67">
        <f t="shared" si="8"/>
        <v>0</v>
      </c>
      <c r="BF15" s="67">
        <f t="shared" si="8"/>
        <v>0</v>
      </c>
    </row>
    <row r="16" spans="1:94">
      <c r="B16" s="59">
        <f>INDEX('LEED Calc'!$C13:$O13,MATCH('Project Info'!$D$12,'LEED Calc'!$C$3:$O$3,0))</f>
        <v>0</v>
      </c>
      <c r="C16" s="67" t="str">
        <f>IF($B16=0," ",INDEX('LEED Calc'!$C18:$O18,MATCH('Project Info'!$D$12,'LEED Calc'!$C$3:$O$3,0)))</f>
        <v xml:space="preserve"> </v>
      </c>
      <c r="D16" s="59" t="str">
        <f>IF($B16=0," ",INDEX('LEED Calc'!$C23:$O23,MATCH('Project Info'!$D$12,'LEED Calc'!$C$3:$O$3,0)))</f>
        <v xml:space="preserve"> </v>
      </c>
      <c r="F16" s="174" t="str">
        <f>Calculations!AJ6</f>
        <v>No</v>
      </c>
      <c r="G16" s="59" t="str">
        <f>Calculations!AL4</f>
        <v>Humidification</v>
      </c>
      <c r="H16" s="59" t="str">
        <f>'Project Info'!$I$6</f>
        <v>kBtu</v>
      </c>
      <c r="I16" s="66">
        <f>IFERROR(INDEX(Calculations!$AC$9:$AR$21,1,MATCH($G16,Calculations!$AC$4:$AR$4,0)),0)</f>
        <v>0</v>
      </c>
      <c r="J16" s="66">
        <f>IFERROR(INDEX(Calculations!$AC$9:$AR$21,2,MATCH($G16,Calculations!$AC$4:$AR$4,0)),0)</f>
        <v>0</v>
      </c>
      <c r="K16" s="66">
        <f>IFERROR(INDEX(Calculations!$AC$9:$AR$21,MATCH($C$4,Calculations!$A$9:$A$21,0),MATCH($G16,Calculations!$AC$4:$AR$4,0)),0)</f>
        <v>0</v>
      </c>
      <c r="L16" s="67">
        <f t="shared" si="6"/>
        <v>0</v>
      </c>
      <c r="M16" s="67">
        <f t="shared" si="7"/>
        <v>0</v>
      </c>
      <c r="N16" s="154"/>
      <c r="O16" s="154"/>
      <c r="P16" s="154"/>
      <c r="Q16" s="154"/>
      <c r="R16" s="154"/>
      <c r="S16" s="154"/>
      <c r="V16" s="59" t="str">
        <f t="shared" si="1"/>
        <v>Humidification</v>
      </c>
      <c r="W16" s="59" t="str">
        <f>'Project Info'!$I$6</f>
        <v>kBtu</v>
      </c>
      <c r="X16" s="66">
        <f>IFERROR(INDEX(Calculations!$AC$39:$AR$57,1,MATCH($G16,Calculations!$AC$4:$AR$4,0)),0)</f>
        <v>0</v>
      </c>
      <c r="Y16" s="66">
        <f>IFERROR(INDEX(Calculations!$AC$39:$AR$57,2,MATCH($G16,Calculations!$AC$4:$AR$4,0)),0)</f>
        <v>0</v>
      </c>
      <c r="Z16" s="66">
        <f>IFERROR(INDEX(Calculations!$AC$39:$AR$57,MATCH($C$4,Calculations!$A$39:$A$57,0),MATCH($G16,Calculations!$AC$4:$AR$4,0)),0)</f>
        <v>0</v>
      </c>
      <c r="AA16" s="67">
        <f t="shared" si="2"/>
        <v>0</v>
      </c>
      <c r="AB16" s="67">
        <f t="shared" si="3"/>
        <v>0</v>
      </c>
      <c r="AK16" s="59" t="str">
        <f t="shared" si="4"/>
        <v>Humidification</v>
      </c>
      <c r="AL16" s="59" t="str">
        <f>'Project Info'!$G$22</f>
        <v>kg CO2e</v>
      </c>
      <c r="AM16" s="66">
        <f>IFERROR(INDEX(Calculations!$AC$69:$AR$81,1,MATCH($AK16,Calculations!$AC$4:$AR$4,0)),0)</f>
        <v>0</v>
      </c>
      <c r="AN16" s="66">
        <f>IFERROR(INDEX(Calculations!$AC$69:$AR$81,2,MATCH($AK16,Calculations!$AC$4:$AR$4,0)),0)</f>
        <v>0</v>
      </c>
      <c r="AO16" s="66">
        <f>IFERROR(INDEX(Calculations!$AC$69:$AR$81,MATCH($C$4,Calculations!$A$69:$A$81,0),MATCH($AK16,Calculations!$AC$4:$AR$4,0)),0)</f>
        <v>0</v>
      </c>
      <c r="AP16" s="67">
        <f t="shared" si="9"/>
        <v>0</v>
      </c>
      <c r="AQ16" s="67">
        <f t="shared" si="10"/>
        <v>0</v>
      </c>
      <c r="AZ16" s="59" t="str">
        <f t="shared" si="5"/>
        <v>Humidification</v>
      </c>
      <c r="BA16" s="59" t="s">
        <v>227</v>
      </c>
      <c r="BB16" s="114">
        <f>IFERROR(INDEX(Calculations!$AC$99:$AR$111,1,MATCH($G16,Calculations!$AC$4:$AR$4,0)),0)</f>
        <v>0</v>
      </c>
      <c r="BC16" s="114">
        <f>IFERROR(INDEX(Calculations!$AC$99:$AR$111,2,MATCH($G16,Calculations!$AC$4:$AR$4,0)),0)</f>
        <v>0</v>
      </c>
      <c r="BD16" s="114">
        <f>IFERROR(INDEX(Calculations!$AC$99:$AR$111,MATCH($C$4,Calculations!$A$9:$A$21,0),MATCH($G16,Calculations!$AC$4:$AR$4,0)),0)</f>
        <v>0</v>
      </c>
      <c r="BE16" s="67">
        <f t="shared" si="8"/>
        <v>0</v>
      </c>
      <c r="BF16" s="67">
        <f t="shared" si="8"/>
        <v>0</v>
      </c>
    </row>
    <row r="17" spans="2:58">
      <c r="B17" s="59">
        <f>INDEX('LEED Calc'!$C14:$O14,MATCH('Project Info'!$D$12,'LEED Calc'!$C$3:$O$3,0))</f>
        <v>0</v>
      </c>
      <c r="C17" s="67" t="str">
        <f>IF($B17=0," ",INDEX('LEED Calc'!$C19:$O19,MATCH('Project Info'!$D$12,'LEED Calc'!$C$3:$O$3,0)))</f>
        <v xml:space="preserve"> </v>
      </c>
      <c r="D17" s="59" t="str">
        <f>IF($B17=0," ",INDEX('LEED Calc'!$C24:$O24,MATCH('Project Info'!$D$12,'LEED Calc'!$C$3:$O$3,0)))</f>
        <v xml:space="preserve"> </v>
      </c>
      <c r="F17" s="174" t="str">
        <f>Calculations!AK6</f>
        <v>No</v>
      </c>
      <c r="G17" s="59" t="str">
        <f>Calculations!AM4</f>
        <v>Heat Recovery</v>
      </c>
      <c r="H17" s="59" t="str">
        <f>'Project Info'!$I$6</f>
        <v>kBtu</v>
      </c>
      <c r="I17" s="66">
        <f>IFERROR(INDEX(Calculations!$AC$9:$AR$21,1,MATCH($G17,Calculations!$AC$4:$AR$4,0)),0)</f>
        <v>0</v>
      </c>
      <c r="J17" s="66">
        <f>IFERROR(INDEX(Calculations!$AC$9:$AR$21,2,MATCH($G17,Calculations!$AC$4:$AR$4,0)),0)</f>
        <v>0</v>
      </c>
      <c r="K17" s="66">
        <f>IFERROR(INDEX(Calculations!$AC$9:$AR$21,MATCH($C$4,Calculations!$A$9:$A$21,0),MATCH($G17,Calculations!$AC$4:$AR$4,0)),0)</f>
        <v>0</v>
      </c>
      <c r="L17" s="67">
        <f t="shared" si="6"/>
        <v>0</v>
      </c>
      <c r="M17" s="67">
        <f t="shared" si="7"/>
        <v>0</v>
      </c>
      <c r="N17" s="154"/>
      <c r="O17" s="154"/>
      <c r="P17" s="154"/>
      <c r="Q17" s="154"/>
      <c r="R17" s="154"/>
      <c r="S17" s="154"/>
      <c r="V17" s="59" t="str">
        <f t="shared" si="1"/>
        <v>Heat Recovery</v>
      </c>
      <c r="W17" s="59" t="str">
        <f>'Project Info'!$I$6</f>
        <v>kBtu</v>
      </c>
      <c r="X17" s="66">
        <f>IFERROR(INDEX(Calculations!$AC$39:$AR$57,1,MATCH($G17,Calculations!$AC$4:$AR$4,0)),0)</f>
        <v>0</v>
      </c>
      <c r="Y17" s="66">
        <f>IFERROR(INDEX(Calculations!$AC$39:$AR$57,2,MATCH($G17,Calculations!$AC$4:$AR$4,0)),0)</f>
        <v>0</v>
      </c>
      <c r="Z17" s="66">
        <f>IFERROR(INDEX(Calculations!$AC$39:$AR$57,MATCH($C$4,Calculations!$A$39:$A$57,0),MATCH($G17,Calculations!$AC$4:$AR$4,0)),0)</f>
        <v>0</v>
      </c>
      <c r="AA17" s="67">
        <f t="shared" si="2"/>
        <v>0</v>
      </c>
      <c r="AB17" s="67">
        <f t="shared" si="3"/>
        <v>0</v>
      </c>
      <c r="AK17" s="59" t="str">
        <f t="shared" si="4"/>
        <v>Heat Recovery</v>
      </c>
      <c r="AL17" s="59" t="str">
        <f>'Project Info'!$G$22</f>
        <v>kg CO2e</v>
      </c>
      <c r="AM17" s="66">
        <f>IFERROR(INDEX(Calculations!$AC$69:$AR$81,1,MATCH($AK17,Calculations!$AC$4:$AR$4,0)),0)</f>
        <v>0</v>
      </c>
      <c r="AN17" s="66">
        <f>IFERROR(INDEX(Calculations!$AC$69:$AR$81,2,MATCH($AK17,Calculations!$AC$4:$AR$4,0)),0)</f>
        <v>0</v>
      </c>
      <c r="AO17" s="66">
        <f>IFERROR(INDEX(Calculations!$AC$69:$AR$81,MATCH($C$4,Calculations!$A$69:$A$81,0),MATCH($AK17,Calculations!$AC$4:$AR$4,0)),0)</f>
        <v>0</v>
      </c>
      <c r="AP17" s="67">
        <f t="shared" si="9"/>
        <v>0</v>
      </c>
      <c r="AQ17" s="67">
        <f t="shared" si="10"/>
        <v>0</v>
      </c>
      <c r="AZ17" s="59" t="str">
        <f t="shared" si="5"/>
        <v>Heat Recovery</v>
      </c>
      <c r="BA17" s="59" t="s">
        <v>227</v>
      </c>
      <c r="BB17" s="114">
        <f>IFERROR(INDEX(Calculations!$AC$99:$AR$111,1,MATCH($G17,Calculations!$AC$4:$AR$4,0)),0)</f>
        <v>0</v>
      </c>
      <c r="BC17" s="114">
        <f>IFERROR(INDEX(Calculations!$AC$99:$AR$111,2,MATCH($G17,Calculations!$AC$4:$AR$4,0)),0)</f>
        <v>0</v>
      </c>
      <c r="BD17" s="114">
        <f>IFERROR(INDEX(Calculations!$AC$99:$AR$111,MATCH($C$4,Calculations!$A$9:$A$21,0),MATCH($G17,Calculations!$AC$4:$AR$4,0)),0)</f>
        <v>0</v>
      </c>
      <c r="BE17" s="67">
        <f t="shared" si="8"/>
        <v>0</v>
      </c>
      <c r="BF17" s="67">
        <f t="shared" si="8"/>
        <v>0</v>
      </c>
    </row>
    <row r="18" spans="2:58">
      <c r="F18" s="174" t="str">
        <f>Calculations!AL6</f>
        <v>No</v>
      </c>
      <c r="G18" s="59" t="str">
        <f>Calculations!AN4</f>
        <v>Water Systems</v>
      </c>
      <c r="H18" s="59" t="str">
        <f>'Project Info'!$I$6</f>
        <v>kBtu</v>
      </c>
      <c r="I18" s="66">
        <f>IFERROR(INDEX(Calculations!$AC$9:$AR$21,1,MATCH($G18,Calculations!$AC$4:$AR$4,0)),0)</f>
        <v>0</v>
      </c>
      <c r="J18" s="66">
        <f>IFERROR(INDEX(Calculations!$AC$9:$AR$21,2,MATCH($G18,Calculations!$AC$4:$AR$4,0)),0)</f>
        <v>0</v>
      </c>
      <c r="K18" s="66">
        <f>IFERROR(INDEX(Calculations!$AC$9:$AR$21,MATCH($C$4,Calculations!$A$9:$A$21,0),MATCH($G18,Calculations!$AC$4:$AR$4,0)),0)</f>
        <v>0</v>
      </c>
      <c r="L18" s="67">
        <f t="shared" si="6"/>
        <v>0</v>
      </c>
      <c r="M18" s="67">
        <f t="shared" si="7"/>
        <v>0</v>
      </c>
      <c r="N18" s="154"/>
      <c r="O18" s="154"/>
      <c r="P18" s="154"/>
      <c r="Q18" s="154"/>
      <c r="R18" s="154"/>
      <c r="S18" s="154"/>
      <c r="V18" s="59" t="str">
        <f t="shared" si="1"/>
        <v>Water Systems</v>
      </c>
      <c r="W18" s="59" t="str">
        <f>'Project Info'!$I$6</f>
        <v>kBtu</v>
      </c>
      <c r="X18" s="66">
        <f>IFERROR(INDEX(Calculations!$AC$39:$AR$57,1,MATCH($G18,Calculations!$AC$4:$AR$4,0)),0)</f>
        <v>0</v>
      </c>
      <c r="Y18" s="66">
        <f>IFERROR(INDEX(Calculations!$AC$39:$AR$57,2,MATCH($G18,Calculations!$AC$4:$AR$4,0)),0)</f>
        <v>0</v>
      </c>
      <c r="Z18" s="66">
        <f>IFERROR(INDEX(Calculations!$AC$39:$AR$57,MATCH($C$4,Calculations!$A$39:$A$57,0),MATCH($G18,Calculations!$AC$4:$AR$4,0)),0)</f>
        <v>0</v>
      </c>
      <c r="AA18" s="67">
        <f t="shared" si="2"/>
        <v>0</v>
      </c>
      <c r="AB18" s="67">
        <f t="shared" si="3"/>
        <v>0</v>
      </c>
      <c r="AK18" s="59" t="str">
        <f t="shared" si="4"/>
        <v>Water Systems</v>
      </c>
      <c r="AL18" s="59" t="str">
        <f>'Project Info'!$G$22</f>
        <v>kg CO2e</v>
      </c>
      <c r="AM18" s="66">
        <f>IFERROR(INDEX(Calculations!$AC$69:$AR$81,1,MATCH($AK18,Calculations!$AC$4:$AR$4,0)),0)</f>
        <v>0</v>
      </c>
      <c r="AN18" s="66">
        <f>IFERROR(INDEX(Calculations!$AC$69:$AR$81,2,MATCH($AK18,Calculations!$AC$4:$AR$4,0)),0)</f>
        <v>0</v>
      </c>
      <c r="AO18" s="66">
        <f>IFERROR(INDEX(Calculations!$AC$69:$AR$81,MATCH($C$4,Calculations!$A$69:$A$81,0),MATCH($AK18,Calculations!$AC$4:$AR$4,0)),0)</f>
        <v>0</v>
      </c>
      <c r="AP18" s="67">
        <f t="shared" si="9"/>
        <v>0</v>
      </c>
      <c r="AQ18" s="67">
        <f t="shared" si="10"/>
        <v>0</v>
      </c>
      <c r="AZ18" s="59" t="str">
        <f t="shared" si="5"/>
        <v>Water Systems</v>
      </c>
      <c r="BA18" s="59" t="s">
        <v>227</v>
      </c>
      <c r="BB18" s="114">
        <f>IFERROR(INDEX(Calculations!$AC$99:$AR$111,1,MATCH($G18,Calculations!$AC$4:$AR$4,0)),0)</f>
        <v>0</v>
      </c>
      <c r="BC18" s="114">
        <f>IFERROR(INDEX(Calculations!$AC$99:$AR$111,2,MATCH($G18,Calculations!$AC$4:$AR$4,0)),0)</f>
        <v>0</v>
      </c>
      <c r="BD18" s="114">
        <f>IFERROR(INDEX(Calculations!$AC$99:$AR$111,MATCH($C$4,Calculations!$A$9:$A$21,0),MATCH($G18,Calculations!$AC$4:$AR$4,0)),0)</f>
        <v>0</v>
      </c>
      <c r="BE18" s="67">
        <f t="shared" si="8"/>
        <v>0</v>
      </c>
      <c r="BF18" s="67">
        <f t="shared" si="8"/>
        <v>0</v>
      </c>
    </row>
    <row r="19" spans="2:58" ht="15.6" thickBot="1">
      <c r="B19" s="63" t="s">
        <v>235</v>
      </c>
      <c r="C19" s="63"/>
      <c r="D19" s="63"/>
      <c r="F19" s="174" t="str">
        <f>Calculations!AM6</f>
        <v>No</v>
      </c>
      <c r="G19" s="59" t="str">
        <f>Calculations!AO4</f>
        <v>Refrigeration</v>
      </c>
      <c r="H19" s="59" t="str">
        <f>'Project Info'!$I$6</f>
        <v>kBtu</v>
      </c>
      <c r="I19" s="66">
        <f>IFERROR(INDEX(Calculations!$AC$9:$AR$21,1,MATCH($G19,Calculations!$AC$4:$AR$4,0)),0)</f>
        <v>0</v>
      </c>
      <c r="J19" s="66">
        <f>IFERROR(INDEX(Calculations!$AC$9:$AR$21,2,MATCH($G19,Calculations!$AC$4:$AR$4,0)),0)</f>
        <v>0</v>
      </c>
      <c r="K19" s="66">
        <f>IFERROR(INDEX(Calculations!$AC$9:$AR$21,MATCH($C$4,Calculations!$A$9:$A$21,0),MATCH($G19,Calculations!$AC$4:$AR$4,0)),0)</f>
        <v>0</v>
      </c>
      <c r="L19" s="67">
        <f t="shared" si="6"/>
        <v>0</v>
      </c>
      <c r="M19" s="67">
        <f t="shared" si="7"/>
        <v>0</v>
      </c>
      <c r="N19" s="154"/>
      <c r="O19" s="154"/>
      <c r="P19" s="154"/>
      <c r="Q19" s="154"/>
      <c r="R19" s="154"/>
      <c r="S19" s="154"/>
      <c r="V19" s="59" t="str">
        <f t="shared" si="1"/>
        <v>Refrigeration</v>
      </c>
      <c r="W19" s="59" t="str">
        <f>'Project Info'!$I$6</f>
        <v>kBtu</v>
      </c>
      <c r="X19" s="66">
        <f>IFERROR(INDEX(Calculations!$AC$39:$AR$57,1,MATCH($G19,Calculations!$AC$4:$AR$4,0)),0)</f>
        <v>0</v>
      </c>
      <c r="Y19" s="66">
        <f>IFERROR(INDEX(Calculations!$AC$39:$AR$57,2,MATCH($G19,Calculations!$AC$4:$AR$4,0)),0)</f>
        <v>0</v>
      </c>
      <c r="Z19" s="66">
        <f>IFERROR(INDEX(Calculations!$AC$39:$AR$57,MATCH($C$4,Calculations!$A$39:$A$57,0),MATCH($G19,Calculations!$AC$4:$AR$4,0)),0)</f>
        <v>0</v>
      </c>
      <c r="AA19" s="67">
        <f t="shared" si="2"/>
        <v>0</v>
      </c>
      <c r="AB19" s="67">
        <f t="shared" si="3"/>
        <v>0</v>
      </c>
      <c r="AK19" s="59" t="str">
        <f t="shared" si="4"/>
        <v>Refrigeration</v>
      </c>
      <c r="AL19" s="59" t="str">
        <f>'Project Info'!$G$22</f>
        <v>kg CO2e</v>
      </c>
      <c r="AM19" s="66">
        <f>IFERROR(INDEX(Calculations!$AC$69:$AR$81,1,MATCH($AK19,Calculations!$AC$4:$AR$4,0)),0)</f>
        <v>0</v>
      </c>
      <c r="AN19" s="66">
        <f>IFERROR(INDEX(Calculations!$AC$69:$AR$81,2,MATCH($AK19,Calculations!$AC$4:$AR$4,0)),0)</f>
        <v>0</v>
      </c>
      <c r="AO19" s="66">
        <f>IFERROR(INDEX(Calculations!$AC$69:$AR$81,MATCH($C$4,Calculations!$A$69:$A$81,0),MATCH($AK19,Calculations!$AC$4:$AR$4,0)),0)</f>
        <v>0</v>
      </c>
      <c r="AP19" s="67">
        <f t="shared" si="9"/>
        <v>0</v>
      </c>
      <c r="AQ19" s="67">
        <f t="shared" si="10"/>
        <v>0</v>
      </c>
      <c r="AZ19" s="59" t="str">
        <f t="shared" si="5"/>
        <v>Refrigeration</v>
      </c>
      <c r="BA19" s="59" t="s">
        <v>227</v>
      </c>
      <c r="BB19" s="114">
        <f>IFERROR(INDEX(Calculations!$AC$99:$AR$111,1,MATCH($G19,Calculations!$AC$4:$AR$4,0)),0)</f>
        <v>0</v>
      </c>
      <c r="BC19" s="114">
        <f>IFERROR(INDEX(Calculations!$AC$99:$AR$111,2,MATCH($G19,Calculations!$AC$4:$AR$4,0)),0)</f>
        <v>0</v>
      </c>
      <c r="BD19" s="114">
        <f>IFERROR(INDEX(Calculations!$AC$99:$AR$111,MATCH($C$4,Calculations!$A$9:$A$21,0),MATCH($G19,Calculations!$AC$4:$AR$4,0)),0)</f>
        <v>0</v>
      </c>
      <c r="BE19" s="67">
        <f t="shared" si="8"/>
        <v>0</v>
      </c>
      <c r="BF19" s="67">
        <f t="shared" si="8"/>
        <v>0</v>
      </c>
    </row>
    <row r="20" spans="2:58">
      <c r="B20" s="59" t="str">
        <f>'Project Info'!B7</f>
        <v>Gross Conditioned Floor Area</v>
      </c>
      <c r="C20" s="59" t="s">
        <v>236</v>
      </c>
      <c r="D20" s="59">
        <f>IFERROR(INDEX(Calculations!$B$27:$B$36,MATCH(Report!$C$4,Calculations!$A$12:$A$21,0))*INDEX(Conversions!$C$31:$D$32,MATCH('Project Info'!$E$7,Conversions!$C$30:$D$30,0),MATCH(Report!$C20,Conversions!$B$31:$B$32,0)),0)</f>
        <v>13652</v>
      </c>
      <c r="F20" s="174" t="str">
        <f>Calculations!AN6</f>
        <v>No</v>
      </c>
      <c r="G20" s="59" t="str">
        <f>Calculations!AP4</f>
        <v>Generators</v>
      </c>
      <c r="H20" s="59" t="str">
        <f>'Project Info'!$I$6</f>
        <v>kBtu</v>
      </c>
      <c r="I20" s="66">
        <f>IFERROR(INDEX(Calculations!$AC$9:$AR$21,1,MATCH($G20,Calculations!$AC$4:$AR$4,0)),0)</f>
        <v>0</v>
      </c>
      <c r="J20" s="66">
        <f>IFERROR(INDEX(Calculations!$AC$9:$AR$21,2,MATCH($G20,Calculations!$AC$4:$AR$4,0)),0)</f>
        <v>0</v>
      </c>
      <c r="K20" s="66">
        <f>IFERROR(INDEX(Calculations!$AC$9:$AR$21,MATCH($C$4,Calculations!$A$9:$A$21,0),MATCH($G20,Calculations!$AC$4:$AR$4,0)),0)</f>
        <v>0</v>
      </c>
      <c r="L20" s="67">
        <f t="shared" si="6"/>
        <v>0</v>
      </c>
      <c r="M20" s="67">
        <f t="shared" si="7"/>
        <v>0</v>
      </c>
      <c r="N20" s="154"/>
      <c r="O20" s="154"/>
      <c r="P20" s="154"/>
      <c r="Q20" s="154"/>
      <c r="R20" s="154"/>
      <c r="S20" s="154"/>
      <c r="V20" s="59" t="str">
        <f t="shared" si="1"/>
        <v>Generators</v>
      </c>
      <c r="W20" s="59" t="str">
        <f>'Project Info'!$I$6</f>
        <v>kBtu</v>
      </c>
      <c r="X20" s="66">
        <f>IFERROR(INDEX(Calculations!$AC$39:$AR$57,1,MATCH($G20,Calculations!$AC$4:$AR$4,0)),0)</f>
        <v>0</v>
      </c>
      <c r="Y20" s="66">
        <f>IFERROR(INDEX(Calculations!$AC$39:$AR$57,2,MATCH($G20,Calculations!$AC$4:$AR$4,0)),0)</f>
        <v>0</v>
      </c>
      <c r="Z20" s="66">
        <f>IFERROR(INDEX(Calculations!$AC$39:$AR$57,MATCH($C$4,Calculations!$A$39:$A$57,0),MATCH($G20,Calculations!$AC$4:$AR$4,0)),0)</f>
        <v>0</v>
      </c>
      <c r="AA20" s="67">
        <f t="shared" si="2"/>
        <v>0</v>
      </c>
      <c r="AB20" s="67">
        <f t="shared" si="3"/>
        <v>0</v>
      </c>
      <c r="AK20" s="59" t="str">
        <f t="shared" si="4"/>
        <v>Generators</v>
      </c>
      <c r="AL20" s="59" t="str">
        <f>'Project Info'!$G$22</f>
        <v>kg CO2e</v>
      </c>
      <c r="AM20" s="66">
        <f>IFERROR(INDEX(Calculations!$AC$69:$AR$81,1,MATCH($AK20,Calculations!$AC$4:$AR$4,0)),0)</f>
        <v>0</v>
      </c>
      <c r="AN20" s="66">
        <f>IFERROR(INDEX(Calculations!$AC$69:$AR$81,2,MATCH($AK20,Calculations!$AC$4:$AR$4,0)),0)</f>
        <v>0</v>
      </c>
      <c r="AO20" s="66">
        <f>IFERROR(INDEX(Calculations!$AC$69:$AR$81,MATCH($C$4,Calculations!$A$69:$A$81,0),MATCH($AK20,Calculations!$AC$4:$AR$4,0)),0)</f>
        <v>0</v>
      </c>
      <c r="AP20" s="67">
        <f t="shared" si="9"/>
        <v>0</v>
      </c>
      <c r="AQ20" s="67">
        <f t="shared" si="10"/>
        <v>0</v>
      </c>
      <c r="AZ20" s="59" t="str">
        <f t="shared" si="5"/>
        <v>Generators</v>
      </c>
      <c r="BA20" s="59" t="s">
        <v>227</v>
      </c>
      <c r="BB20" s="114">
        <f>IFERROR(INDEX(Calculations!$AC$99:$AR$111,1,MATCH($G20,Calculations!$AC$4:$AR$4,0)),0)</f>
        <v>0</v>
      </c>
      <c r="BC20" s="114">
        <f>IFERROR(INDEX(Calculations!$AC$99:$AR$111,2,MATCH($G20,Calculations!$AC$4:$AR$4,0)),0)</f>
        <v>0</v>
      </c>
      <c r="BD20" s="114">
        <f>IFERROR(INDEX(Calculations!$AC$99:$AR$111,MATCH($C$4,Calculations!$A$9:$A$21,0),MATCH($G20,Calculations!$AC$4:$AR$4,0)),0)</f>
        <v>0</v>
      </c>
      <c r="BE20" s="67">
        <f t="shared" si="8"/>
        <v>0</v>
      </c>
      <c r="BF20" s="67">
        <f t="shared" si="8"/>
        <v>0</v>
      </c>
    </row>
    <row r="21" spans="2:58">
      <c r="F21" s="174" t="str">
        <f>Calculations!AO6</f>
        <v>Yes</v>
      </c>
      <c r="G21" s="59">
        <f>Calculations!AQ4</f>
        <v>0</v>
      </c>
      <c r="H21" s="59" t="str">
        <f>'Project Info'!$I$6</f>
        <v>kBtu</v>
      </c>
      <c r="I21" s="66">
        <f>IFERROR(INDEX(Calculations!$AC$9:$AR$21,1,MATCH($G21,Calculations!$AC$4:$AR$4,0)),0)</f>
        <v>0</v>
      </c>
      <c r="J21" s="66">
        <f>IFERROR(INDEX(Calculations!$AC$9:$AR$21,2,MATCH($G21,Calculations!$AC$4:$AR$4,0)),0)</f>
        <v>0</v>
      </c>
      <c r="K21" s="66">
        <f>IFERROR(INDEX(Calculations!$AC$9:$AR$21,MATCH($C$4,Calculations!$A$9:$A$21,0),MATCH($G21,Calculations!$AC$4:$AR$4,0)),0)</f>
        <v>0</v>
      </c>
      <c r="L21" s="67">
        <f t="shared" si="6"/>
        <v>0</v>
      </c>
      <c r="M21" s="67">
        <f t="shared" si="7"/>
        <v>0</v>
      </c>
      <c r="N21" s="154"/>
      <c r="O21" s="154"/>
      <c r="P21" s="154"/>
      <c r="Q21" s="154"/>
      <c r="R21" s="154"/>
      <c r="S21" s="154"/>
      <c r="V21" s="59">
        <f t="shared" si="1"/>
        <v>0</v>
      </c>
      <c r="W21" s="59" t="str">
        <f>'Project Info'!$I$6</f>
        <v>kBtu</v>
      </c>
      <c r="X21" s="66">
        <f>IFERROR(INDEX(Calculations!$AC$39:$AR$57,1,MATCH($G21,Calculations!$AC$4:$AR$4,0)),0)</f>
        <v>0</v>
      </c>
      <c r="Y21" s="66">
        <f>IFERROR(INDEX(Calculations!$AC$39:$AR$57,2,MATCH($G21,Calculations!$AC$4:$AR$4,0)),0)</f>
        <v>0</v>
      </c>
      <c r="Z21" s="66">
        <f>IFERROR(INDEX(Calculations!$AC$39:$AR$57,MATCH($C$4,Calculations!$A$39:$A$57,0),MATCH($G21,Calculations!$AC$4:$AR$4,0)),0)</f>
        <v>0</v>
      </c>
      <c r="AA21" s="67">
        <f t="shared" si="2"/>
        <v>0</v>
      </c>
      <c r="AB21" s="67">
        <f t="shared" si="3"/>
        <v>0</v>
      </c>
      <c r="AK21" s="59">
        <f t="shared" si="4"/>
        <v>0</v>
      </c>
      <c r="AL21" s="59" t="str">
        <f>'Project Info'!$G$22</f>
        <v>kg CO2e</v>
      </c>
      <c r="AM21" s="66">
        <f>IFERROR(INDEX(Calculations!$AC$69:$AR$81,1,MATCH($AK21,Calculations!$AC$4:$AR$4,0)),0)</f>
        <v>0</v>
      </c>
      <c r="AN21" s="66">
        <f>IFERROR(INDEX(Calculations!$AC$69:$AR$81,2,MATCH($AK21,Calculations!$AC$4:$AR$4,0)),0)</f>
        <v>0</v>
      </c>
      <c r="AO21" s="66">
        <f>IFERROR(INDEX(Calculations!$AC$69:$AR$81,MATCH($C$4,Calculations!$A$69:$A$81,0),MATCH($AK21,Calculations!$AC$4:$AR$4,0)),0)</f>
        <v>0</v>
      </c>
      <c r="AP21" s="67">
        <f t="shared" si="9"/>
        <v>0</v>
      </c>
      <c r="AQ21" s="67">
        <f t="shared" si="10"/>
        <v>0</v>
      </c>
      <c r="AZ21" s="59">
        <f t="shared" si="5"/>
        <v>0</v>
      </c>
      <c r="BA21" s="59" t="s">
        <v>227</v>
      </c>
      <c r="BB21" s="114">
        <f>IFERROR(INDEX(Calculations!$AC$99:$AR$111,1,MATCH($G21,Calculations!$AC$4:$AR$4,0)),0)</f>
        <v>0</v>
      </c>
      <c r="BC21" s="114">
        <f>IFERROR(INDEX(Calculations!$AC$99:$AR$111,2,MATCH($G21,Calculations!$AC$4:$AR$4,0)),0)</f>
        <v>0</v>
      </c>
      <c r="BD21" s="114">
        <f>IFERROR(INDEX(Calculations!$AC$99:$AR$111,MATCH($C$4,Calculations!$A$9:$A$21,0),MATCH($G21,Calculations!$AC$4:$AR$4,0)),0)</f>
        <v>0</v>
      </c>
      <c r="BE21" s="67">
        <f t="shared" si="8"/>
        <v>0</v>
      </c>
      <c r="BF21" s="67">
        <f t="shared" si="8"/>
        <v>0</v>
      </c>
    </row>
    <row r="22" spans="2:58">
      <c r="B22" s="59" t="s">
        <v>237</v>
      </c>
      <c r="C22" s="59" t="s">
        <v>238</v>
      </c>
      <c r="D22" s="59">
        <f>IFERROR(INDEX(Calculations!$AY$27:$AY$36,MATCH(Report!$C$4,Calculations!$A$12:$A$21,0))*INDEX(Conversions!$C$17:$E$19,MATCH(SiteE!C12,Conversions!$C$16:$E$16,0),MATCH(Report!$C22,Conversions!$B$17:$B$19,0)),0)</f>
        <v>50.503260840902435</v>
      </c>
      <c r="F22" s="174" t="str">
        <f>Calculations!AP6</f>
        <v>No</v>
      </c>
      <c r="G22" s="59">
        <f>Calculations!AR4</f>
        <v>0</v>
      </c>
      <c r="H22" s="59" t="str">
        <f>'Project Info'!$I$6</f>
        <v>kBtu</v>
      </c>
      <c r="I22" s="66">
        <f>IFERROR(INDEX(Calculations!$AC$9:$AR$21,1,MATCH($G22,Calculations!$AC$4:$AR$4,0)),0)</f>
        <v>0</v>
      </c>
      <c r="J22" s="66">
        <f>IFERROR(INDEX(Calculations!$AC$9:$AR$21,2,MATCH($G22,Calculations!$AC$4:$AR$4,0)),0)</f>
        <v>0</v>
      </c>
      <c r="K22" s="66">
        <f>IFERROR(INDEX(Calculations!$AC$9:$AR$21,MATCH($C$4,Calculations!$A$9:$A$21,0),MATCH($G22,Calculations!$AC$4:$AR$4,0)),0)</f>
        <v>0</v>
      </c>
      <c r="L22" s="67">
        <f t="shared" si="6"/>
        <v>0</v>
      </c>
      <c r="M22" s="67">
        <f t="shared" si="7"/>
        <v>0</v>
      </c>
      <c r="N22" s="154"/>
      <c r="O22" s="154"/>
      <c r="P22" s="154"/>
      <c r="Q22" s="154"/>
      <c r="R22" s="154"/>
      <c r="S22" s="154"/>
      <c r="V22" s="59">
        <f t="shared" si="1"/>
        <v>0</v>
      </c>
      <c r="W22" s="59" t="str">
        <f>'Project Info'!$I$6</f>
        <v>kBtu</v>
      </c>
      <c r="X22" s="66">
        <f>IFERROR(INDEX(Calculations!$AC$39:$AR$57,1,MATCH($G22,Calculations!$AC$4:$AR$4,0)),0)</f>
        <v>0</v>
      </c>
      <c r="Y22" s="66">
        <f>IFERROR(INDEX(Calculations!$AC$39:$AR$57,2,MATCH($G22,Calculations!$AC$4:$AR$4,0)),0)</f>
        <v>0</v>
      </c>
      <c r="Z22" s="66">
        <f>IFERROR(INDEX(Calculations!$AC$39:$AR$57,MATCH($C$4,Calculations!$A$39:$A$57,0),MATCH($G22,Calculations!$AC$4:$AR$4,0)),0)</f>
        <v>0</v>
      </c>
      <c r="AA22" s="67">
        <f t="shared" si="2"/>
        <v>0</v>
      </c>
      <c r="AB22" s="67">
        <f t="shared" si="3"/>
        <v>0</v>
      </c>
      <c r="AK22" s="59">
        <f t="shared" si="4"/>
        <v>0</v>
      </c>
      <c r="AL22" s="59" t="str">
        <f>'Project Info'!$G$22</f>
        <v>kg CO2e</v>
      </c>
      <c r="AM22" s="66">
        <f>IFERROR(INDEX(Calculations!$AC$69:$AR$81,1,MATCH($AK22,Calculations!$AC$4:$AR$4,0)),0)</f>
        <v>0</v>
      </c>
      <c r="AN22" s="66">
        <f>IFERROR(INDEX(Calculations!$AC$69:$AR$81,2,MATCH($AK22,Calculations!$AC$4:$AR$4,0)),0)</f>
        <v>0</v>
      </c>
      <c r="AO22" s="66">
        <f>IFERROR(INDEX(Calculations!$AC$69:$AR$81,MATCH($C$4,Calculations!$A$69:$A$81,0),MATCH($AK22,Calculations!$AC$4:$AR$4,0)),0)</f>
        <v>0</v>
      </c>
      <c r="AP22" s="67">
        <f t="shared" si="9"/>
        <v>0</v>
      </c>
      <c r="AQ22" s="67">
        <f t="shared" si="10"/>
        <v>0</v>
      </c>
      <c r="AZ22" s="59">
        <f t="shared" si="5"/>
        <v>0</v>
      </c>
      <c r="BA22" s="59" t="s">
        <v>227</v>
      </c>
      <c r="BB22" s="114">
        <f>IFERROR(INDEX(Calculations!$AC$99:$AR$111,1,MATCH($G22,Calculations!$AC$4:$AR$4,0)),0)</f>
        <v>0</v>
      </c>
      <c r="BC22" s="114">
        <f>IFERROR(INDEX(Calculations!$AC$99:$AR$111,2,MATCH($G22,Calculations!$AC$4:$AR$4,0)),0)</f>
        <v>0</v>
      </c>
      <c r="BD22" s="114">
        <f>IFERROR(INDEX(Calculations!$AC$99:$AR$111,MATCH($C$4,Calculations!$A$9:$A$21,0),MATCH($G22,Calculations!$AC$4:$AR$4,0)),0)</f>
        <v>0</v>
      </c>
      <c r="BE22" s="67">
        <f t="shared" si="8"/>
        <v>0</v>
      </c>
      <c r="BF22" s="67">
        <f t="shared" si="8"/>
        <v>0</v>
      </c>
    </row>
    <row r="23" spans="2:58">
      <c r="B23" s="59" t="s">
        <v>239</v>
      </c>
      <c r="C23" s="59" t="s">
        <v>238</v>
      </c>
      <c r="D23" s="59">
        <f>IFERROR(INDEX(Calculations!$BQ$27:$BQ$36,MATCH(Report!$C$4,Calculations!$A$12:$A$21,0))*INDEX(Conversions!$C$17:$E$19,MATCH(SiteE!C12,Conversions!$C$16:$E$16,0),MATCH(Report!$C23,Conversions!$B$17:$B$19,0)),0)</f>
        <v>50.503260840902435</v>
      </c>
      <c r="F23" s="174" t="str">
        <f>Calculations!AQ6</f>
        <v>No</v>
      </c>
      <c r="G23" s="59" t="s">
        <v>240</v>
      </c>
      <c r="H23" s="59" t="str">
        <f>'Project Info'!$I$6</f>
        <v>kBtu</v>
      </c>
      <c r="I23" s="68"/>
      <c r="J23" s="68"/>
      <c r="K23" s="66">
        <f>-1*IFERROR(INDEX(Calculations!$AY$9:$AY$21,MATCH($C$4,Calculations!$A$9:$A$21,0))-INDEX(Calculations!$BQ$9:$BQ$21,MATCH($C$4,Calculations!$A$9:$A$21,0)),0)</f>
        <v>0</v>
      </c>
      <c r="L23" s="68"/>
      <c r="M23" s="68"/>
      <c r="N23" s="154"/>
      <c r="O23" s="154"/>
      <c r="P23" s="154"/>
      <c r="Q23" s="154"/>
      <c r="R23" s="154"/>
      <c r="S23" s="154"/>
      <c r="V23" s="59" t="str">
        <f t="shared" si="1"/>
        <v>Renewable Energy</v>
      </c>
      <c r="W23" s="59" t="str">
        <f>'Project Info'!$I$6</f>
        <v>kBtu</v>
      </c>
      <c r="X23" s="68"/>
      <c r="Y23" s="68"/>
      <c r="Z23" s="66">
        <f>-1*IFERROR(INDEX(Calculations!$AY$9:$AY$21,MATCH($C$4,Calculations!$A$9:$A$21,0))-INDEX(Calculations!$BQ$9:$BQ$21,MATCH($C$4,Calculations!$A$9:$A$21,0)),0)</f>
        <v>0</v>
      </c>
      <c r="AA23" s="68"/>
      <c r="AB23" s="68"/>
      <c r="AK23" s="59" t="str">
        <f t="shared" si="4"/>
        <v>Renewable Energy</v>
      </c>
      <c r="AL23" s="59" t="str">
        <f>'Project Info'!$G$22</f>
        <v>kg CO2e</v>
      </c>
      <c r="AM23" s="68"/>
      <c r="AN23" s="68"/>
      <c r="AO23" s="66"/>
      <c r="AP23" s="68"/>
      <c r="AQ23" s="68"/>
      <c r="AZ23" s="59" t="str">
        <f t="shared" si="5"/>
        <v>Renewable Energy</v>
      </c>
      <c r="BA23" s="59" t="s">
        <v>227</v>
      </c>
      <c r="BB23" s="115"/>
      <c r="BC23" s="115"/>
      <c r="BD23" s="114">
        <f>-1*IFERROR(INDEX(Calculations!$AY$99:$AY$111,MATCH($C$4,Calculations!$A$99:$A$111,0))-INDEX(Calculations!$BQ$99:$BQ$111,MATCH($C$4,Calculations!$A$99:$A$111,0)),0)</f>
        <v>0</v>
      </c>
      <c r="BE23" s="68"/>
      <c r="BF23" s="68"/>
    </row>
    <row r="24" spans="2:58">
      <c r="B24" s="59" t="str">
        <f>'Project Info'!B10</f>
        <v>AIA 2030 Benchmark EUI (BmEUI)</v>
      </c>
      <c r="C24" s="59" t="s">
        <v>238</v>
      </c>
      <c r="D24" s="59">
        <f>'Project Info'!$D$10</f>
        <v>43</v>
      </c>
      <c r="F24" s="174" t="str">
        <f>Calculations!AR6</f>
        <v>Yes</v>
      </c>
      <c r="G24" s="65" t="str">
        <f>_xlfn.CONCAT("Total ",G4)</f>
        <v>Total Energy Use</v>
      </c>
      <c r="H24" s="65" t="str">
        <f>'Project Info'!$I$6</f>
        <v>kBtu</v>
      </c>
      <c r="I24" s="173">
        <f>SUM(I7:I23)</f>
        <v>689470.51699999999</v>
      </c>
      <c r="J24" s="173">
        <f>SUM(J7:J23)</f>
        <v>0</v>
      </c>
      <c r="K24" s="173">
        <f>SUM(K7:K23)</f>
        <v>689470.51699999999</v>
      </c>
      <c r="L24" s="70">
        <f>IFERROR(1-($K24/I24),0)</f>
        <v>0</v>
      </c>
      <c r="M24" s="70">
        <f>IFERROR(1-($K24/J24),0)</f>
        <v>0</v>
      </c>
      <c r="N24" s="154"/>
      <c r="O24" s="154"/>
      <c r="P24" s="154"/>
      <c r="Q24" s="154"/>
      <c r="R24" s="154"/>
      <c r="S24" s="154"/>
      <c r="V24" s="65" t="str">
        <f>_xlfn.CONCAT("Total ",V4)</f>
        <v>Total Source Energy Use</v>
      </c>
      <c r="W24" s="65" t="str">
        <f>'Project Info'!$I$6</f>
        <v>kBtu</v>
      </c>
      <c r="X24" s="173">
        <f>SUM(X7:X23)</f>
        <v>1930517.4476000001</v>
      </c>
      <c r="Y24" s="173">
        <f>SUM(Y7:Y23)</f>
        <v>0</v>
      </c>
      <c r="Z24" s="173">
        <f>SUM(Z7:Z23)</f>
        <v>1930517.4476000001</v>
      </c>
      <c r="AA24" s="70">
        <f>IFERROR(1-($K24/X24),0)</f>
        <v>0.64285714285714279</v>
      </c>
      <c r="AB24" s="70">
        <f>IFERROR(1-($K24/Y24),0)</f>
        <v>0</v>
      </c>
      <c r="AK24" s="65" t="str">
        <f>_xlfn.CONCAT("Total ",AK4)</f>
        <v>Total Carbon Emissions</v>
      </c>
      <c r="AL24" s="65" t="e">
        <f>#REF!</f>
        <v>#REF!</v>
      </c>
      <c r="AM24" s="73">
        <f>SUM(AM7:AM23)</f>
        <v>81633.839428628373</v>
      </c>
      <c r="AN24" s="73">
        <f>SUM(AN7:AN23)</f>
        <v>0</v>
      </c>
      <c r="AO24" s="73">
        <f>SUM(AO7:AO23)</f>
        <v>81633.839428628373</v>
      </c>
      <c r="AP24" s="70">
        <f>IFERROR(1-($AO24/AM24),0)</f>
        <v>0</v>
      </c>
      <c r="AQ24" s="70">
        <f>IFERROR(1-($AO24/AN24),0)</f>
        <v>0</v>
      </c>
      <c r="AZ24" s="65" t="str">
        <f>_xlfn.CONCAT("Total ",AZ4)</f>
        <v>Total Energy Cost</v>
      </c>
      <c r="BA24" s="65" t="s">
        <v>227</v>
      </c>
      <c r="BB24" s="116">
        <f>SUM(BB7:BB22)</f>
        <v>25055.930913737422</v>
      </c>
      <c r="BC24" s="116">
        <f>SUM(BC7:BC22)</f>
        <v>0</v>
      </c>
      <c r="BD24" s="116">
        <f>SUM(BD7:BD23)</f>
        <v>25055.930913737422</v>
      </c>
      <c r="BE24" s="70">
        <f>IFERROR(1-($BD24/BB24),0)</f>
        <v>0</v>
      </c>
      <c r="BF24" s="70">
        <f>IFERROR(1-($BD24/BC24),0)</f>
        <v>0</v>
      </c>
    </row>
    <row r="25" spans="2:58">
      <c r="B25" s="59" t="str">
        <f>_xlfn.CONCAT("Target EUI based on ",'Project Info'!$D$11*100,"% savings")</f>
        <v>Target EUI based on 90% savings</v>
      </c>
      <c r="C25" s="59" t="s">
        <v>238</v>
      </c>
      <c r="D25" s="59">
        <f>D24*(1-'Project Info'!D11)</f>
        <v>4.2999999999999989</v>
      </c>
      <c r="G25" s="188" t="str">
        <f>_xlfn.CONCAT(G4, " Intensity")</f>
        <v>Energy Use Intensity</v>
      </c>
      <c r="H25" s="188" t="str">
        <f>C7</f>
        <v>kBtu/ft²</v>
      </c>
      <c r="I25" s="66">
        <f>IFERROR(I24/'Input Summary'!$F$4,0)</f>
        <v>0</v>
      </c>
      <c r="J25" s="66">
        <f>IFERROR(J24/'Input Summary'!$F$4,0)</f>
        <v>0</v>
      </c>
      <c r="K25" s="66">
        <f>IFERROR(K24/'Input Summary'!$F$4,0)</f>
        <v>0</v>
      </c>
      <c r="N25" s="154"/>
      <c r="O25" s="154"/>
      <c r="P25" s="154"/>
      <c r="Q25" s="154"/>
      <c r="R25" s="154"/>
      <c r="S25" s="154"/>
      <c r="V25" s="188" t="str">
        <f>_xlfn.CONCAT(V4, " Intensity")</f>
        <v>Source Energy Use Intensity</v>
      </c>
      <c r="W25" s="188">
        <f>R7</f>
        <v>0</v>
      </c>
      <c r="X25" s="66">
        <f>IFERROR(X24/'Input Summary'!$F$4,0)</f>
        <v>0</v>
      </c>
      <c r="Y25" s="66">
        <f>IFERROR(Y24/'Input Summary'!$F$4,0)</f>
        <v>0</v>
      </c>
      <c r="Z25" s="66">
        <f>IFERROR(Z24/'Input Summary'!$F$4,0)</f>
        <v>0</v>
      </c>
      <c r="AK25" s="188" t="str">
        <f>_xlfn.CONCAT(AK4, " Intensity")</f>
        <v>Carbon Emissions Intensity</v>
      </c>
      <c r="AL25" s="59" t="str">
        <f>C8</f>
        <v>kg CO2e/ft²</v>
      </c>
      <c r="AM25" s="66">
        <f>IFERROR(AM24/'Input Summary'!$F$4,0)</f>
        <v>0</v>
      </c>
      <c r="AN25" s="66">
        <f>IFERROR(AN24/'Input Summary'!$F$4,0)</f>
        <v>0</v>
      </c>
      <c r="AO25" s="66">
        <f>IFERROR(AO24/'Input Summary'!$F$4,0)</f>
        <v>0</v>
      </c>
      <c r="AZ25" s="188" t="str">
        <f>_xlfn.CONCAT(AZ4, " Intensity")</f>
        <v>Energy Cost Intensity</v>
      </c>
      <c r="BA25" s="59" t="s">
        <v>227</v>
      </c>
      <c r="BB25" s="114">
        <f>IFERROR(BB24/'Input Summary'!$F$4,0)</f>
        <v>0</v>
      </c>
      <c r="BC25" s="114">
        <f>IFERROR(BC24/'Input Summary'!$F$4,0)</f>
        <v>0</v>
      </c>
      <c r="BD25" s="114">
        <f>IFERROR(BD24/'Input Summary'!$F$4,0)</f>
        <v>0</v>
      </c>
    </row>
    <row r="26" spans="2:58">
      <c r="B26" s="59" t="s">
        <v>241</v>
      </c>
      <c r="C26" s="59" t="s">
        <v>209</v>
      </c>
      <c r="D26" s="198">
        <f>IFERROR(1-(D23/D24),0)</f>
        <v>-0.17449443816052179</v>
      </c>
      <c r="G26" s="65" t="s">
        <v>242</v>
      </c>
      <c r="H26" s="65" t="str">
        <f>'Project Info'!$I$6</f>
        <v>kBtu</v>
      </c>
      <c r="I26" s="65"/>
      <c r="J26" s="173">
        <f>SUMIF($F$9:$F$24,"No",Report!J$7:J$22)+J23</f>
        <v>0</v>
      </c>
      <c r="K26" s="173">
        <f>SUMIF($F$9:$F$24,"No",Report!K$7:K$22)+K23</f>
        <v>509388.56900000002</v>
      </c>
      <c r="L26" s="65"/>
      <c r="M26" s="70">
        <f>IFERROR(1-($K26/J26),0)</f>
        <v>0</v>
      </c>
      <c r="N26" s="154"/>
      <c r="O26" s="154"/>
      <c r="P26" s="154"/>
      <c r="Q26" s="154"/>
      <c r="R26" s="154"/>
      <c r="S26" s="154"/>
      <c r="V26" s="65" t="s">
        <v>242</v>
      </c>
      <c r="W26" s="65" t="str">
        <f>'Project Info'!$I$6</f>
        <v>kBtu</v>
      </c>
      <c r="X26" s="65"/>
      <c r="Y26" s="173">
        <f>SUMIF($F$9:$F$24,"No",Report!Y$7:Y$22)+Y23</f>
        <v>0</v>
      </c>
      <c r="Z26" s="173">
        <f>SUMIF($F$9:$F$24,"No",Report!Z$7:Z$22)+Z23</f>
        <v>1426287.9931999999</v>
      </c>
      <c r="AA26" s="65"/>
      <c r="AB26" s="70">
        <f>IFERROR(1-($K26/Y26),0)</f>
        <v>0</v>
      </c>
      <c r="AK26" s="65" t="s">
        <v>242</v>
      </c>
      <c r="AL26" s="65" t="e">
        <f>#REF!</f>
        <v>#REF!</v>
      </c>
      <c r="AM26" s="65"/>
      <c r="AN26" s="173">
        <f>SUMIF($F$9:$F$24,"No",Report!AN$7:AN$22)+AN23</f>
        <v>0</v>
      </c>
      <c r="AO26" s="173">
        <f>SUMIF($F$9:$F$24,"No",Report!AO$7:AO$22)+AO23</f>
        <v>60311.998299014696</v>
      </c>
      <c r="AP26" s="65"/>
      <c r="AQ26" s="70">
        <f>IFERROR(1-($AO26/AN26),0)</f>
        <v>0</v>
      </c>
      <c r="AZ26" s="65" t="s">
        <v>242</v>
      </c>
      <c r="BA26" s="65" t="s">
        <v>227</v>
      </c>
      <c r="BB26" s="116"/>
      <c r="BC26" s="116">
        <f>SUMIF($F$9:$F$24,"No",Report!BC$7:BC$22)+BC23</f>
        <v>0</v>
      </c>
      <c r="BD26" s="116">
        <f>SUMIF($F$9:$F$24,"No",Report!BD$7:BD$22)+BD23</f>
        <v>18511.603438311442</v>
      </c>
      <c r="BE26" s="65"/>
      <c r="BF26" s="70">
        <f>IFERROR(1-($BD26/BC26),0)</f>
        <v>0</v>
      </c>
    </row>
    <row r="27" spans="2:58">
      <c r="E27" s="163"/>
      <c r="G27" s="13"/>
      <c r="H27" s="13"/>
      <c r="I27" s="13"/>
      <c r="J27" s="13"/>
      <c r="K27" s="13"/>
      <c r="N27" s="154"/>
      <c r="O27" s="154"/>
      <c r="P27" s="154"/>
      <c r="Q27" s="154"/>
      <c r="R27" s="154"/>
      <c r="S27" s="154"/>
    </row>
    <row r="28" spans="2:58" ht="15" customHeight="1">
      <c r="B28" s="59" t="s">
        <v>243</v>
      </c>
      <c r="C28" s="59" t="str">
        <f>Conversions!B6</f>
        <v>kWh</v>
      </c>
      <c r="D28" s="59">
        <f>IFERROR(INDEX(Calculations!$AT$12:$AT$21,MATCH(Report!$C$4,Calculations!$A$12:$A$21,0))*INDEX(Conversions!$C$6:$I$12,MATCH($C28,Conversions!$B$6:$B$12,0),MATCH('Project Info'!$I$6,Conversions!$C$5:$I$5,0)),0)</f>
        <v>202063.95898175339</v>
      </c>
      <c r="E28" s="165"/>
      <c r="G28" s="13"/>
      <c r="H28" s="13"/>
      <c r="I28" s="13"/>
      <c r="J28" s="13"/>
      <c r="K28" s="13"/>
      <c r="L28" s="13"/>
      <c r="M28" s="13"/>
    </row>
    <row r="29" spans="2:58">
      <c r="B29" s="59" t="s">
        <v>244</v>
      </c>
      <c r="C29" s="59" t="str">
        <f>Conversions!B12</f>
        <v>Therm</v>
      </c>
      <c r="D29" s="59">
        <f>IFERROR(INDEX(Calculations!$AU$12:$AU$21,MATCH(Report!$C$4,Calculations!$A$12:$A$21,0))*INDEX(Conversions!$C$6:$I$12,MATCH($C29,Conversions!$B$6:$B$12,0),MATCH('Project Info'!$I$6,Conversions!$C$5:$I$5,0)),0)</f>
        <v>0</v>
      </c>
      <c r="E29" s="165"/>
      <c r="G29" s="13"/>
      <c r="H29" s="13"/>
      <c r="I29" s="13"/>
      <c r="J29" s="13"/>
      <c r="K29" s="13"/>
    </row>
    <row r="30" spans="2:58">
      <c r="B30" s="59" t="s">
        <v>245</v>
      </c>
      <c r="C30" s="59" t="str">
        <f>Conversions!B9</f>
        <v>kBtu</v>
      </c>
      <c r="D30" s="59">
        <f>IFERROR((INDEX(Calculations!$AX$12:$AX$21,MATCH(Report!$C$4,Calculations!$A$12:$A$21,0))+INDEX(Calculations!$BO$12:$BO$21,MATCH(Report!$C$4,Calculations!$A$12:$A$21,0)))*INDEX(Conversions!$C$6:$I$12,MATCH($C30,Conversions!$B$6:$B$12,0),MATCH('Project Info'!$I$6,Conversions!$C$5:$I$5,0)),0)</f>
        <v>0</v>
      </c>
      <c r="E30" s="165"/>
      <c r="G30" s="14"/>
      <c r="H30" s="14"/>
      <c r="I30" s="14"/>
      <c r="J30" s="14"/>
      <c r="K30" s="14"/>
      <c r="L30" s="14"/>
      <c r="M30" s="14"/>
      <c r="N30" s="14"/>
      <c r="O30" s="14"/>
      <c r="P30" s="14"/>
      <c r="Q30" s="14"/>
      <c r="R30" s="14"/>
      <c r="S30" s="14"/>
    </row>
    <row r="31" spans="2:58">
      <c r="B31" s="59" t="s">
        <v>246</v>
      </c>
      <c r="C31" s="59" t="str">
        <f>Conversions!B9</f>
        <v>kBtu</v>
      </c>
      <c r="D31" s="59">
        <f>IFERROR(INDEX(Calculations!$AV$12:$AV$21,MATCH(Report!$C$4,Calculations!$A$12:$A$21,0))*INDEX(Conversions!$C$6:$I$12,MATCH($C31,Conversions!$B$6:$B$12,0),MATCH('Project Info'!$I$6,Conversions!$C$5:$I$5,0)),0)</f>
        <v>0</v>
      </c>
      <c r="E31" s="165"/>
    </row>
    <row r="32" spans="2:58">
      <c r="B32" s="59" t="s">
        <v>247</v>
      </c>
      <c r="C32" s="59" t="str">
        <f>Conversions!B6</f>
        <v>kWh</v>
      </c>
      <c r="D32" s="59">
        <f>IFERROR(INDEX(Calculations!$BI$12:$BI$21,MATCH(Report!$C$4,Calculations!$A$12:$A$21,0))*INDEX(Conversions!$C$6:$I$12,MATCH($C32,Conversions!$B$6:$B$12,0),MATCH('Project Info'!$I$6,Conversions!$C$5:$I$5,0)),0)</f>
        <v>0</v>
      </c>
    </row>
  </sheetData>
  <mergeCells count="5">
    <mergeCell ref="C4:D4"/>
    <mergeCell ref="T2:T8"/>
    <mergeCell ref="BM2:BM8"/>
    <mergeCell ref="AX2:AX8"/>
    <mergeCell ref="AI2:AI8"/>
  </mergeCells>
  <phoneticPr fontId="46" type="noConversion"/>
  <dataValidations count="1">
    <dataValidation type="list" allowBlank="1" showInputMessage="1" showErrorMessage="1" sqref="C4:E4" xr:uid="{00000000-0002-0000-0600-000000000000}">
      <formula1>Result_Set</formula1>
    </dataValidation>
  </dataValidations>
  <pageMargins left="0.7" right="0.7" top="0.75" bottom="0.75" header="0.3" footer="0.3"/>
  <pageSetup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F0A78-86A3-40E1-93A5-BC90A5622256}">
  <sheetPr>
    <tabColor theme="0" tint="-0.34998626667073579"/>
  </sheetPr>
  <dimension ref="A1:AU36"/>
  <sheetViews>
    <sheetView showGridLines="0" topLeftCell="A4" workbookViewId="0"/>
  </sheetViews>
  <sheetFormatPr defaultRowHeight="14.4"/>
  <cols>
    <col min="1" max="1" width="3.5546875" customWidth="1"/>
    <col min="2" max="2" width="30.5546875" customWidth="1"/>
    <col min="3" max="3" width="15.5546875" customWidth="1"/>
    <col min="4" max="4" width="6.5546875" customWidth="1"/>
    <col min="5" max="5" width="3.5546875" customWidth="1"/>
    <col min="6" max="8" width="15.5546875" customWidth="1"/>
    <col min="9" max="9" width="3.5546875" customWidth="1"/>
    <col min="10" max="10" width="30.5546875" customWidth="1"/>
    <col min="11" max="17" width="15.5546875" customWidth="1"/>
    <col min="18" max="18" width="3.5546875" customWidth="1"/>
    <col min="19" max="21" width="9.109375" customWidth="1"/>
    <col min="22" max="22" width="35.5546875" customWidth="1"/>
    <col min="23" max="26" width="15.5546875" customWidth="1"/>
    <col min="27" max="27" width="9.109375" customWidth="1"/>
    <col min="28" max="28" width="35.5546875" customWidth="1"/>
    <col min="29" max="32" width="15.5546875" customWidth="1"/>
    <col min="33" max="33" width="9.109375" customWidth="1"/>
  </cols>
  <sheetData>
    <row r="1" spans="1:47" s="1" customFormat="1" ht="15">
      <c r="A1" s="76" t="s">
        <v>248</v>
      </c>
      <c r="B1" s="77"/>
      <c r="C1" s="77"/>
      <c r="D1" s="77"/>
      <c r="E1" s="77"/>
      <c r="F1" s="77"/>
      <c r="G1" s="77"/>
      <c r="H1" s="77"/>
      <c r="I1" s="77"/>
      <c r="J1" s="77"/>
      <c r="K1" s="77"/>
      <c r="L1" s="77"/>
      <c r="M1" s="77"/>
      <c r="N1" s="77"/>
      <c r="O1" s="77"/>
      <c r="P1" s="77"/>
      <c r="Q1" s="77"/>
      <c r="R1" s="77"/>
      <c r="S1" s="77"/>
      <c r="T1" s="77"/>
      <c r="U1" s="77"/>
      <c r="V1" s="77"/>
      <c r="W1" s="77"/>
      <c r="X1" s="77"/>
      <c r="Y1" s="77"/>
      <c r="Z1" s="77"/>
      <c r="AA1" s="77"/>
      <c r="AB1" s="77"/>
      <c r="AC1" s="77"/>
      <c r="AD1" s="77"/>
      <c r="AE1" s="77"/>
      <c r="AF1" s="77"/>
      <c r="AG1" s="77"/>
      <c r="AH1" s="77"/>
      <c r="AI1" s="77"/>
      <c r="AJ1" s="77"/>
      <c r="AK1" s="77"/>
      <c r="AL1" s="77"/>
      <c r="AM1" s="77"/>
      <c r="AN1" s="77"/>
      <c r="AO1" s="77"/>
      <c r="AP1" s="77"/>
      <c r="AQ1" s="77"/>
      <c r="AR1" s="77"/>
      <c r="AS1" s="77"/>
      <c r="AT1" s="77"/>
      <c r="AU1" s="77"/>
    </row>
    <row r="2" spans="1:47">
      <c r="Y2" s="175" t="str">
        <f>INDEX(T12:T21,MATCH(Report!C4,'Input Summary'!S12:S21,0))</f>
        <v>Primary 0°</v>
      </c>
    </row>
    <row r="3" spans="1:47" ht="15" thickBot="1">
      <c r="B3" s="63" t="s">
        <v>249</v>
      </c>
      <c r="C3" s="63" t="s">
        <v>218</v>
      </c>
      <c r="D3" s="63"/>
      <c r="E3" s="63"/>
      <c r="F3" s="63"/>
      <c r="J3" s="63" t="s">
        <v>250</v>
      </c>
      <c r="K3" s="63" t="s">
        <v>218</v>
      </c>
      <c r="L3" s="63" t="s">
        <v>59</v>
      </c>
      <c r="M3" s="63" t="s">
        <v>60</v>
      </c>
      <c r="N3" s="63" t="s">
        <v>194</v>
      </c>
      <c r="O3" s="63" t="s">
        <v>102</v>
      </c>
      <c r="P3" s="63" t="s">
        <v>103</v>
      </c>
      <c r="Q3" s="196" t="s">
        <v>251</v>
      </c>
    </row>
    <row r="4" spans="1:47">
      <c r="B4" s="59" t="str">
        <f>IFERROR(LEFT($V4,FIND("(",$V4)-1),$V4)</f>
        <v xml:space="preserve">Conditioned Floor Area </v>
      </c>
      <c r="C4" s="59" t="str">
        <f>IFERROR(RIGHT($V4,FIND(")",$V4)-FIND("(",$V4)+1)," ")</f>
        <v>(ft²)</v>
      </c>
      <c r="D4" s="59"/>
      <c r="E4" s="59"/>
      <c r="F4" s="66">
        <f>IFERROR(INDEX(Calculations!$BQ$27:$BQ$36,MATCH($C$4,Calculations!$A$12:$A$21,0)),0)</f>
        <v>0</v>
      </c>
      <c r="J4" s="59" t="s">
        <v>252</v>
      </c>
      <c r="K4" s="59" t="str">
        <f>IFERROR(RIGHT($AB4,FIND(")",$AB4)-FIND("(",$AB4)+1)," ")</f>
        <v>(kg CO2e/kBtu)</v>
      </c>
      <c r="L4" s="81" cm="1">
        <f t="array" aca="1" ref="L4" ca="1">IFERROR(IF('Project Info'!$I19=Menus!$E$2,'Project Info'!I41,INDIRECT("'Proposed Data'!"&amp;ADDRESS($AE$9,AC5))),0)</f>
        <v>0.11840076901885621</v>
      </c>
      <c r="M4" s="81" cm="1">
        <f t="array" aca="1" ref="M4" ca="1">IFERROR(IF('Project Info'!$I19=Menus!$E$2,'Project Info'!J41,INDIRECT("'Proposed Data'!"&amp;ADDRESS($AE$9,AD5))),0)</f>
        <v>5.3060000000000003E-2</v>
      </c>
      <c r="N4" s="81" cm="1">
        <f t="array" aca="1" ref="N4" ca="1">IFERROR(IF('Project Info'!$I19=Menus!$E$2,'Project Info'!K41,INDIRECT("'Proposed Data'!"&amp;ADDRESS($AE$9,AE5))),0)</f>
        <v>0</v>
      </c>
      <c r="O4" s="81" cm="1">
        <f t="array" aca="1" ref="O4" ca="1">IFERROR(IF('Project Info'!$I19=Menus!$E$2,'Project Info'!L41,INDIRECT("'Proposed Data'!"&amp;ADDRESS($AE$9,AF5))),0)</f>
        <v>0.29307121044271339</v>
      </c>
      <c r="P4" s="81" cm="1">
        <f t="array" aca="1" ref="P4" ca="1">IFERROR(IF('Project Info'!$I19=Menus!$E$2,'Project Info'!M41,INDIRECT("'Proposed Data'!"&amp;ADDRESS($AE$9,AG5))),0)</f>
        <v>0.29307121044271339</v>
      </c>
      <c r="Q4" s="130"/>
      <c r="V4" s="75" t="str">
        <f>'Proposed Data'!BP1</f>
        <v>Conditioned Floor Area (ft²)</v>
      </c>
      <c r="Y4" s="75">
        <f>IFERROR(MATCH(Y$2,Select_Case,0)+1,0)</f>
        <v>2</v>
      </c>
      <c r="Z4" s="75">
        <f>MATCH($V4,'Proposed Data'!$A$1:$ET$1,0)</f>
        <v>68</v>
      </c>
      <c r="AB4" s="74" t="str">
        <f>'Proposed Data'!BB1</f>
        <v>Electricity Virtual Rate (kg CO2e/kBtu)</v>
      </c>
      <c r="AC4" s="75">
        <f>MATCH($AB4,'Proposed Data'!$A$1:$ET$1,0)</f>
        <v>54</v>
      </c>
      <c r="AD4" s="75">
        <f>MATCH($AB4,'Proposed Data'!$A$1:$ET$1,0)</f>
        <v>54</v>
      </c>
      <c r="AE4" s="75">
        <f>MATCH($AB4,'Proposed Data'!$A$1:$ET$1,0)</f>
        <v>54</v>
      </c>
      <c r="AF4" s="75">
        <f>MATCH($AB4,'Proposed Data'!$A$1:$ET$1,0)</f>
        <v>54</v>
      </c>
      <c r="AG4" s="75">
        <f>MATCH($AB4,'Proposed Data'!$A$1:$ET$1,0)</f>
        <v>54</v>
      </c>
    </row>
    <row r="5" spans="1:47">
      <c r="B5" s="59" t="str">
        <f>IFERROR(LEFT($V5,FIND("(",$V5)-1),$V5)</f>
        <v xml:space="preserve">Total Floor Area </v>
      </c>
      <c r="C5" s="59" t="str">
        <f>IFERROR(RIGHT($V5,FIND(")",$V5)-FIND("(",$V5)+1)," ")</f>
        <v>(ft²)</v>
      </c>
      <c r="D5" s="59"/>
      <c r="E5" s="59"/>
      <c r="F5" s="66" cm="1">
        <f t="array" aca="1" ref="F5" ca="1">IFERROR(INDIRECT("'Proposed Data'!"&amp;ADDRESS(Y5,$Z5)),0)</f>
        <v>21103</v>
      </c>
      <c r="J5" s="59" t="s">
        <v>253</v>
      </c>
      <c r="K5" s="59" t="str">
        <f>IFERROR(RIGHT($AB5,FIND(")",$AB5)-FIND("(",$AB5)+1)," ")</f>
        <v>($/kBtu)</v>
      </c>
      <c r="L5" s="195" cm="1">
        <f t="array" aca="1" ref="L5" ca="1">IFERROR(IF('Project Info'!$I26=Menus!$E$2,'Project Info'!I42,INDIRECT("'Proposed Data'!"&amp;ADDRESS($AE$9,AC5))),0)</f>
        <v>3.6340830094896456E-2</v>
      </c>
      <c r="M5" s="195" cm="1">
        <f t="array" aca="1" ref="M5" ca="1">IFERROR(IF('Project Info'!$I26=Menus!$E$2,'Project Info'!J42,INDIRECT("'Proposed Data'!"&amp;ADDRESS($AE$9,AD5))),0)</f>
        <v>1.4499999999999999E-2</v>
      </c>
      <c r="N5" s="195" cm="1">
        <f t="array" aca="1" ref="N5" ca="1">IFERROR(IF('Project Info'!$I26=Menus!$E$2,'Project Info'!K42,INDIRECT("'Proposed Data'!"&amp;ADDRESS($AE$9,AE5))),0)</f>
        <v>0</v>
      </c>
      <c r="O5" s="195" cm="1">
        <f t="array" aca="1" ref="O5" ca="1">IFERROR(IF('Project Info'!$I26=Menus!$E$2,'Project Info'!L42,INDIRECT("'Proposed Data'!"&amp;ADDRESS($AE$9,AF5))),0)</f>
        <v>0</v>
      </c>
      <c r="P5" s="195" cm="1">
        <f t="array" aca="1" ref="P5" ca="1">IFERROR(IF('Project Info'!$I26=Menus!$E$2,'Project Info'!M42,INDIRECT("'Proposed Data'!"&amp;ADDRESS($AE$9,AG5))),0)</f>
        <v>0</v>
      </c>
      <c r="Q5" s="197"/>
      <c r="V5" s="75" t="str">
        <f>'Proposed Data'!BQ1</f>
        <v>Total Floor Area (ft²)</v>
      </c>
      <c r="Y5" s="75">
        <f>IFERROR(MATCH(Y$2,Select_Case,0)+1,0)</f>
        <v>2</v>
      </c>
      <c r="Z5" s="75">
        <f>MATCH($V5,'Proposed Data'!$A$1:$ET$1,0)</f>
        <v>69</v>
      </c>
      <c r="AB5" s="74" t="str">
        <f>'Proposed Data'!AU1</f>
        <v>Electricity Virtual Rate ($/kBtu)</v>
      </c>
      <c r="AC5" s="75">
        <f>MATCH($AB5,'Proposed Data'!$A$1:$ET$1,0)</f>
        <v>47</v>
      </c>
      <c r="AD5" s="75">
        <f>MATCH($AB5,'Proposed Data'!$A$1:$ET$1,0)</f>
        <v>47</v>
      </c>
      <c r="AE5" s="75">
        <f>MATCH($AB5,'Proposed Data'!$A$1:$ET$1,0)</f>
        <v>47</v>
      </c>
      <c r="AF5" s="75">
        <f>MATCH($AB5,'Proposed Data'!$A$1:$ET$1,0)</f>
        <v>47</v>
      </c>
      <c r="AG5" s="75">
        <f>MATCH($AB5,'Proposed Data'!$A$1:$ET$1,0)</f>
        <v>47</v>
      </c>
    </row>
    <row r="6" spans="1:47" ht="15">
      <c r="A6" s="1"/>
      <c r="B6" s="2"/>
      <c r="D6" s="2"/>
      <c r="E6" s="2"/>
      <c r="F6" s="1"/>
      <c r="G6" s="1"/>
      <c r="H6" s="1"/>
      <c r="I6" s="1"/>
      <c r="X6" s="83"/>
    </row>
    <row r="7" spans="1:47" ht="15">
      <c r="A7" s="1"/>
      <c r="B7" s="2"/>
      <c r="C7" s="1"/>
      <c r="D7" s="2"/>
      <c r="E7" s="2"/>
      <c r="F7" s="1"/>
      <c r="G7" s="1"/>
      <c r="H7" s="1"/>
      <c r="I7" s="1"/>
      <c r="J7" s="1"/>
      <c r="K7" s="1"/>
      <c r="L7" s="1"/>
      <c r="M7" s="1"/>
      <c r="N7" s="1"/>
      <c r="O7" s="1"/>
      <c r="P7" s="1"/>
      <c r="Q7" s="1"/>
    </row>
    <row r="8" spans="1:47" ht="15.6" thickBot="1">
      <c r="A8" s="1"/>
      <c r="B8" s="63" t="s">
        <v>254</v>
      </c>
      <c r="C8" s="63" t="s">
        <v>218</v>
      </c>
      <c r="D8" s="63"/>
      <c r="E8" s="63"/>
      <c r="F8" s="72" t="str">
        <f>Report!I6</f>
        <v>LEED Baseline</v>
      </c>
      <c r="G8" s="72" t="str">
        <f>Report!J6</f>
        <v>Code Baseline</v>
      </c>
      <c r="H8" s="72" t="str">
        <f>Report!K6</f>
        <v>Proposed</v>
      </c>
      <c r="I8" s="84"/>
      <c r="J8" s="63" t="s">
        <v>255</v>
      </c>
      <c r="K8" s="63" t="s">
        <v>218</v>
      </c>
      <c r="L8" s="72" t="str">
        <f>Report!I6</f>
        <v>LEED Baseline</v>
      </c>
      <c r="M8" s="72" t="str">
        <f>Report!J6</f>
        <v>Code Baseline</v>
      </c>
      <c r="N8" s="72" t="str">
        <f>Report!K6</f>
        <v>Proposed</v>
      </c>
      <c r="O8" s="84"/>
      <c r="P8" s="84"/>
      <c r="Q8" s="84"/>
      <c r="S8" s="74" t="str">
        <f>'LEED BL'!G12</f>
        <v>LEED Baseline</v>
      </c>
      <c r="T8" s="74" t="str">
        <f>'LEED BL'!G10</f>
        <v>ASHRAE 90.1-2010 Baseline 0°</v>
      </c>
      <c r="V8" s="63" t="s">
        <v>221</v>
      </c>
      <c r="W8" s="63" t="s">
        <v>222</v>
      </c>
      <c r="X8" s="63" t="s">
        <v>223</v>
      </c>
      <c r="Y8" s="63" t="s">
        <v>224</v>
      </c>
      <c r="Z8" s="63" t="s">
        <v>225</v>
      </c>
      <c r="AA8" s="75"/>
      <c r="AB8" s="63" t="s">
        <v>221</v>
      </c>
      <c r="AC8" s="63" t="str">
        <f>W8</f>
        <v>LEED Baseline Row</v>
      </c>
      <c r="AD8" s="63" t="str">
        <f>X8</f>
        <v>Code Baseline Row</v>
      </c>
      <c r="AE8" s="63" t="s">
        <v>224</v>
      </c>
      <c r="AF8" s="63" t="s">
        <v>225</v>
      </c>
    </row>
    <row r="9" spans="1:47" ht="15">
      <c r="A9" s="1"/>
      <c r="B9" s="59" t="str">
        <f>IFERROR(LEFT($V9,FIND("(",$V9)-1),$V9)</f>
        <v xml:space="preserve">Building WWR Actual </v>
      </c>
      <c r="C9" s="59" t="str">
        <f>IFERROR(RIGHT($V9,FIND(")",$V9)-FIND("(",$V9)+1)," ")</f>
        <v>(%)</v>
      </c>
      <c r="D9" s="59"/>
      <c r="E9" s="59"/>
      <c r="F9" s="80" cm="1">
        <f t="array" aca="1" ref="F9" ca="1">IFERROR(INDIRECT("'BL Data'!"&amp;ADDRESS(W9,$Z9)),0)</f>
        <v>7.05</v>
      </c>
      <c r="G9" s="80" cm="1">
        <f t="array" aca="1" ref="G9" ca="1">IFERROR(INDIRECT("'BL Data'!"&amp;ADDRESS(X9,$Z9)),0)</f>
        <v>0</v>
      </c>
      <c r="H9" s="80" cm="1">
        <f t="array" aca="1" ref="H9" ca="1">IFERROR(INDIRECT("'Proposed Data'!"&amp;ADDRESS(Y9,$Z9)),0)</f>
        <v>7.05</v>
      </c>
      <c r="I9" s="83"/>
      <c r="J9" s="59" t="str">
        <f t="shared" ref="J9:J14" si="0">IFERROR(LEFT($AB9,FIND("(",$AB9)-1),$AB9)</f>
        <v xml:space="preserve">Total Ventilation Air Flow Rate </v>
      </c>
      <c r="K9" s="59" t="str">
        <f t="shared" ref="K9:K14" si="1">IFERROR(RIGHT($AB9,FIND(")",$AB9)-FIND("(",$AB9)+1)," ")</f>
        <v>(CFM)</v>
      </c>
      <c r="L9" s="80" cm="1">
        <f t="array" aca="1" ref="L9" ca="1">IFERROR(INDIRECT("'BL Data'!"&amp;ADDRESS(AC9,$AF9)),0)</f>
        <v>1672</v>
      </c>
      <c r="M9" s="80" cm="1">
        <f t="array" aca="1" ref="M9" ca="1">IFERROR(INDIRECT("'BL Data'!"&amp;ADDRESS(AD9,$AF9)),0)</f>
        <v>0</v>
      </c>
      <c r="N9" s="80" cm="1">
        <f t="array" aca="1" ref="N9" ca="1">IFERROR(INDIRECT("'Proposed Data'!"&amp;ADDRESS(AE9,$AF9)),0)</f>
        <v>1550</v>
      </c>
      <c r="O9" s="83"/>
      <c r="P9" s="83"/>
      <c r="Q9" s="83"/>
      <c r="S9" s="74" t="str">
        <f>'Code BL'!G12</f>
        <v>Code Baseline</v>
      </c>
      <c r="T9" s="74">
        <f>'Code BL'!G20</f>
        <v>0</v>
      </c>
      <c r="V9" s="74" t="str">
        <f>'Proposed Data'!CB1</f>
        <v>Building WWR Actual (%)</v>
      </c>
      <c r="W9" s="75">
        <v>2</v>
      </c>
      <c r="X9" s="75">
        <v>6</v>
      </c>
      <c r="Y9" s="75">
        <f>IFERROR(MATCH(Y$2,Select_Case,0)+1,0)</f>
        <v>2</v>
      </c>
      <c r="Z9" s="75">
        <f>MATCH($V9,'Proposed Data'!$A$1:$ET$1,0)</f>
        <v>80</v>
      </c>
      <c r="AA9" s="75"/>
      <c r="AB9" s="74" t="str">
        <f>'Proposed Data'!DM1</f>
        <v>Total Ventilation Air Flow Rate (CFM)</v>
      </c>
      <c r="AC9" s="75">
        <v>2</v>
      </c>
      <c r="AD9" s="75">
        <v>6</v>
      </c>
      <c r="AE9" s="75">
        <f t="shared" ref="AE9:AE14" si="2">IFERROR(MATCH(Y$2,Select_Case,0)+1,0)</f>
        <v>2</v>
      </c>
      <c r="AF9" s="75">
        <v>117</v>
      </c>
    </row>
    <row r="10" spans="1:47" ht="15">
      <c r="A10" s="1"/>
      <c r="B10" s="59" t="str">
        <f t="shared" ref="B10:B33" si="3">IFERROR(LEFT($V10,FIND("(",$V10)-1),$V10)</f>
        <v xml:space="preserve">North WWR Actual </v>
      </c>
      <c r="C10" s="59" t="str">
        <f t="shared" ref="C10:C33" si="4">IFERROR(RIGHT($V10,FIND(")",$V10)-FIND("(",$V10)+1)," ")</f>
        <v>(%)</v>
      </c>
      <c r="D10" s="59"/>
      <c r="E10" s="59"/>
      <c r="F10" s="80" cm="1">
        <f t="array" aca="1" ref="F10" ca="1">IFERROR(INDIRECT("'BL Data'!"&amp;ADDRESS(W10,$Z10)),0)</f>
        <v>8.2322675486953329</v>
      </c>
      <c r="G10" s="80" cm="1">
        <f t="array" aca="1" ref="G10" ca="1">IFERROR(INDIRECT("'BL Data'!"&amp;ADDRESS(X10,$Z10)),0)</f>
        <v>0</v>
      </c>
      <c r="H10" s="80" cm="1">
        <f t="array" aca="1" ref="H10" ca="1">IFERROR(INDIRECT("'Proposed Data'!"&amp;ADDRESS(Y10,$Z10)),0)</f>
        <v>8.2322675486953329</v>
      </c>
      <c r="I10" s="83"/>
      <c r="J10" s="59" t="str">
        <f t="shared" si="0"/>
        <v xml:space="preserve">Ventilation Air Flow Rate per Area </v>
      </c>
      <c r="K10" s="59" t="str">
        <f t="shared" si="1"/>
        <v>(CFM/ft²)</v>
      </c>
      <c r="L10" s="80" cm="1">
        <f t="array" aca="1" ref="L10" ca="1">IFERROR(INDIRECT("'BL Data'!"&amp;ADDRESS(AC10,$AF10)),0)</f>
        <v>0.122</v>
      </c>
      <c r="M10" s="80" cm="1">
        <f t="array" aca="1" ref="M10" ca="1">IFERROR(INDIRECT("'BL Data'!"&amp;ADDRESS(AD10,$AF10)),0)</f>
        <v>0</v>
      </c>
      <c r="N10" s="80" cm="1">
        <f t="array" aca="1" ref="N10" ca="1">IFERROR(INDIRECT("'Proposed Data'!"&amp;ADDRESS(AE10,$AF10)),0)</f>
        <v>0.114</v>
      </c>
      <c r="O10" s="83"/>
      <c r="P10" s="83"/>
      <c r="Q10" s="83"/>
      <c r="S10" s="74" t="str">
        <f>Calculations!A11</f>
        <v xml:space="preserve"> </v>
      </c>
      <c r="T10" s="74">
        <f>T9</f>
        <v>0</v>
      </c>
      <c r="V10" s="75" t="str">
        <f>'Proposed Data'!CC1</f>
        <v>North WWR Actual (%)</v>
      </c>
      <c r="W10" s="75">
        <v>2</v>
      </c>
      <c r="X10" s="75">
        <v>6</v>
      </c>
      <c r="Y10" s="75">
        <f>IFERROR(MATCH(Y$2,Select_Case,0)+1,0)</f>
        <v>2</v>
      </c>
      <c r="Z10" s="75">
        <f>MATCH($V10,'Proposed Data'!$A$1:$ET$1,0)</f>
        <v>81</v>
      </c>
      <c r="AA10" s="75"/>
      <c r="AB10" s="74" t="str">
        <f>'Proposed Data'!DN1</f>
        <v>Ventilation Air Flow Rate per Area (CFM/ft²)</v>
      </c>
      <c r="AC10" s="75">
        <v>2</v>
      </c>
      <c r="AD10" s="75">
        <v>6</v>
      </c>
      <c r="AE10" s="75">
        <f t="shared" si="2"/>
        <v>2</v>
      </c>
      <c r="AF10" s="75">
        <f>MATCH($AB10,'Proposed Data'!$A$1:$ET$1,0)</f>
        <v>118</v>
      </c>
    </row>
    <row r="11" spans="1:47" ht="15">
      <c r="A11" s="1"/>
      <c r="B11" s="59" t="str">
        <f t="shared" si="3"/>
        <v xml:space="preserve">East WWR Actual </v>
      </c>
      <c r="C11" s="59" t="str">
        <f t="shared" si="4"/>
        <v>(%)</v>
      </c>
      <c r="D11" s="59"/>
      <c r="E11" s="59"/>
      <c r="F11" s="80" cm="1">
        <f t="array" aca="1" ref="F11" ca="1">IFERROR(INDIRECT("'BL Data'!"&amp;ADDRESS(W11,$Z11)),0)</f>
        <v>10.448887212372689</v>
      </c>
      <c r="G11" s="80" cm="1">
        <f t="array" aca="1" ref="G11" ca="1">IFERROR(INDIRECT("'BL Data'!"&amp;ADDRESS(X11,$Z11)),0)</f>
        <v>0</v>
      </c>
      <c r="H11" s="80" cm="1">
        <f t="array" aca="1" ref="H11" ca="1">IFERROR(INDIRECT("'Proposed Data'!"&amp;ADDRESS(Y11,$Z11)),0)</f>
        <v>10.448887212372689</v>
      </c>
      <c r="I11" s="83"/>
      <c r="J11" s="59" t="str">
        <f t="shared" si="0"/>
        <v xml:space="preserve">Total Heating Airflow Rate </v>
      </c>
      <c r="K11" s="59" t="str">
        <f t="shared" si="1"/>
        <v>(CFM)</v>
      </c>
      <c r="L11" s="80" cm="1">
        <f t="array" aca="1" ref="L11" ca="1">IFERROR(INDIRECT("'BL Data'!"&amp;ADDRESS(AC11,$AF11)),0)</f>
        <v>10601</v>
      </c>
      <c r="M11" s="80" cm="1">
        <f t="array" aca="1" ref="M11" ca="1">IFERROR(INDIRECT("'BL Data'!"&amp;ADDRESS(AD11,$AF11)),0)</f>
        <v>0</v>
      </c>
      <c r="N11" s="80" cm="1">
        <f t="array" aca="1" ref="N11" ca="1">IFERROR(INDIRECT("'Proposed Data'!"&amp;ADDRESS(AE11,$AF11)),0)</f>
        <v>4082</v>
      </c>
      <c r="O11" s="83"/>
      <c r="P11" s="83"/>
      <c r="Q11" s="83"/>
      <c r="V11" s="75" t="str">
        <f>'Proposed Data'!CD1</f>
        <v>East WWR Actual (%)</v>
      </c>
      <c r="W11" s="75">
        <v>2</v>
      </c>
      <c r="X11" s="75">
        <v>6</v>
      </c>
      <c r="Y11" s="75">
        <f>IFERROR(MATCH(Y$2,Select_Case,0)+1,0)</f>
        <v>2</v>
      </c>
      <c r="Z11" s="75">
        <f>MATCH($V11,'Proposed Data'!$A$1:$ET$1,0)</f>
        <v>82</v>
      </c>
      <c r="AA11" s="75"/>
      <c r="AB11" s="74" t="str">
        <f>'Proposed Data'!DO1</f>
        <v>Total Heating Airflow Rate (CFM)</v>
      </c>
      <c r="AC11" s="75">
        <v>2</v>
      </c>
      <c r="AD11" s="75">
        <v>6</v>
      </c>
      <c r="AE11" s="75">
        <f t="shared" si="2"/>
        <v>2</v>
      </c>
      <c r="AF11" s="75">
        <f>MATCH($AB11,'Proposed Data'!$A$1:$ET$1,0)</f>
        <v>119</v>
      </c>
    </row>
    <row r="12" spans="1:47" ht="15">
      <c r="A12" s="1"/>
      <c r="B12" s="59" t="str">
        <f t="shared" si="3"/>
        <v xml:space="preserve">South WWR Actual </v>
      </c>
      <c r="C12" s="59" t="str">
        <f t="shared" si="4"/>
        <v>(%)</v>
      </c>
      <c r="D12" s="59"/>
      <c r="E12" s="59"/>
      <c r="F12" s="80" cm="1">
        <f t="array" aca="1" ref="F12" ca="1">IFERROR(INDIRECT("'BL Data'!"&amp;ADDRESS(W12,$Z12)),0)</f>
        <v>5.0561797752808983</v>
      </c>
      <c r="G12" s="80" cm="1">
        <f t="array" aca="1" ref="G12" ca="1">IFERROR(INDIRECT("'BL Data'!"&amp;ADDRESS(X12,$Z12)),0)</f>
        <v>0</v>
      </c>
      <c r="H12" s="80" cm="1">
        <f t="array" aca="1" ref="H12" ca="1">IFERROR(INDIRECT("'Proposed Data'!"&amp;ADDRESS(Y12,$Z12)),0)</f>
        <v>5.0561797752808983</v>
      </c>
      <c r="I12" s="83"/>
      <c r="J12" s="59" t="str">
        <f t="shared" si="0"/>
        <v xml:space="preserve">Heating Airflow Rate per Area </v>
      </c>
      <c r="K12" s="59" t="str">
        <f t="shared" si="1"/>
        <v>(CFM/ft²)</v>
      </c>
      <c r="L12" s="80" cm="1">
        <f t="array" aca="1" ref="L12" ca="1">IFERROR(INDIRECT("'BL Data'!"&amp;ADDRESS(AC12,$AF12)),0)</f>
        <v>0.77700000000000002</v>
      </c>
      <c r="M12" s="80" cm="1">
        <f t="array" aca="1" ref="M12" ca="1">IFERROR(INDIRECT("'BL Data'!"&amp;ADDRESS(AD12,$AF12)),0)</f>
        <v>0</v>
      </c>
      <c r="N12" s="80" cm="1">
        <f t="array" aca="1" ref="N12" ca="1">IFERROR(INDIRECT("'Proposed Data'!"&amp;ADDRESS(AE12,$AF12)),0)</f>
        <v>0.29899999999999999</v>
      </c>
      <c r="O12" s="83"/>
      <c r="P12" s="83"/>
      <c r="Q12" s="83"/>
      <c r="S12" s="74" t="str">
        <f>Proposed!G12</f>
        <v>Proposed Design</v>
      </c>
      <c r="T12" s="74" t="str">
        <f>Proposed!G10</f>
        <v>Primary 0°</v>
      </c>
      <c r="V12" s="75" t="str">
        <f>'Proposed Data'!CE1</f>
        <v>South WWR Actual (%)</v>
      </c>
      <c r="W12" s="75">
        <v>2</v>
      </c>
      <c r="X12" s="75">
        <v>6</v>
      </c>
      <c r="Y12" s="75">
        <f>IFERROR(MATCH(Y$2,Select_Case,0)+1,0)</f>
        <v>2</v>
      </c>
      <c r="Z12" s="75">
        <f>MATCH($V12,'Proposed Data'!$A$1:$ET$1,0)</f>
        <v>83</v>
      </c>
      <c r="AA12" s="75"/>
      <c r="AB12" s="74" t="str">
        <f>'Proposed Data'!DP1</f>
        <v>Heating Airflow Rate per Area (CFM/ft²)</v>
      </c>
      <c r="AC12" s="75">
        <v>2</v>
      </c>
      <c r="AD12" s="75">
        <v>6</v>
      </c>
      <c r="AE12" s="75">
        <f t="shared" si="2"/>
        <v>2</v>
      </c>
      <c r="AF12" s="75">
        <f>MATCH($AB12,'Proposed Data'!$A$1:$ET$1,0)</f>
        <v>120</v>
      </c>
    </row>
    <row r="13" spans="1:47" ht="15">
      <c r="A13" s="1"/>
      <c r="B13" s="59" t="str">
        <f t="shared" si="3"/>
        <v xml:space="preserve">West WWR Actual </v>
      </c>
      <c r="C13" s="59" t="str">
        <f t="shared" si="4"/>
        <v>(%)</v>
      </c>
      <c r="D13" s="59"/>
      <c r="E13" s="59"/>
      <c r="F13" s="80" cm="1">
        <f t="array" aca="1" ref="F13" ca="1">IFERROR(INDIRECT("'BL Data'!"&amp;ADDRESS(W13,$Z13)),0)</f>
        <v>5.2100840336134455</v>
      </c>
      <c r="G13" s="80" cm="1">
        <f t="array" aca="1" ref="G13" ca="1">IFERROR(INDIRECT("'BL Data'!"&amp;ADDRESS(X13,$Z13)),0)</f>
        <v>0</v>
      </c>
      <c r="H13" s="80" cm="1">
        <f t="array" aca="1" ref="H13" ca="1">IFERROR(INDIRECT("'Proposed Data'!"&amp;ADDRESS(Y13,$Z13)),0)</f>
        <v>5.2100840336134455</v>
      </c>
      <c r="I13" s="83"/>
      <c r="J13" s="59" t="str">
        <f t="shared" si="0"/>
        <v xml:space="preserve">Total Cooling Airflow Rate </v>
      </c>
      <c r="K13" s="59" t="str">
        <f t="shared" si="1"/>
        <v>(CFM)</v>
      </c>
      <c r="L13" s="80" cm="1">
        <f t="array" aca="1" ref="L13" ca="1">IFERROR(INDIRECT("'BL Data'!"&amp;ADDRESS(AC13,$AF13)),0)</f>
        <v>10601</v>
      </c>
      <c r="M13" s="80" cm="1">
        <f t="array" aca="1" ref="M13" ca="1">IFERROR(INDIRECT("'BL Data'!"&amp;ADDRESS(AD13,$AF13)),0)</f>
        <v>0</v>
      </c>
      <c r="N13" s="80" cm="1">
        <f t="array" aca="1" ref="N13" ca="1">IFERROR(INDIRECT("'Proposed Data'!"&amp;ADDRESS(AE13,$AF13)),0)</f>
        <v>8767</v>
      </c>
      <c r="O13" s="83"/>
      <c r="P13" s="83"/>
      <c r="Q13" s="83"/>
      <c r="S13" s="74">
        <f>Proposed!G26</f>
        <v>0</v>
      </c>
      <c r="T13" s="74">
        <f>Proposed!G24</f>
        <v>0</v>
      </c>
      <c r="V13" s="75" t="str">
        <f>'Proposed Data'!CF1</f>
        <v>West WWR Actual (%)</v>
      </c>
      <c r="W13" s="75">
        <v>2</v>
      </c>
      <c r="X13" s="75">
        <v>6</v>
      </c>
      <c r="Y13" s="75">
        <f>IFERROR(MATCH(Y$2,Select_Case,0)+1,0)</f>
        <v>2</v>
      </c>
      <c r="Z13" s="75">
        <f>MATCH($V13,'Proposed Data'!$A$1:$ET$1,0)</f>
        <v>84</v>
      </c>
      <c r="AA13" s="75"/>
      <c r="AB13" s="74" t="str">
        <f>'Proposed Data'!DQ1</f>
        <v>Total Cooling Airflow Rate (CFM)</v>
      </c>
      <c r="AC13" s="75">
        <v>2</v>
      </c>
      <c r="AD13" s="75">
        <v>6</v>
      </c>
      <c r="AE13" s="75">
        <f t="shared" si="2"/>
        <v>2</v>
      </c>
      <c r="AF13" s="75">
        <f>MATCH($AB13,'Proposed Data'!$A$1:$ET$1,0)</f>
        <v>121</v>
      </c>
    </row>
    <row r="14" spans="1:47" ht="15">
      <c r="A14" s="1"/>
      <c r="C14" s="59"/>
      <c r="F14" s="80" cm="1">
        <f t="array" aca="1" ref="F14" ca="1">IFERROR(INDIRECT("'BL Data'!"&amp;ADDRESS(W14,$Z14)),0)</f>
        <v>0</v>
      </c>
      <c r="G14" s="80" cm="1">
        <f t="array" aca="1" ref="G14" ca="1">IFERROR(INDIRECT("'BL Data'!"&amp;ADDRESS(X14,$Z14)),0)</f>
        <v>0</v>
      </c>
      <c r="H14" s="80"/>
      <c r="I14" s="83"/>
      <c r="J14" s="59" t="str">
        <f t="shared" si="0"/>
        <v xml:space="preserve">Cooling Airflow Rate per Area </v>
      </c>
      <c r="K14" s="59" t="str">
        <f t="shared" si="1"/>
        <v>(CFM/ft²)</v>
      </c>
      <c r="L14" s="80" cm="1">
        <f t="array" aca="1" ref="L14" ca="1">IFERROR(INDIRECT("'BL Data'!"&amp;ADDRESS(AC14,$AF14)),0)</f>
        <v>0.77700000000000002</v>
      </c>
      <c r="M14" s="80" cm="1">
        <f t="array" aca="1" ref="M14" ca="1">IFERROR(INDIRECT("'BL Data'!"&amp;ADDRESS(AD14,$AF14)),0)</f>
        <v>0</v>
      </c>
      <c r="N14" s="80" cm="1">
        <f t="array" aca="1" ref="N14" ca="1">IFERROR(INDIRECT("'Proposed Data'!"&amp;ADDRESS(AE14,$AF14)),0)</f>
        <v>0.64200000000000002</v>
      </c>
      <c r="O14" s="83"/>
      <c r="P14" s="83"/>
      <c r="Q14" s="83"/>
      <c r="S14" s="74">
        <f>Proposed!G40</f>
        <v>0</v>
      </c>
      <c r="T14" s="74">
        <f>Proposed!G38</f>
        <v>0</v>
      </c>
      <c r="W14" s="75"/>
      <c r="X14" s="75"/>
      <c r="Y14" s="75"/>
      <c r="Z14" s="75"/>
      <c r="AA14" s="75"/>
      <c r="AB14" s="74" t="str">
        <f>'Proposed Data'!DR1</f>
        <v>Cooling Airflow Rate per Area (CFM/ft²)</v>
      </c>
      <c r="AC14" s="75">
        <v>2</v>
      </c>
      <c r="AD14" s="75">
        <v>6</v>
      </c>
      <c r="AE14" s="75">
        <f t="shared" si="2"/>
        <v>2</v>
      </c>
      <c r="AF14" s="75">
        <f>MATCH($AB14,'Proposed Data'!$A$1:$ET$1,0)</f>
        <v>122</v>
      </c>
    </row>
    <row r="15" spans="1:47" ht="15">
      <c r="A15" s="1"/>
      <c r="B15" s="59" t="str">
        <f t="shared" si="3"/>
        <v xml:space="preserve">Wall U-Value </v>
      </c>
      <c r="C15" s="59" t="str">
        <f t="shared" si="4"/>
        <v>(Btu/h·ft²·F)</v>
      </c>
      <c r="D15" s="59"/>
      <c r="E15" s="59"/>
      <c r="F15" s="167" cm="1">
        <f t="array" aca="1" ref="F15" ca="1">IFERROR(INDIRECT("'BL Data'!"&amp;ADDRESS(W15,$Z15)),0)</f>
        <v>8.3999999999999977E-2</v>
      </c>
      <c r="G15" s="167" cm="1">
        <f t="array" aca="1" ref="G15" ca="1">IFERROR(INDIRECT("'BL Data'!"&amp;ADDRESS(X15,$Z15)),0)</f>
        <v>0</v>
      </c>
      <c r="H15" s="167" cm="1">
        <f t="array" aca="1" ref="H15" ca="1">IFERROR(INDIRECT("'Proposed Data'!"&amp;ADDRESS(Y15,$Z15)),0)</f>
        <v>4.6000000000000006E-2</v>
      </c>
      <c r="I15" s="83"/>
      <c r="J15" s="83"/>
      <c r="K15" s="59"/>
      <c r="L15" s="83"/>
      <c r="M15" s="83"/>
      <c r="N15" s="83"/>
      <c r="O15" s="83"/>
      <c r="P15" s="83"/>
      <c r="Q15" s="83"/>
      <c r="S15" s="74">
        <f>Proposed!G54</f>
        <v>0</v>
      </c>
      <c r="T15" s="74">
        <f>Proposed!G52</f>
        <v>0</v>
      </c>
      <c r="V15" s="74" t="str">
        <f>'Proposed Data'!CV1</f>
        <v>Wall U-Value (Btu/h·ft²·F)</v>
      </c>
      <c r="W15" s="75">
        <v>2</v>
      </c>
      <c r="X15" s="75">
        <v>6</v>
      </c>
      <c r="Y15" s="75">
        <f>IFERROR(MATCH(Y$2,Select_Case,0)+1,0)</f>
        <v>2</v>
      </c>
      <c r="Z15" s="75">
        <f>MATCH($V15,'Proposed Data'!$A$1:$ET$1,0)</f>
        <v>100</v>
      </c>
      <c r="AA15" s="75"/>
      <c r="AB15" s="4"/>
      <c r="AC15" s="4"/>
      <c r="AD15" s="4"/>
      <c r="AE15" s="4"/>
      <c r="AF15" s="4"/>
    </row>
    <row r="16" spans="1:47" ht="15">
      <c r="A16" s="1"/>
      <c r="B16" s="59" t="str">
        <f t="shared" si="3"/>
        <v xml:space="preserve">Roof U-Value </v>
      </c>
      <c r="C16" s="59" t="str">
        <f t="shared" si="4"/>
        <v>(Btu/h·ft²·F)</v>
      </c>
      <c r="D16" s="59"/>
      <c r="E16" s="59"/>
      <c r="F16" s="167" cm="1">
        <f t="array" aca="1" ref="F16" ca="1">IFERROR(INDIRECT("'BL Data'!"&amp;ADDRESS(W16,$Z16)),0)</f>
        <v>4.7000000000000007E-2</v>
      </c>
      <c r="G16" s="167" cm="1">
        <f t="array" aca="1" ref="G16" ca="1">IFERROR(INDIRECT("'BL Data'!"&amp;ADDRESS(X16,$Z16)),0)</f>
        <v>0</v>
      </c>
      <c r="H16" s="167" cm="1">
        <f t="array" aca="1" ref="H16" ca="1">IFERROR(INDIRECT("'Proposed Data'!"&amp;ADDRESS(Y16,$Z16)),0)</f>
        <v>2.6000000000000006E-2</v>
      </c>
      <c r="I16" s="83"/>
      <c r="J16" s="59" t="str">
        <f>IFERROR(LEFT($AB16,FIND("(",$AB16)-1),$AB16)</f>
        <v xml:space="preserve">Chiller Efficiency </v>
      </c>
      <c r="K16" s="59" t="str">
        <f>IFERROR(RIGHT($AB16,FIND(")",$AB16)-FIND("(",$AB16)+1)," ")</f>
        <v>(COP)</v>
      </c>
      <c r="L16" s="80" cm="1">
        <f t="array" aca="1" ref="L16" ca="1">IFERROR(INDIRECT("'BL Data'!"&amp;ADDRESS(AC16,$AF16)),0)</f>
        <v>0</v>
      </c>
      <c r="M16" s="80" cm="1">
        <f t="array" aca="1" ref="M16" ca="1">IFERROR(INDIRECT("'BL Data'!"&amp;ADDRESS(AD16,$AF16)),0)</f>
        <v>0</v>
      </c>
      <c r="N16" s="80" cm="1">
        <f t="array" aca="1" ref="N16" ca="1">IFERROR(INDIRECT("'Proposed Data'!"&amp;ADDRESS(AE16,$AF16)),0)</f>
        <v>0</v>
      </c>
      <c r="O16" s="83"/>
      <c r="P16" s="83"/>
      <c r="Q16" s="83"/>
      <c r="S16" s="74">
        <f>Proposed!G68</f>
        <v>0</v>
      </c>
      <c r="T16" s="74">
        <f>Proposed!G66</f>
        <v>0</v>
      </c>
      <c r="V16" s="74" t="str">
        <f>'Proposed Data'!CX1</f>
        <v>Roof U-Value (Btu/h·ft²·F)</v>
      </c>
      <c r="W16" s="75">
        <v>2</v>
      </c>
      <c r="X16" s="75">
        <v>6</v>
      </c>
      <c r="Y16" s="75">
        <f>IFERROR(MATCH(Y$2,Select_Case,0)+1,0)</f>
        <v>2</v>
      </c>
      <c r="Z16" s="75">
        <f>MATCH($V16,'Proposed Data'!$A$1:$ET$1,0)</f>
        <v>102</v>
      </c>
      <c r="AA16" s="75"/>
      <c r="AB16" s="74" t="str">
        <f>'Proposed Data'!DS1</f>
        <v>Chiller Efficiency (COP)</v>
      </c>
      <c r="AC16" s="75">
        <v>2</v>
      </c>
      <c r="AD16" s="75">
        <v>6</v>
      </c>
      <c r="AE16" s="75">
        <f>IFERROR(MATCH(Y$2,Select_Case,0)+1,0)</f>
        <v>2</v>
      </c>
      <c r="AF16" s="75">
        <f>MATCH($AB16,'Proposed Data'!$A$1:$ET$1,0)</f>
        <v>123</v>
      </c>
    </row>
    <row r="17" spans="2:32">
      <c r="B17" s="59" t="str">
        <f t="shared" si="3"/>
        <v xml:space="preserve">Exposed Floor U-Value </v>
      </c>
      <c r="C17" s="59" t="str">
        <f t="shared" si="4"/>
        <v>(Btu/h·ft²·F)</v>
      </c>
      <c r="D17" s="59"/>
      <c r="E17" s="59"/>
      <c r="F17" s="167" cm="1">
        <f t="array" aca="1" ref="F17" ca="1">IFERROR(INDIRECT("'BL Data'!"&amp;ADDRESS(W17,$Z17)),0)</f>
        <v>5.2999999999999999E-2</v>
      </c>
      <c r="G17" s="167" cm="1">
        <f t="array" aca="1" ref="G17" ca="1">IFERROR(INDIRECT("'BL Data'!"&amp;ADDRESS(X17,$Z17)),0)</f>
        <v>0</v>
      </c>
      <c r="H17" s="167" cm="1">
        <f t="array" aca="1" ref="H17" ca="1">IFERROR(INDIRECT("'Proposed Data'!"&amp;ADDRESS(Y17,$Z17)),0)</f>
        <v>3.7999999999999999E-2</v>
      </c>
      <c r="I17" s="83"/>
      <c r="J17" s="59" t="str">
        <f>IFERROR(LEFT($AB17,FIND("(",$AB17)-1),$AB17)</f>
        <v xml:space="preserve">Boiler Efficiency </v>
      </c>
      <c r="K17" s="59" t="str">
        <f>IFERROR(RIGHT($AB17,FIND(")",$AB17)-FIND("(",$AB17)+1)," ")</f>
        <v>(COP)</v>
      </c>
      <c r="L17" s="80" cm="1">
        <f t="array" aca="1" ref="L17" ca="1">IFERROR(INDIRECT("'BL Data'!"&amp;ADDRESS(AC17,$AF17)),0)</f>
        <v>0</v>
      </c>
      <c r="M17" s="80" cm="1">
        <f t="array" aca="1" ref="M17" ca="1">IFERROR(INDIRECT("'BL Data'!"&amp;ADDRESS(AD17,$AF17)),0)</f>
        <v>0</v>
      </c>
      <c r="N17" s="80" cm="1">
        <f t="array" aca="1" ref="N17" ca="1">IFERROR(INDIRECT("'Proposed Data'!"&amp;ADDRESS(AE17,$AF17)),0)</f>
        <v>0</v>
      </c>
      <c r="O17" s="83"/>
      <c r="P17" s="83"/>
      <c r="Q17" s="83"/>
      <c r="S17" s="74">
        <f>Proposed!G82</f>
        <v>0</v>
      </c>
      <c r="T17" s="74">
        <f>Proposed!G80</f>
        <v>0</v>
      </c>
      <c r="V17" s="74" t="str">
        <f>'Proposed Data'!CY1</f>
        <v>Exposed Floor U-Value (Btu/h·ft²·F)</v>
      </c>
      <c r="W17" s="75">
        <v>2</v>
      </c>
      <c r="X17" s="75">
        <v>6</v>
      </c>
      <c r="Y17" s="75">
        <f>IFERROR(MATCH(Y$2,Select_Case,0)+1,0)</f>
        <v>2</v>
      </c>
      <c r="Z17" s="75">
        <f>MATCH($V17,'Proposed Data'!$A$1:$ET$1,0)</f>
        <v>103</v>
      </c>
      <c r="AA17" s="75"/>
      <c r="AB17" s="74" t="str">
        <f>'Proposed Data'!DT1</f>
        <v>Boiler Efficiency (COP)</v>
      </c>
      <c r="AC17" s="75">
        <v>2</v>
      </c>
      <c r="AD17" s="75">
        <v>6</v>
      </c>
      <c r="AE17" s="75">
        <f>IFERROR(MATCH(Y$2,Select_Case,0)+1,0)</f>
        <v>2</v>
      </c>
      <c r="AF17" s="75">
        <f>MATCH($AB17,'Proposed Data'!$A$1:$ET$1,0)</f>
        <v>124</v>
      </c>
    </row>
    <row r="18" spans="2:32">
      <c r="B18" s="59" t="str">
        <f t="shared" si="3"/>
        <v xml:space="preserve">Slab on Grade U-Value </v>
      </c>
      <c r="C18" s="59" t="str">
        <f t="shared" si="4"/>
        <v>(Btu/h·ft²·F)</v>
      </c>
      <c r="D18" s="59"/>
      <c r="E18" s="59"/>
      <c r="F18" s="167" cm="1">
        <f t="array" aca="1" ref="F18" ca="1">IFERROR(INDIRECT("'BL Data'!"&amp;ADDRESS(W18,$Z18)),0)</f>
        <v>4.0000000000000008E-2</v>
      </c>
      <c r="G18" s="167" cm="1">
        <f t="array" aca="1" ref="G18" ca="1">IFERROR(INDIRECT("'BL Data'!"&amp;ADDRESS(X18,$Z18)),0)</f>
        <v>0</v>
      </c>
      <c r="H18" s="167" cm="1">
        <f t="array" aca="1" ref="H18" ca="1">IFERROR(INDIRECT("'Proposed Data'!"&amp;ADDRESS(Y18,$Z18)),0)</f>
        <v>4.1000000000000009E-2</v>
      </c>
      <c r="I18" s="83"/>
      <c r="J18" s="83"/>
      <c r="K18" s="83"/>
      <c r="L18" s="83"/>
      <c r="M18" s="83"/>
      <c r="N18" s="83"/>
      <c r="O18" s="83"/>
      <c r="P18" s="83"/>
      <c r="Q18" s="83"/>
      <c r="S18" s="74">
        <f>Proposed!G96</f>
        <v>0</v>
      </c>
      <c r="T18" s="74">
        <f>Proposed!G94</f>
        <v>0</v>
      </c>
      <c r="V18" s="74" t="str">
        <f>'Proposed Data'!CZ1</f>
        <v>Slab on Grade U-Value (Btu/h·ft²·F)</v>
      </c>
      <c r="W18" s="75">
        <v>2</v>
      </c>
      <c r="X18" s="75">
        <v>6</v>
      </c>
      <c r="Y18" s="75">
        <f>IFERROR(MATCH(Y$2,Select_Case,0)+1,0)</f>
        <v>2</v>
      </c>
      <c r="Z18" s="75">
        <f>MATCH($V18,'Proposed Data'!$A$1:$ET$1,0)</f>
        <v>104</v>
      </c>
      <c r="AA18" s="75"/>
      <c r="AB18" s="4"/>
      <c r="AC18" s="4"/>
      <c r="AD18" s="4"/>
      <c r="AE18" s="4"/>
      <c r="AF18" s="4"/>
    </row>
    <row r="19" spans="2:32">
      <c r="B19" s="59"/>
      <c r="C19" s="59"/>
      <c r="D19" s="59"/>
      <c r="E19" s="59"/>
      <c r="F19" s="80" cm="1">
        <f t="array" aca="1" ref="F19" ca="1">IFERROR(INDIRECT("'BL Data'!"&amp;ADDRESS(W19,$Z19)),0)</f>
        <v>0</v>
      </c>
      <c r="G19" s="80" cm="1">
        <f t="array" aca="1" ref="G19" ca="1">IFERROR(INDIRECT("'BL Data'!"&amp;ADDRESS(X19,$Z19)),0)</f>
        <v>0</v>
      </c>
      <c r="H19" s="80"/>
      <c r="I19" s="83"/>
      <c r="J19" s="59" t="str">
        <f>IFERROR(LEFT($AB19,FIND("(",$AB19)-1),$AB19)</f>
        <v xml:space="preserve">DX Cooling Efficiency </v>
      </c>
      <c r="K19" s="59" t="str">
        <f>IFERROR(RIGHT($AB19,FIND(")",$AB19)-FIND("(",$AB19)+1)," ")</f>
        <v>(COP)</v>
      </c>
      <c r="L19" s="80" cm="1">
        <f t="array" aca="1" ref="L19" ca="1">IFERROR(INDIRECT("'BL Data'!"&amp;ADDRESS(AC19,$AF19)),0)</f>
        <v>0</v>
      </c>
      <c r="M19" s="80" cm="1">
        <f t="array" aca="1" ref="M19" ca="1">IFERROR(INDIRECT("'BL Data'!"&amp;ADDRESS(AD19,$AF19)),0)</f>
        <v>0</v>
      </c>
      <c r="N19" s="80" cm="1">
        <f t="array" aca="1" ref="N19" ca="1">IFERROR(INDIRECT("'Proposed Data'!"&amp;ADDRESS(AE19,$AF19)),0)</f>
        <v>0</v>
      </c>
      <c r="O19" s="83"/>
      <c r="P19" s="83"/>
      <c r="Q19" s="83"/>
      <c r="S19" s="74">
        <f>Proposed!G110</f>
        <v>0</v>
      </c>
      <c r="T19" s="74">
        <f>Proposed!G108</f>
        <v>0</v>
      </c>
      <c r="W19" s="75"/>
      <c r="X19" s="75"/>
      <c r="Y19" s="75"/>
      <c r="Z19" s="75"/>
      <c r="AA19" s="75"/>
      <c r="AB19" s="74" t="str">
        <f>'Proposed Data'!DU1</f>
        <v>DX Cooling Efficiency (COP)</v>
      </c>
      <c r="AC19" s="75">
        <v>2</v>
      </c>
      <c r="AD19" s="75">
        <v>6</v>
      </c>
      <c r="AE19" s="75">
        <f>IFERROR(MATCH(Y$2,Select_Case,0)+1,0)</f>
        <v>2</v>
      </c>
      <c r="AF19" s="75">
        <f>MATCH($AB19,'Proposed Data'!$A$1:$ET$1,0)</f>
        <v>125</v>
      </c>
    </row>
    <row r="20" spans="2:32">
      <c r="B20" s="59" t="str">
        <f t="shared" si="3"/>
        <v xml:space="preserve">Assembly U-Value </v>
      </c>
      <c r="C20" s="59" t="str">
        <f t="shared" si="4"/>
        <v>(Btu/h·ft²·F)</v>
      </c>
      <c r="D20" s="59"/>
      <c r="E20" s="59"/>
      <c r="F20" s="167" cm="1">
        <f t="array" aca="1" ref="F20" ca="1">IFERROR(INDIRECT("'BL Data'!"&amp;ADDRESS(W20,$Z20)),0)</f>
        <v>6.2166146557882468E-2</v>
      </c>
      <c r="G20" s="167" cm="1">
        <f t="array" aca="1" ref="G20" ca="1">IFERROR(INDIRECT("'BL Data'!"&amp;ADDRESS(X20,$Z20)),0)</f>
        <v>0</v>
      </c>
      <c r="H20" s="167" cm="1">
        <f t="array" aca="1" ref="H20" ca="1">IFERROR(INDIRECT("'Proposed Data'!"&amp;ADDRESS(Y20,$Z20)),0)</f>
        <v>3.4197917058314854E-2</v>
      </c>
      <c r="I20" s="130"/>
      <c r="J20" s="59" t="str">
        <f>IFERROR(LEFT($AB20,FIND("(",$AB20)-1),$AB20)</f>
        <v xml:space="preserve">DX Heating Efficiency </v>
      </c>
      <c r="K20" s="59" t="str">
        <f>IFERROR(RIGHT($AB20,FIND(")",$AB20)-FIND("(",$AB20)+1)," ")</f>
        <v>(HSPF)</v>
      </c>
      <c r="L20" s="80" cm="1">
        <f t="array" aca="1" ref="L20" ca="1">IFERROR(INDIRECT("'BL Data'!"&amp;ADDRESS(AC20,$AF20)),0)</f>
        <v>0</v>
      </c>
      <c r="M20" s="80" cm="1">
        <f t="array" aca="1" ref="M20" ca="1">IFERROR(INDIRECT("'BL Data'!"&amp;ADDRESS(AD20,$AF20)),0)</f>
        <v>0</v>
      </c>
      <c r="N20" s="80" cm="1">
        <f t="array" aca="1" ref="N20" ca="1">IFERROR(INDIRECT("'Proposed Data'!"&amp;ADDRESS(AE20,$AF20)),0)</f>
        <v>0</v>
      </c>
      <c r="O20" s="83"/>
      <c r="P20" s="83"/>
      <c r="Q20" s="83"/>
      <c r="S20" s="74">
        <f>Proposed!G124</f>
        <v>0</v>
      </c>
      <c r="T20" s="74">
        <f>Proposed!G122</f>
        <v>0</v>
      </c>
      <c r="V20" s="74" t="str">
        <f>'Proposed Data'!DA1</f>
        <v>Assembly U-Value (Btu/h·ft²·F)</v>
      </c>
      <c r="W20" s="75">
        <v>2</v>
      </c>
      <c r="X20" s="75">
        <v>6</v>
      </c>
      <c r="Y20" s="75">
        <f>IFERROR(MATCH(Y$2,Select_Case,0)+1,0)</f>
        <v>2</v>
      </c>
      <c r="Z20" s="75">
        <f>MATCH($V20,'Proposed Data'!$A$1:$ET$1,0)</f>
        <v>105</v>
      </c>
      <c r="AA20" s="75"/>
      <c r="AB20" s="74" t="str">
        <f>'Proposed Data'!DV1</f>
        <v>DX Heating Efficiency (HSPF)</v>
      </c>
      <c r="AC20" s="75">
        <v>2</v>
      </c>
      <c r="AD20" s="75">
        <v>6</v>
      </c>
      <c r="AE20" s="75">
        <f>IFERROR(MATCH(Y$2,Select_Case,0)+1,0)</f>
        <v>2</v>
      </c>
      <c r="AF20" s="75">
        <f>MATCH($AB20,'Proposed Data'!$A$1:$ET$1,0)</f>
        <v>126</v>
      </c>
    </row>
    <row r="21" spans="2:32">
      <c r="B21" s="59" t="str">
        <f t="shared" si="3"/>
        <v xml:space="preserve">Glass U-Value </v>
      </c>
      <c r="C21" s="59" t="str">
        <f t="shared" si="4"/>
        <v>(Btu/h·ft²·F)</v>
      </c>
      <c r="D21" s="59"/>
      <c r="E21" s="59"/>
      <c r="F21" s="81" t="s">
        <v>256</v>
      </c>
      <c r="G21" s="81" t="s">
        <v>256</v>
      </c>
      <c r="H21" s="167" cm="1">
        <f t="array" aca="1" ref="H21" ca="1">IFERROR(INDIRECT("'Proposed Data'!"&amp;ADDRESS(Y21,$Z21)),0)</f>
        <v>0.50099999999999989</v>
      </c>
      <c r="I21" s="130"/>
      <c r="J21" s="59" t="str">
        <f>IFERROR(LEFT($AB21,FIND("(",$AB21)-1),$AB21)</f>
        <v xml:space="preserve">Heat Pump Cooling Efficiency </v>
      </c>
      <c r="K21" s="59" t="str">
        <f>IFERROR(RIGHT($AB21,FIND(")",$AB21)-FIND("(",$AB21)+1)," ")</f>
        <v>(COP)</v>
      </c>
      <c r="L21" s="80" cm="1">
        <f t="array" aca="1" ref="L21" ca="1">IFERROR(INDIRECT("'BL Data'!"&amp;ADDRESS(AC21,$AF21)),0)</f>
        <v>0</v>
      </c>
      <c r="M21" s="80" cm="1">
        <f t="array" aca="1" ref="M21" ca="1">IFERROR(INDIRECT("'BL Data'!"&amp;ADDRESS(AD21,$AF21)),0)</f>
        <v>0</v>
      </c>
      <c r="N21" s="80" cm="1">
        <f t="array" aca="1" ref="N21" ca="1">IFERROR(INDIRECT("'Proposed Data'!"&amp;ADDRESS(AE21,$AF21)),0)</f>
        <v>0</v>
      </c>
      <c r="O21" s="130"/>
      <c r="P21" s="130"/>
      <c r="Q21" s="130"/>
      <c r="S21" s="74">
        <f>Proposed!G138</f>
        <v>0</v>
      </c>
      <c r="T21" s="74">
        <f>Proposed!G136</f>
        <v>0</v>
      </c>
      <c r="V21" s="74" t="str">
        <f>'Proposed Data'!DB1</f>
        <v>Glass U-Value (Btu/h·ft²·F)</v>
      </c>
      <c r="W21" s="75">
        <v>2</v>
      </c>
      <c r="X21" s="75">
        <v>6</v>
      </c>
      <c r="Y21" s="75">
        <f>IFERROR(MATCH(Y$2,Select_Case,0)+1,0)</f>
        <v>2</v>
      </c>
      <c r="Z21" s="75">
        <f>MATCH($V21,'Proposed Data'!$A$1:$ET$1,0)</f>
        <v>106</v>
      </c>
      <c r="AA21" s="75"/>
      <c r="AB21" s="74" t="str">
        <f>'Proposed Data'!DW1</f>
        <v>Heat Pump Cooling Efficiency (COP)</v>
      </c>
      <c r="AC21" s="75">
        <v>2</v>
      </c>
      <c r="AD21" s="75">
        <v>6</v>
      </c>
      <c r="AE21" s="75">
        <f>IFERROR(MATCH(Y$2,Select_Case,0)+1,0)</f>
        <v>2</v>
      </c>
      <c r="AF21" s="75">
        <f>MATCH($AB21,'Proposed Data'!$A$1:$ET$1,0)</f>
        <v>127</v>
      </c>
    </row>
    <row r="22" spans="2:32">
      <c r="B22" s="59" t="str">
        <f t="shared" si="3"/>
        <v>Glass SHGC</v>
      </c>
      <c r="C22" s="59" t="str">
        <f t="shared" si="4"/>
        <v xml:space="preserve"> </v>
      </c>
      <c r="D22" s="59"/>
      <c r="E22" s="59"/>
      <c r="F22" s="81" cm="1">
        <f t="array" aca="1" ref="F22" ca="1">IFERROR(INDIRECT("'BL Data'!"&amp;ADDRESS(W22,$Z22)),0)</f>
        <v>0.25199999999999995</v>
      </c>
      <c r="G22" s="80" cm="1">
        <f t="array" aca="1" ref="G22" ca="1">IFERROR(INDIRECT("'BL Data'!"&amp;ADDRESS(X22,$Z22)),0)</f>
        <v>0</v>
      </c>
      <c r="H22" s="81" cm="1">
        <f t="array" aca="1" ref="H22" ca="1">IFERROR(INDIRECT("'Proposed Data'!"&amp;ADDRESS(Y22,$Z22)),0)</f>
        <v>0.40100000000000002</v>
      </c>
      <c r="I22" s="130"/>
      <c r="J22" s="59" t="str">
        <f>IFERROR(LEFT($AB22,FIND("(",$AB22)-1),$AB22)</f>
        <v xml:space="preserve">Heat Pump Heating Efficiency </v>
      </c>
      <c r="K22" s="59" t="str">
        <f>IFERROR(RIGHT($AB22,FIND(")",$AB22)-FIND("(",$AB22)+1)," ")</f>
        <v>(COP)</v>
      </c>
      <c r="L22" s="80" cm="1">
        <f t="array" aca="1" ref="L22" ca="1">IFERROR(INDIRECT("'BL Data'!"&amp;ADDRESS(AC22,$AF22)),0)</f>
        <v>0</v>
      </c>
      <c r="M22" s="80" cm="1">
        <f t="array" aca="1" ref="M22" ca="1">IFERROR(INDIRECT("'BL Data'!"&amp;ADDRESS(AD22,$AF22)),0)</f>
        <v>0</v>
      </c>
      <c r="N22" s="80" cm="1">
        <f t="array" aca="1" ref="N22" ca="1">IFERROR(INDIRECT("'Proposed Data'!"&amp;ADDRESS(AE22,$AF22)),0)</f>
        <v>0</v>
      </c>
      <c r="O22" s="130"/>
      <c r="P22" s="130"/>
      <c r="Q22" s="130"/>
      <c r="V22" s="74" t="str">
        <f>'Proposed Data'!DC1</f>
        <v>Glass SHGC</v>
      </c>
      <c r="W22" s="75">
        <v>2</v>
      </c>
      <c r="X22" s="75">
        <v>6</v>
      </c>
      <c r="Y22" s="75">
        <f>IFERROR(MATCH(Y$2,Select_Case,0)+1,0)</f>
        <v>2</v>
      </c>
      <c r="Z22" s="75">
        <f>MATCH($V22,'Proposed Data'!$A$1:$ET$1,0)</f>
        <v>107</v>
      </c>
      <c r="AA22" s="75"/>
      <c r="AB22" s="74" t="str">
        <f>'Proposed Data'!DX1</f>
        <v>Heat Pump Heating Efficiency (COP)</v>
      </c>
      <c r="AC22" s="75">
        <v>2</v>
      </c>
      <c r="AD22" s="75">
        <v>6</v>
      </c>
      <c r="AE22" s="75">
        <f>IFERROR(MATCH(Y$2,Select_Case,0)+1,0)</f>
        <v>2</v>
      </c>
      <c r="AF22" s="75">
        <f>MATCH($AB22,'Proposed Data'!$A$1:$ET$1,0)</f>
        <v>128</v>
      </c>
    </row>
    <row r="23" spans="2:32">
      <c r="B23" s="59" t="str">
        <f t="shared" si="3"/>
        <v>Glass VLT</v>
      </c>
      <c r="C23" s="59" t="str">
        <f t="shared" si="4"/>
        <v xml:space="preserve"> </v>
      </c>
      <c r="D23" s="59"/>
      <c r="E23" s="59"/>
      <c r="F23" s="81" cm="1">
        <f t="array" aca="1" ref="F23" ca="1">IFERROR(INDIRECT("'BL Data'!"&amp;ADDRESS(W23,$Z23)),0)</f>
        <v>0.31900000000000023</v>
      </c>
      <c r="G23" s="80" cm="1">
        <f t="array" aca="1" ref="G23" ca="1">IFERROR(INDIRECT("'BL Data'!"&amp;ADDRESS(X23,$Z23)),0)</f>
        <v>0</v>
      </c>
      <c r="H23" s="81" cm="1">
        <f t="array" aca="1" ref="H23" ca="1">IFERROR(INDIRECT("'Proposed Data'!"&amp;ADDRESS(Y23,$Z23)),0)</f>
        <v>0.442</v>
      </c>
      <c r="I23" s="130"/>
      <c r="J23" s="130"/>
      <c r="K23" s="130"/>
      <c r="L23" s="130"/>
      <c r="M23" s="130"/>
      <c r="N23" s="130"/>
      <c r="O23" s="130"/>
      <c r="P23" s="130"/>
      <c r="Q23" s="130"/>
      <c r="V23" s="74" t="str">
        <f>'Proposed Data'!DD1</f>
        <v>Glass VLT</v>
      </c>
      <c r="W23" s="75">
        <v>2</v>
      </c>
      <c r="X23" s="75">
        <v>6</v>
      </c>
      <c r="Y23" s="75">
        <f>IFERROR(MATCH(Y$2,Select_Case,0)+1,0)</f>
        <v>2</v>
      </c>
      <c r="Z23" s="75">
        <f>MATCH($V23,'Proposed Data'!$A$1:$ET$1,0)</f>
        <v>108</v>
      </c>
      <c r="AA23" s="75"/>
      <c r="AB23" s="4"/>
      <c r="AC23" s="4"/>
      <c r="AD23" s="4"/>
      <c r="AE23" s="4"/>
      <c r="AF23" s="4"/>
    </row>
    <row r="24" spans="2:32">
      <c r="B24" s="74"/>
      <c r="C24" s="74"/>
      <c r="D24" s="74"/>
      <c r="E24" s="74"/>
      <c r="F24" s="80"/>
      <c r="G24" s="80"/>
      <c r="H24" s="80"/>
      <c r="I24" s="83"/>
      <c r="J24" s="59" t="str">
        <f>IFERROR(LEFT($AB24,FIND("(",$AB24)-1),$AB24)</f>
        <v xml:space="preserve">Total Fan Power </v>
      </c>
      <c r="K24" s="59" t="str">
        <f>IFERROR(RIGHT($AB24,FIND(")",$AB24)-FIND("(",$AB24)+1)," ")</f>
        <v>(kW)</v>
      </c>
      <c r="L24" s="80" cm="1">
        <f t="array" aca="1" ref="L24" ca="1">IFERROR(INDIRECT("'BL Data'!"&amp;ADDRESS(AC24,$AF24)),0)</f>
        <v>6.88</v>
      </c>
      <c r="M24" s="80" cm="1">
        <f t="array" aca="1" ref="M24" ca="1">IFERROR(INDIRECT("'BL Data'!"&amp;ADDRESS(AD24,$AF24)),0)</f>
        <v>0</v>
      </c>
      <c r="N24" s="80" cm="1">
        <f t="array" aca="1" ref="N24" ca="1">IFERROR(INDIRECT("'Proposed Data'!"&amp;ADDRESS(AE24,$AF24)),0)</f>
        <v>0</v>
      </c>
      <c r="O24" s="83"/>
      <c r="P24" s="83"/>
      <c r="Q24" s="83"/>
      <c r="V24" s="74"/>
      <c r="W24" s="75"/>
      <c r="X24" s="75"/>
      <c r="Y24" s="75"/>
      <c r="Z24" s="75"/>
      <c r="AA24" s="75"/>
      <c r="AB24" s="74" t="str">
        <f>'Proposed Data'!DY1</f>
        <v>Total Fan Power (kW)</v>
      </c>
      <c r="AC24" s="176">
        <v>2</v>
      </c>
      <c r="AD24" s="176">
        <v>6</v>
      </c>
      <c r="AE24" s="75">
        <f>IFERROR(MATCH(Y$2,Select_Case,0)+1,0)</f>
        <v>2</v>
      </c>
      <c r="AF24" s="75">
        <f>MATCH($AB24,'Proposed Data'!$A$1:$ET$1,0)</f>
        <v>129</v>
      </c>
    </row>
    <row r="25" spans="2:32">
      <c r="B25" s="59" t="str">
        <f t="shared" si="3"/>
        <v xml:space="preserve">Vertical Weighted U-Value </v>
      </c>
      <c r="C25" s="59" t="str">
        <f t="shared" si="4"/>
        <v>(Btu/h·ft²·F)</v>
      </c>
      <c r="D25" s="59"/>
      <c r="E25" s="59"/>
      <c r="F25" s="167" cm="1">
        <f t="array" aca="1" ref="F25" ca="1">IFERROR(INDIRECT("'BL Data'!"&amp;ADDRESS(W25,$Z25)),0)</f>
        <v>0.12397860005115525</v>
      </c>
      <c r="G25" s="167" cm="1">
        <f t="array" aca="1" ref="G25" ca="1">IFERROR(INDIRECT("'BL Data'!"&amp;ADDRESS(X25,$Z25)),0)</f>
        <v>0</v>
      </c>
      <c r="H25" s="167" cm="1">
        <f t="array" aca="1" ref="H25" ca="1">IFERROR(INDIRECT("'Proposed Data'!"&amp;ADDRESS(Y25,$Z25)),0)</f>
        <v>7.8081592633643102E-2</v>
      </c>
      <c r="I25" s="130"/>
      <c r="J25" s="59" t="s">
        <v>257</v>
      </c>
      <c r="K25" s="59" t="s">
        <v>258</v>
      </c>
      <c r="L25" s="177">
        <f ca="1">IFERROR(L24*1000/L9,0)</f>
        <v>4.1148325358851672</v>
      </c>
      <c r="M25" s="177">
        <f ca="1">IFERROR(M24*1000/M9,0)</f>
        <v>0</v>
      </c>
      <c r="N25" s="177">
        <f ca="1">IFERROR(N24*1000/N9,0)</f>
        <v>0</v>
      </c>
      <c r="O25" s="130"/>
      <c r="P25" s="130"/>
      <c r="Q25" s="130"/>
      <c r="V25" s="74" t="str">
        <f>'Proposed Data'!CT1</f>
        <v>Vertical Weighted U-Value (Btu/h·ft²·F)</v>
      </c>
      <c r="W25" s="75">
        <v>2</v>
      </c>
      <c r="X25" s="75">
        <v>6</v>
      </c>
      <c r="Y25" s="75">
        <f>IFERROR(MATCH(Y$2,Select_Case,0)+1,0)</f>
        <v>2</v>
      </c>
      <c r="Z25" s="75">
        <f>MATCH($V25,'Proposed Data'!$A$1:$ET$1,0)</f>
        <v>98</v>
      </c>
      <c r="AA25" s="75"/>
      <c r="AB25" s="4"/>
      <c r="AC25" s="4"/>
      <c r="AD25" s="4"/>
      <c r="AE25" s="4"/>
      <c r="AF25" s="4"/>
    </row>
    <row r="26" spans="2:32">
      <c r="B26" s="59" t="str">
        <f t="shared" si="3"/>
        <v xml:space="preserve">Vertical Weighted R-Value </v>
      </c>
      <c r="C26" s="59" t="str">
        <f t="shared" si="4"/>
        <v>(ft²·h·F/Btu )</v>
      </c>
      <c r="D26" s="59"/>
      <c r="E26" s="59"/>
      <c r="F26" s="81" cm="1">
        <f t="array" aca="1" ref="F26" ca="1">IFERROR(INDIRECT("'BL Data'!"&amp;ADDRESS(W26,$Z26)),0)</f>
        <v>8.0659081453362624</v>
      </c>
      <c r="G26" s="80" cm="1">
        <f t="array" aca="1" ref="G26" ca="1">IFERROR(INDIRECT("'BL Data'!"&amp;ADDRESS(X26,$Z26)),0)</f>
        <v>0</v>
      </c>
      <c r="H26" s="81" cm="1">
        <f t="array" aca="1" ref="H26" ca="1">IFERROR(INDIRECT("'Proposed Data'!"&amp;ADDRESS(Y26,$Z26)),0)</f>
        <v>12.807115816553273</v>
      </c>
      <c r="I26" s="130"/>
      <c r="J26" s="59" t="str">
        <f>IFERROR(LEFT($AB26,FIND("(",$AB26)-1),$AB26)</f>
        <v xml:space="preserve">Total Pump Power </v>
      </c>
      <c r="K26" s="59" t="str">
        <f>IFERROR(RIGHT($AB26,FIND(")",$AB26)-FIND("(",$AB26)+1)," ")</f>
        <v>(kW)</v>
      </c>
      <c r="L26" s="80" cm="1">
        <f t="array" aca="1" ref="L26" ca="1">IFERROR(INDIRECT("'BL Data'!"&amp;ADDRESS(AC26,$AF26)),0)</f>
        <v>0</v>
      </c>
      <c r="M26" s="80" cm="1">
        <f t="array" aca="1" ref="M26" ca="1">IFERROR(INDIRECT("'BL Data'!"&amp;ADDRESS(AD26,$AF26)),0)</f>
        <v>0</v>
      </c>
      <c r="N26" s="80" cm="1">
        <f t="array" aca="1" ref="N26" ca="1">IFERROR(INDIRECT("'Proposed Data'!"&amp;ADDRESS(AE26,$AF26)),0)</f>
        <v>0</v>
      </c>
      <c r="O26" s="130"/>
      <c r="P26" s="130"/>
      <c r="Q26" s="130"/>
      <c r="V26" s="74" t="str">
        <f>'Proposed Data'!CU1</f>
        <v>Vertical Weighted R-Value (ft²·h·F/Btu )</v>
      </c>
      <c r="W26" s="75">
        <v>2</v>
      </c>
      <c r="X26" s="75">
        <v>6</v>
      </c>
      <c r="Y26" s="75">
        <f>IFERROR(MATCH(Y$2,Select_Case,0)+1,0)</f>
        <v>2</v>
      </c>
      <c r="Z26" s="75">
        <f>MATCH($V26,'Proposed Data'!$A$1:$ET$1,0)</f>
        <v>99</v>
      </c>
      <c r="AA26" s="75"/>
      <c r="AB26" s="74" t="str">
        <f>'Proposed Data'!DZ1</f>
        <v>Total Pump Power (kW)</v>
      </c>
      <c r="AC26" s="176">
        <v>2</v>
      </c>
      <c r="AD26" s="176">
        <v>6</v>
      </c>
      <c r="AE26" s="75">
        <f>IFERROR(MATCH(Y$2,Select_Case,0)+1,0)</f>
        <v>2</v>
      </c>
      <c r="AF26" s="75">
        <f>MATCH($AB26,'Proposed Data'!$A$1:$ET$1,0)</f>
        <v>130</v>
      </c>
    </row>
    <row r="27" spans="2:32">
      <c r="F27" s="80"/>
      <c r="G27" s="80"/>
      <c r="H27" s="80"/>
      <c r="I27" s="83"/>
      <c r="J27" s="130"/>
      <c r="K27" s="130"/>
      <c r="L27" s="130"/>
      <c r="M27" s="130"/>
      <c r="N27" s="130"/>
      <c r="O27" s="83"/>
      <c r="P27" s="83"/>
      <c r="Q27" s="83"/>
      <c r="W27" s="75"/>
      <c r="X27" s="75"/>
      <c r="Y27" s="75"/>
      <c r="Z27" s="75"/>
      <c r="AA27" s="75"/>
      <c r="AB27" s="4"/>
      <c r="AC27" s="4"/>
      <c r="AD27" s="4"/>
      <c r="AE27" s="4"/>
      <c r="AF27" s="4"/>
    </row>
    <row r="28" spans="2:32">
      <c r="B28" s="59" t="str">
        <f t="shared" si="3"/>
        <v xml:space="preserve">Infiltration Rate </v>
      </c>
      <c r="C28" s="59" t="str">
        <f>IFERROR(RIGHT($V28,FIND(")",$V28)-FIND("(",$V28)+1)," ")</f>
        <v>(CFM/ft² facade)</v>
      </c>
      <c r="D28" s="59">
        <v>75</v>
      </c>
      <c r="E28" s="59" t="s">
        <v>259</v>
      </c>
      <c r="F28" s="80" cm="1">
        <f t="array" aca="1" ref="F28" ca="1">IFERROR(INDIRECT("'BL Data'!"&amp;ADDRESS(W28,$Z28))/((4/$D28)^0.65),0)</f>
        <v>0</v>
      </c>
      <c r="G28" s="80" cm="1">
        <f t="array" aca="1" ref="G28" ca="1">IFERROR(INDIRECT("'BL Data'!"&amp;ADDRESS(X28,$Z28))/((4/$D28)^0.65),0)</f>
        <v>0</v>
      </c>
      <c r="H28" s="80" cm="1">
        <f t="array" aca="1" ref="H28" ca="1">IFERROR(INDIRECT("'Proposed Data'!"&amp;ADDRESS(Y28,$Z28))/((4/$D28)^0.65),0)</f>
        <v>0</v>
      </c>
      <c r="I28" s="83"/>
      <c r="J28" s="59" t="str">
        <f>IFERROR(LEFT($AB28,FIND("(",$AB28)-1),$AB28)</f>
        <v xml:space="preserve">Service Hot Water Thermal Efficiency </v>
      </c>
      <c r="K28" s="59" t="str">
        <f>IFERROR(RIGHT($AB28,FIND(")",$AB28)-FIND("(",$AB28)+1)," ")</f>
        <v>(COP)</v>
      </c>
      <c r="L28" s="80" cm="1">
        <f t="array" aca="1" ref="L28" ca="1">IFERROR(INDIRECT("'BL Data'!"&amp;ADDRESS(AC28,$AF28)),0)</f>
        <v>0</v>
      </c>
      <c r="M28" s="80" cm="1">
        <f t="array" aca="1" ref="M28" ca="1">IFERROR(INDIRECT("'BL Data'!"&amp;ADDRESS(AD28,$AF28)),0)</f>
        <v>0</v>
      </c>
      <c r="N28" s="80" cm="1">
        <f t="array" aca="1" ref="N28" ca="1">IFERROR(INDIRECT("'Proposed Data'!"&amp;ADDRESS(AE28,$AF28)),0)</f>
        <v>0</v>
      </c>
      <c r="O28" s="83"/>
      <c r="P28" s="83"/>
      <c r="Q28" s="83"/>
      <c r="V28" s="74" t="str">
        <f>'Proposed Data'!DF1</f>
        <v>Infiltration Rate (CFM/ft² facade)</v>
      </c>
      <c r="W28" s="75">
        <v>2</v>
      </c>
      <c r="X28" s="75">
        <v>6</v>
      </c>
      <c r="Y28" s="75">
        <f>IFERROR(MATCH(Y$2,Select_Case,0)+1,0)</f>
        <v>2</v>
      </c>
      <c r="Z28" s="75">
        <f>MATCH($V28,'Proposed Data'!$A$1:$ET$1,0)</f>
        <v>110</v>
      </c>
      <c r="AA28" s="75"/>
      <c r="AB28" s="74" t="str">
        <f>'Proposed Data'!EA1</f>
        <v>Service Hot Water Thermal Efficiency (COP)</v>
      </c>
      <c r="AC28" s="176">
        <v>2</v>
      </c>
      <c r="AD28" s="176">
        <v>6</v>
      </c>
      <c r="AE28" s="75">
        <f>IFERROR(MATCH(Y$2,Select_Case,0)+1,0)</f>
        <v>2</v>
      </c>
      <c r="AF28" s="75">
        <f>MATCH($AB28,'Proposed Data'!$A$1:$ET$1,0)</f>
        <v>131</v>
      </c>
    </row>
    <row r="29" spans="2:32">
      <c r="B29" s="59"/>
      <c r="C29" s="59"/>
      <c r="D29" s="59"/>
      <c r="E29" s="59"/>
      <c r="F29" s="80"/>
      <c r="G29" s="80"/>
      <c r="H29" s="80"/>
      <c r="I29" s="83"/>
      <c r="J29" s="83"/>
      <c r="K29" s="83"/>
      <c r="L29" s="83"/>
      <c r="M29" s="83"/>
      <c r="N29" s="83"/>
      <c r="O29" s="83"/>
      <c r="P29" s="83"/>
      <c r="Q29" s="83"/>
      <c r="V29" s="74"/>
      <c r="W29" s="75"/>
      <c r="X29" s="75"/>
      <c r="Y29" s="75"/>
      <c r="Z29" s="75"/>
      <c r="AA29" s="75"/>
      <c r="AB29" s="4"/>
      <c r="AC29" s="4"/>
      <c r="AD29" s="4"/>
      <c r="AE29" s="4"/>
      <c r="AF29" s="4"/>
    </row>
    <row r="30" spans="2:32" ht="15" thickBot="1">
      <c r="B30" s="63" t="s">
        <v>260</v>
      </c>
      <c r="C30" s="63" t="s">
        <v>218</v>
      </c>
      <c r="D30" s="63"/>
      <c r="E30" s="63"/>
      <c r="F30" s="72" t="str">
        <f>Report!I6</f>
        <v>LEED Baseline</v>
      </c>
      <c r="G30" s="72" t="str">
        <f>Report!J6</f>
        <v>Code Baseline</v>
      </c>
      <c r="H30" s="72" t="str">
        <f>Report!K6</f>
        <v>Proposed</v>
      </c>
      <c r="I30" s="84"/>
      <c r="J30" s="63" t="s">
        <v>261</v>
      </c>
      <c r="K30" s="63" t="s">
        <v>218</v>
      </c>
      <c r="L30" s="72" t="str">
        <f>Report!I6</f>
        <v>LEED Baseline</v>
      </c>
      <c r="M30" s="72" t="str">
        <f>Report!J6</f>
        <v>Code Baseline</v>
      </c>
      <c r="N30" s="72" t="str">
        <f>Report!K6</f>
        <v>Proposed</v>
      </c>
      <c r="O30" s="84"/>
      <c r="P30" s="84"/>
      <c r="Q30" s="84"/>
      <c r="V30" s="74"/>
      <c r="W30" s="75"/>
      <c r="X30" s="75"/>
      <c r="Y30" s="75"/>
      <c r="Z30" s="75"/>
      <c r="AA30" s="75"/>
      <c r="AB30" s="4"/>
      <c r="AC30" s="4"/>
      <c r="AD30" s="4"/>
      <c r="AE30" s="4"/>
      <c r="AF30" s="4"/>
    </row>
    <row r="31" spans="2:32">
      <c r="B31" s="59" t="str">
        <f t="shared" si="3"/>
        <v xml:space="preserve">Lighting Power Density </v>
      </c>
      <c r="C31" s="59" t="str">
        <f t="shared" si="4"/>
        <v>(W/ft²)</v>
      </c>
      <c r="D31" s="59"/>
      <c r="E31" s="59"/>
      <c r="F31" s="80" cm="1">
        <f t="array" aca="1" ref="F31" ca="1">IFERROR(INDIRECT("'BL Data'!"&amp;ADDRESS(W31,$Z31)),0)</f>
        <v>0.54</v>
      </c>
      <c r="G31" s="80" cm="1">
        <f t="array" aca="1" ref="G31" ca="1">IFERROR(INDIRECT("'BL Data'!"&amp;ADDRESS(X31,$Z31)),0)</f>
        <v>0</v>
      </c>
      <c r="H31" s="80" cm="1">
        <f t="array" aca="1" ref="H31" ca="1">IFERROR(INDIRECT("'Proposed Data'!"&amp;ADDRESS(Y31,$Z31)),0)</f>
        <v>0.45</v>
      </c>
      <c r="I31" s="83"/>
      <c r="J31" s="59" t="str">
        <f>IFERROR(LEFT($AB31,FIND("(",$AB31)-1),$AB31)</f>
        <v xml:space="preserve">Exterior Lighting </v>
      </c>
      <c r="K31" s="59" t="str">
        <f>IFERROR(RIGHT($AB31,FIND(")",$AB31)-FIND("(",$AB31)+1)," ")</f>
        <v>(kW)</v>
      </c>
      <c r="L31" s="80" cm="1">
        <f t="array" aca="1" ref="L31" ca="1">IFERROR(INDIRECT("'BL Data'!"&amp;ADDRESS(AC31,$AF31)),0)</f>
        <v>0</v>
      </c>
      <c r="M31" s="80" cm="1">
        <f t="array" aca="1" ref="M31" ca="1">IFERROR(INDIRECT("'BL Data'!"&amp;ADDRESS(AD31,$AF31)),0)</f>
        <v>0</v>
      </c>
      <c r="N31" s="80" cm="1">
        <f t="array" aca="1" ref="N31" ca="1">IFERROR(INDIRECT("'Proposed Data'!"&amp;ADDRESS(AE31,$AF31)),0)</f>
        <v>0</v>
      </c>
      <c r="O31" s="83"/>
      <c r="P31" s="83"/>
      <c r="Q31" s="83"/>
      <c r="V31" s="74" t="str">
        <f>'Proposed Data'!DG1</f>
        <v>Lighting Power Density (W/ft²)</v>
      </c>
      <c r="W31" s="75">
        <v>2</v>
      </c>
      <c r="X31" s="75">
        <v>6</v>
      </c>
      <c r="Y31" s="75">
        <f>IFERROR(MATCH(Y$2,Select_Case,0)+1,0)</f>
        <v>2</v>
      </c>
      <c r="Z31" s="75">
        <f>MATCH($V31,'Proposed Data'!$A$1:$ET$1,0)</f>
        <v>111</v>
      </c>
      <c r="AA31" s="75"/>
      <c r="AB31" s="4" t="str">
        <f>'Proposed Data'!EB1</f>
        <v>Exterior Lighting (kW)</v>
      </c>
      <c r="AC31" s="4">
        <v>2</v>
      </c>
      <c r="AD31" s="4">
        <v>6</v>
      </c>
      <c r="AE31" s="75">
        <f>IFERROR(MATCH(Y$2,Select_Case,0)+1,0)</f>
        <v>2</v>
      </c>
      <c r="AF31" s="75">
        <v>132</v>
      </c>
    </row>
    <row r="32" spans="2:32">
      <c r="B32" s="59" t="str">
        <f t="shared" si="3"/>
        <v xml:space="preserve">Occupant Density </v>
      </c>
      <c r="C32" s="59" t="str">
        <f t="shared" si="4"/>
        <v>(ft²/person)</v>
      </c>
      <c r="D32" s="59"/>
      <c r="E32" s="59"/>
      <c r="F32" s="80" cm="1">
        <f t="array" aca="1" ref="F32" ca="1">IFERROR(INDIRECT("'BL Data'!"&amp;ADDRESS(W32,$Z32)),0)</f>
        <v>109.2</v>
      </c>
      <c r="G32" s="80" cm="1">
        <f t="array" aca="1" ref="G32" ca="1">IFERROR(INDIRECT("'BL Data'!"&amp;ADDRESS(X32,$Z32)),0)</f>
        <v>0</v>
      </c>
      <c r="H32" s="80" cm="1">
        <f t="array" aca="1" ref="H32" ca="1">IFERROR(INDIRECT("'Proposed Data'!"&amp;ADDRESS(Y32,$Z32)),0)</f>
        <v>109.2</v>
      </c>
      <c r="I32" s="83"/>
      <c r="J32" s="83"/>
      <c r="K32" s="83"/>
      <c r="L32" s="83"/>
      <c r="M32" s="83"/>
      <c r="N32" s="83"/>
      <c r="O32" s="83"/>
      <c r="P32" s="83"/>
      <c r="Q32" s="83"/>
      <c r="V32" s="74" t="str">
        <f>'Proposed Data'!DI1</f>
        <v>Occupant Density (ft²/person)</v>
      </c>
      <c r="W32" s="75">
        <v>2</v>
      </c>
      <c r="X32" s="75">
        <v>6</v>
      </c>
      <c r="Y32" s="75">
        <f>IFERROR(MATCH(Y$2,Select_Case,0)+1,0)</f>
        <v>2</v>
      </c>
      <c r="Z32" s="75">
        <f>MATCH($V32,'Proposed Data'!$A$1:$ET$1,0)</f>
        <v>113</v>
      </c>
      <c r="AA32" s="75"/>
      <c r="AB32" s="4"/>
      <c r="AC32" s="4"/>
      <c r="AD32" s="4"/>
      <c r="AE32" s="4"/>
      <c r="AF32" s="4"/>
    </row>
    <row r="33" spans="2:27">
      <c r="B33" s="59" t="str">
        <f t="shared" si="3"/>
        <v xml:space="preserve">Equipment Power Density </v>
      </c>
      <c r="C33" s="59" t="str">
        <f t="shared" si="4"/>
        <v>(W/ft²)</v>
      </c>
      <c r="D33" s="59"/>
      <c r="E33" s="59"/>
      <c r="F33" s="80" cm="1">
        <f t="array" aca="1" ref="F33" ca="1">IFERROR(INDIRECT("'BL Data'!"&amp;ADDRESS(W33,$Z33)),0)</f>
        <v>0.69</v>
      </c>
      <c r="G33" s="80" cm="1">
        <f t="array" aca="1" ref="G33" ca="1">IFERROR(INDIRECT("'BL Data'!"&amp;ADDRESS(X33,$Z33)),0)</f>
        <v>0</v>
      </c>
      <c r="H33" s="80" cm="1">
        <f t="array" aca="1" ref="H33" ca="1">IFERROR(INDIRECT("'Proposed Data'!"&amp;ADDRESS(Y33,$Z33)),0)</f>
        <v>0.69</v>
      </c>
      <c r="I33" s="83"/>
      <c r="J33" s="83"/>
      <c r="K33" s="83"/>
      <c r="L33" s="83"/>
      <c r="M33" s="83"/>
      <c r="N33" s="83"/>
      <c r="O33" s="83"/>
      <c r="P33" s="83"/>
      <c r="Q33" s="83"/>
      <c r="V33" s="74" t="str">
        <f>'Proposed Data'!DK1</f>
        <v>Equipment Power Density (W/ft²)</v>
      </c>
      <c r="W33" s="75">
        <v>2</v>
      </c>
      <c r="X33" s="75">
        <v>6</v>
      </c>
      <c r="Y33" s="75">
        <f>IFERROR(MATCH(Y$2,Select_Case,0)+1,0)</f>
        <v>2</v>
      </c>
      <c r="Z33" s="75">
        <f>MATCH($V33,'Proposed Data'!$A$1:$ET$1,0)</f>
        <v>115</v>
      </c>
      <c r="AA33" s="75"/>
    </row>
    <row r="35" spans="2:27">
      <c r="I35" s="83"/>
      <c r="J35" s="83"/>
      <c r="K35" s="83"/>
      <c r="L35" s="83"/>
      <c r="M35" s="83"/>
      <c r="N35" s="83"/>
      <c r="O35" s="83"/>
      <c r="P35" s="83"/>
      <c r="Q35" s="83"/>
    </row>
    <row r="36" spans="2:27">
      <c r="I36" s="83"/>
      <c r="J36" s="83"/>
      <c r="K36" s="83"/>
      <c r="L36" s="83"/>
      <c r="M36" s="83"/>
      <c r="N36" s="83"/>
      <c r="O36" s="83"/>
      <c r="P36" s="83"/>
      <c r="Q36" s="83"/>
    </row>
  </sheetData>
  <pageMargins left="0.7" right="0.7" top="0.75" bottom="0.75" header="0.3" footer="0.3"/>
  <pageSetup orientation="portrait" r:id="rId1"/>
  <ignoredErrors>
    <ignoredError sqref="L25:N25" formula="1"/>
  </ignoredErrors>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34D0F9B6-2090-4E73-BA02-923A17EAFC88}">
          <x14:formula1>
            <xm:f>Menus!$C$31:$C$33</xm:f>
          </x14:formula1>
          <xm:sqref>D28:E29</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34928-6865-4EB1-8A8E-0FF6E7ADFFFE}">
  <sheetPr>
    <tabColor theme="0" tint="-0.34998626667073579"/>
  </sheetPr>
  <dimension ref="A1:AB14"/>
  <sheetViews>
    <sheetView showGridLines="0" workbookViewId="0"/>
  </sheetViews>
  <sheetFormatPr defaultRowHeight="14.4"/>
  <cols>
    <col min="1" max="1" width="3.88671875" customWidth="1"/>
    <col min="2" max="5" width="21.88671875" customWidth="1"/>
  </cols>
  <sheetData>
    <row r="1" spans="1:28">
      <c r="A1" s="76" t="s">
        <v>262</v>
      </c>
      <c r="B1" s="76"/>
      <c r="C1" s="76"/>
      <c r="D1" s="76"/>
      <c r="E1" s="76"/>
      <c r="F1" s="76"/>
      <c r="G1" s="76"/>
      <c r="H1" s="76"/>
      <c r="I1" s="76"/>
      <c r="J1" s="76"/>
      <c r="K1" s="76"/>
      <c r="L1" s="76"/>
      <c r="M1" s="76"/>
      <c r="N1" s="76"/>
      <c r="O1" s="76"/>
      <c r="P1" s="76"/>
      <c r="Q1" s="76"/>
      <c r="R1" s="76"/>
      <c r="S1" s="76"/>
      <c r="T1" s="76"/>
      <c r="U1" s="76"/>
      <c r="V1" s="76"/>
      <c r="W1" s="76"/>
      <c r="X1" s="76"/>
      <c r="Y1" s="76"/>
      <c r="Z1" s="76"/>
      <c r="AA1" s="76"/>
      <c r="AB1" s="76"/>
    </row>
    <row r="3" spans="1:28">
      <c r="B3" t="s">
        <v>263</v>
      </c>
    </row>
    <row r="4" spans="1:28" ht="15" thickBot="1">
      <c r="B4" s="63"/>
      <c r="C4" s="63" t="str">
        <f>Report!I6</f>
        <v>LEED Baseline</v>
      </c>
      <c r="D4" s="63" t="str">
        <f>Report!J6</f>
        <v>Code Baseline</v>
      </c>
      <c r="E4" s="63" t="str">
        <f>Report!K6</f>
        <v>Proposed</v>
      </c>
    </row>
    <row r="5" spans="1:28">
      <c r="B5" s="59" t="s">
        <v>179</v>
      </c>
      <c r="C5" s="59"/>
      <c r="D5" s="59"/>
      <c r="E5" s="59"/>
    </row>
    <row r="6" spans="1:28">
      <c r="B6" s="59" t="s">
        <v>180</v>
      </c>
      <c r="C6" s="59"/>
      <c r="D6" s="59"/>
      <c r="E6" s="59"/>
    </row>
    <row r="8" spans="1:28">
      <c r="B8" t="s">
        <v>264</v>
      </c>
    </row>
    <row r="9" spans="1:28" ht="15" thickBot="1">
      <c r="B9" s="63"/>
      <c r="C9" s="63" t="str">
        <f>Report!I6</f>
        <v>LEED Baseline</v>
      </c>
      <c r="D9" s="63" t="str">
        <f>Report!J6</f>
        <v>Code Baseline</v>
      </c>
      <c r="E9" s="63" t="str">
        <f>Report!K6</f>
        <v>Proposed</v>
      </c>
    </row>
    <row r="10" spans="1:28">
      <c r="B10" s="59" t="s">
        <v>181</v>
      </c>
      <c r="C10" s="59">
        <f ca="1">IFERROR((Report!I9*INDEX(Conversions!$C$6:$I$6,MATCH(Report!$H9,Conversions!$C$5:$I$5,0)))/(('Input Summary'!F31/1000)*'Input Summary'!$F$5),0)</f>
        <v>3944.4238805648765</v>
      </c>
      <c r="D10" s="59">
        <f ca="1">IFERROR((Report!J9*INDEX(Conversions!$C$6:$I$6,MATCH(Report!$H7,Conversions!$C$5:$I$5,0)))/(('Input Summary'!G31/1000)*'Input Summary'!$F$5),0)</f>
        <v>0</v>
      </c>
      <c r="E10" s="59">
        <f ca="1">IFERROR((Report!K9*INDEX(Conversions!$C$6:$I$6,MATCH(Report!$H7,Conversions!$C$5:$I$5,0)))/(('Input Summary'!H31/1000)*'Input Summary'!$F$5),0)</f>
        <v>4733.308656677852</v>
      </c>
    </row>
    <row r="11" spans="1:28">
      <c r="B11" s="59" t="s">
        <v>182</v>
      </c>
      <c r="C11" s="59">
        <f ca="1">IFERROR((Report!I10*INDEX(Conversions!$C$6:$I$6,MATCH(Report!$H10,Conversions!$C$5:$I$5,0)))/'Input Summary'!L31,0)</f>
        <v>0</v>
      </c>
      <c r="D11" s="59">
        <f ca="1">IFERROR((Report!J10*INDEX(Conversions!$C$6:$I$6,MATCH(Report!$H10,Conversions!$C$5:$I$5,0)))/'Input Summary'!M31,0)</f>
        <v>0</v>
      </c>
      <c r="E11" s="59">
        <f ca="1">IFERROR((Report!K10*INDEX(Conversions!$C$6:$I$6,MATCH(Report!$H10,Conversions!$C$5:$I$5,0)))/'Input Summary'!N31,0)</f>
        <v>0</v>
      </c>
    </row>
    <row r="12" spans="1:28">
      <c r="B12" s="59" t="s">
        <v>183</v>
      </c>
      <c r="C12" s="59">
        <f ca="1">IFERROR((Report!I11*INDEX(Conversions!$C$6:$I$6,MATCH(Report!$H11,Conversions!$C$5:$I$5,0)))/(('Input Summary'!F33/1000)*'Input Summary'!$F$5),0)</f>
        <v>3624.516225747268</v>
      </c>
      <c r="D12" s="59">
        <f ca="1">IFERROR((Report!J11*INDEX(Conversions!$C$6:$I$6,MATCH(Report!$H11,Conversions!$C$5:$I$5,0)))/(('Input Summary'!G33/1000)*'Input Summary'!$F$5),0)</f>
        <v>0</v>
      </c>
      <c r="E12" s="59">
        <f ca="1">IFERROR((Report!K11*INDEX(Conversions!$C$6:$I$6,MATCH(Report!$H11,Conversions!$C$5:$I$5,0)))/(('Input Summary'!H33/1000)*'Input Summary'!$F$5),0)</f>
        <v>3624.516225747268</v>
      </c>
    </row>
    <row r="13" spans="1:28">
      <c r="B13" s="59" t="s">
        <v>186</v>
      </c>
      <c r="C13" s="59">
        <f ca="1">IFERROR((Report!I13*INDEX(Conversions!$C$6:$I$6,MATCH(Report!$H13,Conversions!$C$5:$I$5,0)))/'Input Summary'!L24,0)</f>
        <v>7445.8790762967965</v>
      </c>
      <c r="D13" s="59">
        <f ca="1">IFERROR((Report!J13*INDEX(Conversions!$C$6:$I$6,MATCH(Report!$H13,Conversions!$C$5:$I$5,0)))/'Input Summary'!M24,0)</f>
        <v>0</v>
      </c>
      <c r="E13" s="59">
        <f ca="1">IFERROR((Report!K13*INDEX(Conversions!$C$6:$I$6,MATCH(Report!$H13,Conversions!$C$5:$I$5,0)))/'Input Summary'!N24,0)</f>
        <v>0</v>
      </c>
    </row>
    <row r="14" spans="1:28">
      <c r="B14" s="59" t="s">
        <v>185</v>
      </c>
      <c r="C14" s="59">
        <f ca="1">IFERROR((Report!I14*INDEX(Conversions!$C$6:$I$6,MATCH(Report!$H14,Conversions!$C$5:$I$5,0)))/'Input Summary'!L26,0)</f>
        <v>0</v>
      </c>
      <c r="D14" s="59">
        <f ca="1">IFERROR((Report!J14*INDEX(Conversions!$C$6:$I$6,MATCH(Report!$H14,Conversions!$C$5:$I$5,0)))/'Input Summary'!M26,0)</f>
        <v>0</v>
      </c>
      <c r="E14" s="59">
        <f ca="1">IFERROR((Report!K14*INDEX(Conversions!$C$6:$I$6,MATCH(Report!$H14,Conversions!$C$5:$I$5,0)))/'Input Summary'!N26,0)</f>
        <v>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Y36"/>
  <sheetViews>
    <sheetView showGridLines="0" workbookViewId="0"/>
  </sheetViews>
  <sheetFormatPr defaultColWidth="9.109375" defaultRowHeight="13.8"/>
  <cols>
    <col min="1" max="1" width="20.5546875" style="4" customWidth="1"/>
    <col min="2" max="2" width="3.5546875" style="4" customWidth="1"/>
    <col min="3" max="3" width="20.5546875" style="4" customWidth="1"/>
    <col min="4" max="4" width="3.5546875" style="4" customWidth="1"/>
    <col min="5" max="5" width="20.5546875" style="4" customWidth="1"/>
    <col min="6" max="6" width="3.5546875" style="4" customWidth="1"/>
    <col min="7" max="7" width="20.5546875" style="4" customWidth="1"/>
    <col min="8" max="8" width="3.5546875" style="4" customWidth="1"/>
    <col min="9" max="9" width="20.5546875" style="4" customWidth="1"/>
    <col min="10" max="10" width="3.5546875" style="4" customWidth="1"/>
    <col min="11" max="11" width="20.5546875" style="4" customWidth="1"/>
    <col min="12" max="12" width="3.5546875" style="4" customWidth="1"/>
    <col min="13" max="13" width="20.5546875" style="4" customWidth="1"/>
    <col min="14" max="14" width="3.5546875" style="4" customWidth="1"/>
    <col min="15" max="21" width="20.5546875" style="4" customWidth="1"/>
    <col min="22" max="22" width="3.5546875" style="4" customWidth="1"/>
    <col min="23" max="23" width="20.5546875" style="4" customWidth="1"/>
    <col min="24" max="24" width="5.5546875" style="4" customWidth="1"/>
    <col min="25" max="25" width="20.5546875" style="4" customWidth="1"/>
    <col min="26" max="26" width="5.5546875" style="4" customWidth="1"/>
    <col min="27" max="27" width="20.5546875" style="4" customWidth="1"/>
    <col min="28" max="28" width="5.5546875" style="4" customWidth="1"/>
    <col min="29" max="29" width="20.5546875" style="4" customWidth="1"/>
    <col min="30" max="30" width="5.5546875" style="4" customWidth="1"/>
    <col min="31" max="31" width="20.5546875" style="4" customWidth="1"/>
    <col min="32" max="32" width="5.5546875" style="4" customWidth="1"/>
    <col min="33" max="33" width="20.5546875" style="4" customWidth="1"/>
    <col min="34" max="34" width="5.5546875" style="4" customWidth="1"/>
    <col min="35" max="16384" width="9.109375" style="4"/>
  </cols>
  <sheetData>
    <row r="1" spans="1:25" ht="14.4" thickBot="1">
      <c r="A1" s="2" t="s">
        <v>218</v>
      </c>
      <c r="B1" s="2"/>
      <c r="C1" s="2" t="s">
        <v>265</v>
      </c>
      <c r="D1" s="2"/>
      <c r="E1" s="2" t="s">
        <v>266</v>
      </c>
      <c r="G1" s="2" t="s">
        <v>267</v>
      </c>
      <c r="I1" s="2" t="s">
        <v>268</v>
      </c>
      <c r="K1" s="2" t="s">
        <v>269</v>
      </c>
      <c r="M1" s="2" t="s">
        <v>62</v>
      </c>
      <c r="O1" s="2" t="s">
        <v>270</v>
      </c>
      <c r="P1" s="61" t="str">
        <f>Menus!$M$3</f>
        <v>LEED v2009</v>
      </c>
      <c r="Q1" s="61" t="str">
        <f>Menus!$M$4</f>
        <v>LEED v4</v>
      </c>
      <c r="R1" s="61" t="str">
        <f>Menus!$M$5</f>
        <v>LEED v4 Energy Update</v>
      </c>
      <c r="S1" s="61" t="str">
        <f>Menus!$M$6</f>
        <v>LEED v4.1</v>
      </c>
      <c r="T1" s="61" t="str">
        <f>Menus!$M$7</f>
        <v>LEED v5 (registered before 1/1/2028)</v>
      </c>
      <c r="U1" s="61" t="str">
        <f>Menus!$M$8</f>
        <v>LEED v5 (registered after 1/1/2028)</v>
      </c>
    </row>
    <row r="2" spans="1:25">
      <c r="A2" s="59" t="s">
        <v>27</v>
      </c>
      <c r="C2" s="59" t="s">
        <v>88</v>
      </c>
      <c r="E2" s="59" t="s">
        <v>93</v>
      </c>
      <c r="G2" s="59" t="s">
        <v>93</v>
      </c>
      <c r="I2" s="59" t="s">
        <v>271</v>
      </c>
      <c r="K2" s="59" t="s">
        <v>272</v>
      </c>
      <c r="M2" s="4" t="s">
        <v>273</v>
      </c>
      <c r="O2" s="59" t="str">
        <f>INDEX($P2:$Z2,MATCH('Project Info'!$D$12,Menus!$P$1:$Z$1,0))</f>
        <v>New Construction</v>
      </c>
      <c r="P2" s="59" t="str">
        <f>'RefTable LEED'!C4</f>
        <v>New Buildings</v>
      </c>
      <c r="Q2" s="59" t="str">
        <f>'RefTable LEED'!N4</f>
        <v>New Construction</v>
      </c>
      <c r="R2" s="59" t="str">
        <f>'RefTable LEED'!Y4</f>
        <v>New Construction + Major Renovations</v>
      </c>
      <c r="S2" s="59" t="str">
        <f>'RefTable LEED'!AJ4</f>
        <v>New Construction</v>
      </c>
      <c r="T2" s="59" t="str">
        <f>'RefTable LEED'!AU4</f>
        <v>New Construction</v>
      </c>
      <c r="U2" s="59" t="str">
        <f>'RefTable LEED'!AU4</f>
        <v>New Construction</v>
      </c>
    </row>
    <row r="3" spans="1:25">
      <c r="A3" s="59" t="s">
        <v>37</v>
      </c>
      <c r="C3" s="59" t="str">
        <f>IF('Project Info'!$I$4="SI"," ","kBtu")</f>
        <v>kBtu</v>
      </c>
      <c r="E3" s="59" t="s">
        <v>81</v>
      </c>
      <c r="G3" s="59" t="s">
        <v>81</v>
      </c>
      <c r="I3" s="59" t="s">
        <v>171</v>
      </c>
      <c r="K3" s="59" t="s">
        <v>274</v>
      </c>
      <c r="M3" s="59" t="s">
        <v>275</v>
      </c>
      <c r="O3" s="59" t="str">
        <f>INDEX($P3:$Z3,MATCH('Project Info'!$D$12,Menus!$P$1:$Z$1,0))</f>
        <v>Major Renovation</v>
      </c>
      <c r="P3" s="59" t="str">
        <f>'RefTable LEED'!D4</f>
        <v>Existing Building and Renovations</v>
      </c>
      <c r="Q3" s="59" t="str">
        <f>'RefTable LEED'!O4</f>
        <v>Major Renovation</v>
      </c>
      <c r="R3" s="59" t="str">
        <f>'RefTable LEED'!Z4</f>
        <v>Schools</v>
      </c>
      <c r="S3" s="59" t="str">
        <f>'RefTable LEED'!AK4</f>
        <v>Healthcare, Major Renovations, Core and Shell</v>
      </c>
      <c r="T3" s="59">
        <f>'RefTable LEED'!AW4</f>
        <v>0</v>
      </c>
      <c r="U3" s="59">
        <f>'RefTable LEED'!AW4</f>
        <v>0</v>
      </c>
    </row>
    <row r="4" spans="1:25">
      <c r="K4" s="59" t="s">
        <v>73</v>
      </c>
      <c r="M4" s="59" t="s">
        <v>63</v>
      </c>
      <c r="O4" s="59" t="str">
        <f>INDEX($P4:$Z4,MATCH('Project Info'!$D$12,Menus!$P$1:$Z$1,0))</f>
        <v>Core and Shell</v>
      </c>
      <c r="P4" s="59"/>
      <c r="Q4" s="59" t="str">
        <f>'RefTable LEED'!P4</f>
        <v>Core and Shell</v>
      </c>
      <c r="R4" s="59" t="str">
        <f>'RefTable LEED'!AA4</f>
        <v>Core and Shell</v>
      </c>
      <c r="S4" s="59"/>
      <c r="T4" s="59"/>
      <c r="U4" s="59"/>
    </row>
    <row r="5" spans="1:25">
      <c r="A5" s="2" t="s">
        <v>276</v>
      </c>
      <c r="C5" s="2" t="s">
        <v>265</v>
      </c>
      <c r="E5" s="2" t="s">
        <v>277</v>
      </c>
      <c r="G5" s="2" t="s">
        <v>87</v>
      </c>
      <c r="I5" s="2" t="s">
        <v>278</v>
      </c>
      <c r="K5" s="59" t="s">
        <v>279</v>
      </c>
      <c r="M5" s="59" t="s">
        <v>280</v>
      </c>
      <c r="O5" s="59">
        <f>INDEX($P5:$Z5,MATCH('Project Info'!$D$12,Menus!$P$1:$Z$1,0))</f>
        <v>0</v>
      </c>
      <c r="P5" s="59"/>
      <c r="Q5" s="59"/>
      <c r="R5" s="59" t="str">
        <f>'RefTable LEED'!AB4</f>
        <v>Healthcare</v>
      </c>
      <c r="S5" s="59"/>
      <c r="T5" s="59"/>
      <c r="U5" s="59"/>
    </row>
    <row r="6" spans="1:25" ht="15">
      <c r="A6" s="59" t="s">
        <v>281</v>
      </c>
      <c r="C6" s="59" t="str">
        <f>Conversions!B6</f>
        <v>kWh</v>
      </c>
      <c r="E6" s="59" t="s">
        <v>211</v>
      </c>
      <c r="G6" s="59" t="s">
        <v>282</v>
      </c>
      <c r="I6" s="59" t="s">
        <v>78</v>
      </c>
      <c r="K6" s="59" t="s">
        <v>283</v>
      </c>
      <c r="M6" s="59" t="s">
        <v>284</v>
      </c>
    </row>
    <row r="7" spans="1:25" ht="15.6" thickBot="1">
      <c r="A7" s="59" t="s">
        <v>236</v>
      </c>
      <c r="C7" s="59" t="str">
        <f>Conversions!B7</f>
        <v>MWh</v>
      </c>
      <c r="E7" s="59" t="s">
        <v>211</v>
      </c>
      <c r="G7" s="59" t="s">
        <v>282</v>
      </c>
      <c r="I7" s="59" t="s">
        <v>79</v>
      </c>
      <c r="K7" s="59" t="s">
        <v>285</v>
      </c>
      <c r="M7" s="59" t="s">
        <v>286</v>
      </c>
      <c r="O7" s="2" t="s">
        <v>287</v>
      </c>
      <c r="P7" s="61" t="str">
        <f>Menus!$M$3</f>
        <v>LEED v2009</v>
      </c>
      <c r="Q7" s="61" t="str">
        <f>Menus!$M$4</f>
        <v>LEED v4</v>
      </c>
      <c r="R7" s="61" t="str">
        <f>Menus!$M$5</f>
        <v>LEED v4 Energy Update</v>
      </c>
      <c r="S7" s="61" t="str">
        <f>Menus!$M$6</f>
        <v>LEED v4.1</v>
      </c>
      <c r="T7" s="61" t="str">
        <f>Menus!$M$7</f>
        <v>LEED v5 (registered before 1/1/2028)</v>
      </c>
      <c r="U7" s="61" t="str">
        <f>Menus!$M$8</f>
        <v>LEED v5 (registered after 1/1/2028)</v>
      </c>
    </row>
    <row r="8" spans="1:25">
      <c r="C8" s="59" t="str">
        <f>Conversions!B8</f>
        <v>GJ</v>
      </c>
      <c r="K8" s="4" t="s">
        <v>288</v>
      </c>
      <c r="M8" s="59" t="s">
        <v>289</v>
      </c>
      <c r="O8" s="59" t="str">
        <f>INDEX($P8:$Z8,MATCH('Project Info'!$D$12,Menus!$P$1:$Z$1,0))</f>
        <v>All but Healthcare + Schools</v>
      </c>
      <c r="P8" s="59" t="str">
        <f>'RefTable LEED'!G4</f>
        <v>NC + Schools</v>
      </c>
      <c r="Q8" s="59" t="str">
        <f>'RefTable LEED'!R4</f>
        <v>All but Healthcare + Schools</v>
      </c>
      <c r="R8" s="59" t="str">
        <f>'RefTable LEED'!AC4</f>
        <v>All but Healthcare + Schools</v>
      </c>
      <c r="S8" s="59" t="str">
        <f>'RefTable LEED'!AN4</f>
        <v>All but Healthcare + Schools</v>
      </c>
      <c r="T8" s="59" t="str">
        <f>'RefTable LEED'!AY4</f>
        <v>All</v>
      </c>
      <c r="U8" s="59"/>
    </row>
    <row r="9" spans="1:25">
      <c r="A9" s="2" t="s">
        <v>290</v>
      </c>
      <c r="C9" s="59" t="str">
        <f>Conversions!B9</f>
        <v>kBtu</v>
      </c>
      <c r="E9" s="2" t="s">
        <v>291</v>
      </c>
      <c r="G9" s="2" t="s">
        <v>292</v>
      </c>
      <c r="I9" s="2" t="s">
        <v>293</v>
      </c>
      <c r="K9" s="59" t="s">
        <v>294</v>
      </c>
      <c r="O9" s="59" t="str">
        <f>INDEX($P9:$Z9,MATCH('Project Info'!$D$12,Menus!$P$1:$Z$1,0))</f>
        <v>Healthcare</v>
      </c>
      <c r="P9" s="59" t="str">
        <f>'RefTable LEED'!H4</f>
        <v>Core and Shell</v>
      </c>
      <c r="Q9" s="59" t="str">
        <f>'RefTable LEED'!S4</f>
        <v>Healthcare</v>
      </c>
      <c r="R9" s="59" t="str">
        <f>'RefTable LEED'!AD4</f>
        <v>Healthcare</v>
      </c>
      <c r="S9" s="59" t="str">
        <f>'RefTable LEED'!AO4</f>
        <v>Healthcare</v>
      </c>
      <c r="T9" s="59">
        <f>'RefTable LEED'!AZ4</f>
        <v>0</v>
      </c>
      <c r="U9" s="59"/>
    </row>
    <row r="10" spans="1:25">
      <c r="A10" s="59" t="s">
        <v>66</v>
      </c>
      <c r="B10" s="2"/>
      <c r="C10" s="59" t="str">
        <f>Conversions!B10</f>
        <v>MBtu</v>
      </c>
      <c r="E10" s="59" t="str">
        <f>_xlfn.CONCAT(E6,"/",$A6)</f>
        <v>$/m²</v>
      </c>
      <c r="F10" s="2"/>
      <c r="G10" s="59" t="str">
        <f>_xlfn.CONCAT(G6,"/",$A6)</f>
        <v>kg CO2e/m²</v>
      </c>
      <c r="H10" s="2"/>
      <c r="I10" s="59" t="str">
        <f>Calculations!A9</f>
        <v>LEED Baseline</v>
      </c>
      <c r="O10" s="59" t="str">
        <f>INDEX($P10:$Z10,MATCH('Project Info'!$D$12,Menus!$P$1:$Z$1,0))</f>
        <v>School</v>
      </c>
      <c r="P10" s="59"/>
      <c r="Q10" s="59" t="str">
        <f>'RefTable LEED'!T4</f>
        <v>School</v>
      </c>
      <c r="R10" s="59" t="str">
        <f>'RefTable LEED'!AE4</f>
        <v>School</v>
      </c>
      <c r="S10" s="59" t="str">
        <f>'RefTable LEED'!AP4</f>
        <v>School</v>
      </c>
      <c r="T10" s="59">
        <f>'RefTable LEED'!BA4</f>
        <v>0</v>
      </c>
      <c r="U10" s="59"/>
    </row>
    <row r="11" spans="1:25">
      <c r="A11" s="59" t="s">
        <v>65</v>
      </c>
      <c r="C11" s="59" t="str">
        <f>Conversions!B11</f>
        <v>1000 ft3 Gas</v>
      </c>
      <c r="E11" s="59" t="str">
        <f>_xlfn.CONCAT(E7,"/",$A7)</f>
        <v>$/ft²</v>
      </c>
      <c r="G11" s="59" t="str">
        <f>_xlfn.CONCAT(G7,"/",$A7)</f>
        <v>kg CO2e/ft²</v>
      </c>
      <c r="I11" s="59" t="str">
        <f>Calculations!A10</f>
        <v>Code Baseline</v>
      </c>
      <c r="J11" s="2"/>
      <c r="L11" s="2"/>
      <c r="N11" s="2"/>
      <c r="O11" s="2"/>
      <c r="P11" s="2"/>
      <c r="Q11" s="2"/>
      <c r="R11" s="2"/>
      <c r="S11" s="2"/>
      <c r="T11" s="2"/>
      <c r="U11" s="2"/>
      <c r="X11" s="2"/>
      <c r="Y11" s="2"/>
    </row>
    <row r="12" spans="1:25">
      <c r="C12" s="59" t="str">
        <f>Conversions!B12</f>
        <v>Therm</v>
      </c>
      <c r="I12" s="59" t="str">
        <f>Calculations!A11</f>
        <v xml:space="preserve"> </v>
      </c>
    </row>
    <row r="13" spans="1:25" ht="15" customHeight="1">
      <c r="E13" s="2" t="s">
        <v>295</v>
      </c>
      <c r="G13" s="2" t="s">
        <v>296</v>
      </c>
    </row>
    <row r="14" spans="1:25">
      <c r="C14" s="2" t="s">
        <v>265</v>
      </c>
      <c r="E14" s="59" t="str">
        <f>_xlfn.CONCAT(E6,"/",$C2)</f>
        <v>$/kWh</v>
      </c>
      <c r="G14" s="59" t="str">
        <f>_xlfn.CONCAT(G6,"/",$C2)</f>
        <v>kg CO2e/kWh</v>
      </c>
    </row>
    <row r="15" spans="1:25">
      <c r="C15" s="59" t="str">
        <f>CONCATENATE("per ",Conversions!B6)</f>
        <v>per kWh</v>
      </c>
      <c r="E15" s="59" t="str">
        <f>_xlfn.CONCAT(E7,"/",$C3)</f>
        <v>$/kBtu</v>
      </c>
      <c r="G15" s="59" t="str">
        <f>_xlfn.CONCAT(G7,"/",$C3)</f>
        <v>kg CO2e/kBtu</v>
      </c>
    </row>
    <row r="16" spans="1:25">
      <c r="A16" s="2" t="s">
        <v>297</v>
      </c>
      <c r="C16" s="59" t="str">
        <f>CONCATENATE("per ",Conversions!B7)</f>
        <v>per MWh</v>
      </c>
    </row>
    <row r="17" spans="1:21">
      <c r="A17" s="59" t="s">
        <v>59</v>
      </c>
      <c r="C17" s="59" t="str">
        <f>CONCATENATE("per ",Conversions!B8)</f>
        <v>per GJ</v>
      </c>
    </row>
    <row r="18" spans="1:21">
      <c r="A18" s="59" t="s">
        <v>60</v>
      </c>
      <c r="C18" s="59" t="str">
        <f>CONCATENATE("per ",Conversions!B9)</f>
        <v>per kBtu</v>
      </c>
      <c r="P18" s="2"/>
      <c r="Q18" s="2"/>
      <c r="R18" s="2"/>
      <c r="S18" s="2"/>
      <c r="T18" s="2"/>
      <c r="U18" s="2"/>
    </row>
    <row r="19" spans="1:21">
      <c r="A19" s="59" t="s">
        <v>194</v>
      </c>
      <c r="C19" s="59" t="str">
        <f>CONCATENATE("per ",Conversions!B10)</f>
        <v>per MBtu</v>
      </c>
      <c r="P19" s="74"/>
      <c r="Q19" s="74"/>
      <c r="R19" s="74"/>
      <c r="S19" s="74"/>
      <c r="T19" s="74"/>
      <c r="U19" s="74"/>
    </row>
    <row r="20" spans="1:21">
      <c r="A20" s="59" t="s">
        <v>102</v>
      </c>
      <c r="C20" s="59" t="str">
        <f>CONCATENATE("per ",Conversions!B11)</f>
        <v>per 1000 ft3 Gas</v>
      </c>
      <c r="P20" s="74"/>
      <c r="Q20" s="74"/>
      <c r="R20" s="74"/>
      <c r="S20" s="74"/>
      <c r="T20" s="74"/>
      <c r="U20" s="74"/>
    </row>
    <row r="21" spans="1:21">
      <c r="A21" s="59" t="s">
        <v>103</v>
      </c>
      <c r="C21" s="59" t="str">
        <f>CONCATENATE("per ",Conversions!B12)</f>
        <v>per Therm</v>
      </c>
      <c r="P21" s="74"/>
      <c r="Q21" s="74"/>
      <c r="R21" s="74"/>
      <c r="S21" s="74"/>
      <c r="T21" s="74"/>
      <c r="U21" s="74"/>
    </row>
    <row r="23" spans="1:21">
      <c r="A23" s="2" t="s">
        <v>298</v>
      </c>
      <c r="C23" s="2" t="s">
        <v>299</v>
      </c>
    </row>
    <row r="24" spans="1:21">
      <c r="A24" s="59" t="str">
        <f>Calculations!A9</f>
        <v>LEED Baseline</v>
      </c>
      <c r="C24" s="59" t="s">
        <v>300</v>
      </c>
    </row>
    <row r="25" spans="1:21">
      <c r="A25" s="59" t="str">
        <f>Calculations!A10</f>
        <v>Code Baseline</v>
      </c>
      <c r="C25" s="59" t="s">
        <v>301</v>
      </c>
    </row>
    <row r="26" spans="1:21">
      <c r="A26" s="59" t="str">
        <f>Calculations!A11</f>
        <v xml:space="preserve"> </v>
      </c>
      <c r="C26" s="59" t="s">
        <v>302</v>
      </c>
    </row>
    <row r="27" spans="1:21">
      <c r="A27" s="59" t="str">
        <f>Calculations!A12</f>
        <v>Proposed Design</v>
      </c>
      <c r="C27" s="59" t="s">
        <v>303</v>
      </c>
    </row>
    <row r="28" spans="1:21">
      <c r="A28" s="59" t="str">
        <f>Calculations!A13</f>
        <v xml:space="preserve"> </v>
      </c>
    </row>
    <row r="29" spans="1:21">
      <c r="A29" s="59" t="str">
        <f>Calculations!A14</f>
        <v xml:space="preserve"> </v>
      </c>
    </row>
    <row r="30" spans="1:21">
      <c r="A30" s="59" t="str">
        <f>Calculations!A15</f>
        <v xml:space="preserve"> </v>
      </c>
      <c r="C30" s="2" t="s">
        <v>304</v>
      </c>
    </row>
    <row r="31" spans="1:21">
      <c r="A31" s="59" t="str">
        <f>Calculations!A16</f>
        <v xml:space="preserve"> </v>
      </c>
      <c r="C31" s="59">
        <v>4</v>
      </c>
    </row>
    <row r="32" spans="1:21">
      <c r="A32" s="59" t="str">
        <f>Calculations!A17</f>
        <v xml:space="preserve"> </v>
      </c>
      <c r="C32" s="59">
        <v>50</v>
      </c>
    </row>
    <row r="33" spans="1:3">
      <c r="A33" s="59" t="str">
        <f>Calculations!A18</f>
        <v xml:space="preserve"> </v>
      </c>
      <c r="C33" s="59">
        <v>75</v>
      </c>
    </row>
    <row r="34" spans="1:3">
      <c r="A34" s="59" t="str">
        <f>Calculations!A19</f>
        <v xml:space="preserve"> </v>
      </c>
    </row>
    <row r="35" spans="1:3">
      <c r="A35" s="59" t="str">
        <f>Calculations!A20</f>
        <v xml:space="preserve"> </v>
      </c>
    </row>
    <row r="36" spans="1:3">
      <c r="A36" s="59" t="str">
        <f>Calculations!A21</f>
        <v xml:space="preserve"> </v>
      </c>
    </row>
  </sheetData>
  <dataConsolidate/>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P141"/>
  <sheetViews>
    <sheetView showGridLines="0" zoomScale="98" zoomScaleNormal="98" workbookViewId="0"/>
  </sheetViews>
  <sheetFormatPr defaultColWidth="9.109375" defaultRowHeight="13.8"/>
  <cols>
    <col min="1" max="51" width="12.5546875" style="4" customWidth="1"/>
    <col min="52" max="53" width="10.5546875" style="4" customWidth="1"/>
    <col min="54" max="54" width="12.5546875" style="4" customWidth="1"/>
    <col min="55" max="62" width="10.5546875" style="4" customWidth="1"/>
    <col min="63" max="67" width="12.5546875" style="4" customWidth="1"/>
    <col min="68" max="71" width="10.5546875" style="4" customWidth="1"/>
    <col min="72" max="72" width="12.5546875" style="4" customWidth="1"/>
    <col min="73" max="73" width="10.5546875" style="4" customWidth="1"/>
    <col min="74" max="78" width="9.109375" style="4"/>
    <col min="79" max="79" width="12.5546875" style="4" bestFit="1" customWidth="1"/>
    <col min="80" max="16384" width="9.109375" style="4"/>
  </cols>
  <sheetData>
    <row r="1" spans="1:71">
      <c r="A1" s="76" t="s">
        <v>305</v>
      </c>
      <c r="B1" s="77"/>
      <c r="C1" s="77"/>
      <c r="D1" s="77"/>
      <c r="E1" s="77"/>
      <c r="F1" s="77"/>
      <c r="G1" s="77"/>
      <c r="H1" s="77"/>
      <c r="I1" s="77"/>
      <c r="J1" s="77"/>
      <c r="K1" s="77"/>
      <c r="L1" s="77"/>
      <c r="M1" s="77"/>
      <c r="N1" s="77"/>
      <c r="O1" s="77"/>
      <c r="P1" s="77"/>
      <c r="Q1" s="77"/>
      <c r="R1" s="77"/>
      <c r="S1" s="77"/>
      <c r="T1" s="77"/>
      <c r="U1" s="77"/>
      <c r="V1" s="77"/>
      <c r="W1" s="77"/>
      <c r="X1" s="77"/>
      <c r="Y1" s="77"/>
      <c r="Z1" s="77"/>
      <c r="AA1" s="77"/>
      <c r="AB1" s="77"/>
      <c r="AC1" s="77"/>
      <c r="AD1" s="77"/>
      <c r="AE1" s="77"/>
      <c r="AF1" s="77"/>
      <c r="AG1" s="77"/>
      <c r="AH1" s="77"/>
      <c r="AI1" s="77"/>
      <c r="AJ1" s="77"/>
      <c r="AK1" s="77"/>
      <c r="AL1" s="77"/>
      <c r="AM1" s="77"/>
      <c r="AN1" s="77"/>
      <c r="AO1" s="77"/>
      <c r="AP1" s="77"/>
      <c r="AQ1" s="77"/>
      <c r="AR1" s="77"/>
      <c r="AS1" s="77"/>
      <c r="AT1" s="77"/>
      <c r="AU1" s="77"/>
      <c r="AV1" s="77"/>
      <c r="AW1" s="77"/>
      <c r="AX1" s="77"/>
      <c r="AY1" s="77"/>
      <c r="AZ1" s="77"/>
      <c r="BA1" s="77"/>
      <c r="BB1" s="77"/>
      <c r="BC1" s="77"/>
      <c r="BD1" s="77"/>
      <c r="BE1" s="77"/>
      <c r="BF1" s="77"/>
      <c r="BG1" s="77"/>
      <c r="BH1" s="77"/>
      <c r="BI1" s="77"/>
      <c r="BJ1" s="77"/>
      <c r="BK1" s="77"/>
      <c r="BL1" s="77"/>
      <c r="BM1" s="77"/>
      <c r="BN1" s="77"/>
      <c r="BO1" s="77"/>
      <c r="BP1" s="77"/>
      <c r="BQ1" s="77"/>
      <c r="BR1" s="77"/>
      <c r="BS1" s="77"/>
    </row>
    <row r="3" spans="1:71">
      <c r="A3" s="104" t="s">
        <v>178</v>
      </c>
      <c r="B3" s="105"/>
      <c r="C3" s="30" t="s">
        <v>306</v>
      </c>
      <c r="D3" s="30"/>
      <c r="E3" s="30"/>
      <c r="F3" s="30"/>
      <c r="G3" s="30"/>
      <c r="H3" s="30"/>
      <c r="I3" s="30"/>
      <c r="J3" s="30"/>
      <c r="K3" s="30"/>
      <c r="L3" s="30"/>
      <c r="M3" s="30"/>
      <c r="N3" s="30"/>
      <c r="O3" s="30"/>
      <c r="P3" s="30"/>
      <c r="Q3" s="30"/>
      <c r="R3" s="30"/>
      <c r="S3" s="30"/>
      <c r="T3" s="30"/>
      <c r="U3" s="30"/>
      <c r="V3" s="30"/>
      <c r="W3" s="30"/>
      <c r="X3" s="30"/>
      <c r="Y3" s="30"/>
      <c r="Z3" s="30"/>
      <c r="AA3" s="30"/>
      <c r="AC3" s="30" t="s">
        <v>307</v>
      </c>
      <c r="AD3" s="30"/>
      <c r="AE3" s="30"/>
      <c r="AF3" s="30"/>
      <c r="AG3" s="30"/>
      <c r="AH3" s="30"/>
      <c r="AI3" s="30"/>
      <c r="AJ3" s="30"/>
      <c r="AK3" s="30"/>
      <c r="AL3" s="30"/>
      <c r="AM3" s="30"/>
      <c r="AN3" s="30"/>
      <c r="AO3" s="30"/>
      <c r="AP3" s="30"/>
      <c r="AQ3" s="30"/>
      <c r="AR3" s="30"/>
      <c r="AT3" s="30" t="s">
        <v>308</v>
      </c>
      <c r="AU3" s="30"/>
      <c r="AV3" s="30"/>
      <c r="AW3" s="30"/>
      <c r="AX3" s="30"/>
      <c r="AY3" s="30"/>
      <c r="AZ3" s="30"/>
      <c r="BA3" s="30"/>
      <c r="BC3" s="30" t="s">
        <v>240</v>
      </c>
      <c r="BD3" s="30"/>
      <c r="BE3" s="30"/>
      <c r="BF3" s="30"/>
      <c r="BG3" s="30"/>
      <c r="BH3" s="30"/>
      <c r="BI3" s="30"/>
      <c r="BJ3" s="30"/>
      <c r="BL3" s="30" t="s">
        <v>309</v>
      </c>
      <c r="BM3" s="30"/>
      <c r="BN3" s="30"/>
      <c r="BO3" s="30"/>
      <c r="BP3" s="30"/>
      <c r="BQ3" s="30"/>
      <c r="BR3" s="30"/>
      <c r="BS3" s="30"/>
    </row>
    <row r="4" spans="1:71" s="17" customFormat="1" ht="41.4">
      <c r="A4" s="45" t="s">
        <v>178</v>
      </c>
      <c r="B4" s="45"/>
      <c r="C4" s="31" t="s">
        <v>179</v>
      </c>
      <c r="D4" s="31" t="s">
        <v>179</v>
      </c>
      <c r="E4" s="31" t="s">
        <v>179</v>
      </c>
      <c r="F4" s="31" t="s">
        <v>179</v>
      </c>
      <c r="G4" s="31" t="s">
        <v>180</v>
      </c>
      <c r="H4" s="31" t="s">
        <v>180</v>
      </c>
      <c r="I4" s="32" t="s">
        <v>181</v>
      </c>
      <c r="J4" s="32" t="s">
        <v>182</v>
      </c>
      <c r="K4" s="32" t="s">
        <v>183</v>
      </c>
      <c r="L4" s="32" t="s">
        <v>183</v>
      </c>
      <c r="M4" s="32" t="s">
        <v>183</v>
      </c>
      <c r="N4" s="32" t="s">
        <v>184</v>
      </c>
      <c r="O4" s="32" t="s">
        <v>185</v>
      </c>
      <c r="P4" s="32" t="s">
        <v>186</v>
      </c>
      <c r="Q4" s="32" t="s">
        <v>187</v>
      </c>
      <c r="R4" s="32" t="s">
        <v>188</v>
      </c>
      <c r="S4" s="32" t="s">
        <v>189</v>
      </c>
      <c r="T4" s="32" t="s">
        <v>190</v>
      </c>
      <c r="U4" s="32" t="s">
        <v>190</v>
      </c>
      <c r="V4" s="32" t="s">
        <v>190</v>
      </c>
      <c r="W4" s="32" t="s">
        <v>190</v>
      </c>
      <c r="X4" s="32" t="s">
        <v>191</v>
      </c>
      <c r="Y4" s="33" t="s">
        <v>192</v>
      </c>
      <c r="Z4" s="34">
        <f>'Project Info'!I10</f>
        <v>0</v>
      </c>
      <c r="AA4" s="34">
        <f>'Project Info'!J10</f>
        <v>0</v>
      </c>
      <c r="AB4" s="4"/>
      <c r="AC4" s="32" t="str">
        <f>C4</f>
        <v>Heating</v>
      </c>
      <c r="AD4" s="32" t="str">
        <f>G4</f>
        <v>Cooling</v>
      </c>
      <c r="AE4" s="32" t="str">
        <f>I4</f>
        <v>Lighting</v>
      </c>
      <c r="AF4" s="32" t="str">
        <f>J4</f>
        <v>Exterior Lighting</v>
      </c>
      <c r="AG4" s="32" t="str">
        <f>K4</f>
        <v>Equipment</v>
      </c>
      <c r="AH4" s="32" t="str">
        <f>N4</f>
        <v>Exterior Equipment</v>
      </c>
      <c r="AI4" s="32" t="str">
        <f>O4</f>
        <v>Fans</v>
      </c>
      <c r="AJ4" s="32" t="str">
        <f>P4</f>
        <v>Pumps</v>
      </c>
      <c r="AK4" s="32" t="str">
        <f>Q4</f>
        <v>Heat Rejection</v>
      </c>
      <c r="AL4" s="32" t="str">
        <f>R4</f>
        <v>Humidification</v>
      </c>
      <c r="AM4" s="32" t="s">
        <v>189</v>
      </c>
      <c r="AN4" s="32" t="str">
        <f>T4</f>
        <v>Water Systems</v>
      </c>
      <c r="AO4" s="32" t="str">
        <f>X4</f>
        <v>Refrigeration</v>
      </c>
      <c r="AP4" s="33" t="str">
        <f>Y4</f>
        <v>Generators</v>
      </c>
      <c r="AQ4" s="34">
        <f>Z4</f>
        <v>0</v>
      </c>
      <c r="AR4" s="34">
        <f>AA4</f>
        <v>0</v>
      </c>
      <c r="AS4" s="4"/>
      <c r="BC4" s="35" t="str">
        <f>Proposed!U10</f>
        <v>PV</v>
      </c>
      <c r="BD4" s="35" t="str">
        <f>Proposed!V10</f>
        <v>Wind</v>
      </c>
      <c r="BE4" s="35" t="str">
        <f>Proposed!W10</f>
        <v>SolarHW</v>
      </c>
      <c r="BF4" s="35" t="str">
        <f>BE4</f>
        <v>SolarHW</v>
      </c>
      <c r="BG4" s="35" t="str">
        <f>BF4</f>
        <v>SolarHW</v>
      </c>
      <c r="BH4" s="35" t="str">
        <f>BG4</f>
        <v>SolarHW</v>
      </c>
      <c r="BI4" s="35" t="s">
        <v>174</v>
      </c>
      <c r="BJ4" s="35" t="s">
        <v>310</v>
      </c>
    </row>
    <row r="5" spans="1:71">
      <c r="A5" s="105" t="s">
        <v>311</v>
      </c>
      <c r="B5" s="105"/>
      <c r="C5" s="36" t="s">
        <v>59</v>
      </c>
      <c r="D5" s="36" t="s">
        <v>60</v>
      </c>
      <c r="E5" s="36" t="s">
        <v>194</v>
      </c>
      <c r="F5" s="36" t="s">
        <v>103</v>
      </c>
      <c r="G5" s="36" t="s">
        <v>59</v>
      </c>
      <c r="H5" s="36" t="s">
        <v>102</v>
      </c>
      <c r="I5" s="36" t="s">
        <v>59</v>
      </c>
      <c r="J5" s="36" t="s">
        <v>59</v>
      </c>
      <c r="K5" s="36" t="s">
        <v>59</v>
      </c>
      <c r="L5" s="36" t="s">
        <v>60</v>
      </c>
      <c r="M5" s="36" t="s">
        <v>194</v>
      </c>
      <c r="N5" s="36" t="s">
        <v>59</v>
      </c>
      <c r="O5" s="36" t="s">
        <v>59</v>
      </c>
      <c r="P5" s="36" t="s">
        <v>59</v>
      </c>
      <c r="Q5" s="36" t="s">
        <v>59</v>
      </c>
      <c r="R5" s="36" t="s">
        <v>59</v>
      </c>
      <c r="S5" s="36" t="s">
        <v>59</v>
      </c>
      <c r="T5" s="36" t="s">
        <v>59</v>
      </c>
      <c r="U5" s="36" t="s">
        <v>60</v>
      </c>
      <c r="V5" s="36" t="s">
        <v>194</v>
      </c>
      <c r="W5" s="36" t="s">
        <v>103</v>
      </c>
      <c r="X5" s="36" t="s">
        <v>59</v>
      </c>
      <c r="Y5" s="36" t="s">
        <v>59</v>
      </c>
      <c r="Z5" s="37" t="str">
        <f>'Project Info'!I11</f>
        <v>Electricity</v>
      </c>
      <c r="AA5" s="37" t="str">
        <f>'Project Info'!J11</f>
        <v>Gas</v>
      </c>
      <c r="AT5" s="36" t="s">
        <v>59</v>
      </c>
      <c r="AU5" s="36" t="s">
        <v>60</v>
      </c>
      <c r="AV5" s="36" t="s">
        <v>194</v>
      </c>
      <c r="AW5" s="36" t="s">
        <v>102</v>
      </c>
      <c r="AX5" s="36" t="s">
        <v>103</v>
      </c>
      <c r="AY5" s="36" t="s">
        <v>312</v>
      </c>
      <c r="AZ5" s="36" t="s">
        <v>313</v>
      </c>
      <c r="BA5" s="36" t="s">
        <v>314</v>
      </c>
      <c r="BC5" s="36" t="s">
        <v>59</v>
      </c>
      <c r="BD5" s="36" t="s">
        <v>59</v>
      </c>
      <c r="BE5" s="36" t="s">
        <v>59</v>
      </c>
      <c r="BF5" s="36" t="s">
        <v>60</v>
      </c>
      <c r="BG5" s="36" t="s">
        <v>194</v>
      </c>
      <c r="BH5" s="36" t="s">
        <v>103</v>
      </c>
      <c r="BI5" s="36" t="s">
        <v>315</v>
      </c>
      <c r="BL5" s="36" t="s">
        <v>59</v>
      </c>
      <c r="BM5" s="36" t="s">
        <v>60</v>
      </c>
      <c r="BN5" s="36" t="s">
        <v>194</v>
      </c>
      <c r="BO5" s="36" t="s">
        <v>102</v>
      </c>
      <c r="BP5" s="36" t="s">
        <v>103</v>
      </c>
      <c r="BQ5" s="38" t="s">
        <v>316</v>
      </c>
      <c r="BR5" s="36" t="s">
        <v>313</v>
      </c>
      <c r="BS5" s="36" t="s">
        <v>314</v>
      </c>
    </row>
    <row r="6" spans="1:71">
      <c r="A6" s="105" t="s">
        <v>317</v>
      </c>
      <c r="B6" s="105"/>
      <c r="C6" s="39" t="s">
        <v>65</v>
      </c>
      <c r="D6" s="39" t="s">
        <v>65</v>
      </c>
      <c r="E6" s="39" t="s">
        <v>65</v>
      </c>
      <c r="F6" s="39" t="s">
        <v>65</v>
      </c>
      <c r="G6" s="39" t="s">
        <v>65</v>
      </c>
      <c r="H6" s="39" t="s">
        <v>65</v>
      </c>
      <c r="I6" s="39" t="s">
        <v>65</v>
      </c>
      <c r="J6" s="39" t="s">
        <v>65</v>
      </c>
      <c r="K6" s="39" t="s">
        <v>66</v>
      </c>
      <c r="L6" s="39" t="s">
        <v>66</v>
      </c>
      <c r="M6" s="39" t="s">
        <v>66</v>
      </c>
      <c r="N6" s="39" t="s">
        <v>66</v>
      </c>
      <c r="O6" s="39" t="s">
        <v>65</v>
      </c>
      <c r="P6" s="39" t="s">
        <v>65</v>
      </c>
      <c r="Q6" s="39" t="s">
        <v>65</v>
      </c>
      <c r="R6" s="39" t="s">
        <v>65</v>
      </c>
      <c r="S6" s="39" t="s">
        <v>65</v>
      </c>
      <c r="T6" s="39" t="s">
        <v>65</v>
      </c>
      <c r="U6" s="39" t="s">
        <v>65</v>
      </c>
      <c r="V6" s="39" t="s">
        <v>65</v>
      </c>
      <c r="W6" s="39" t="s">
        <v>65</v>
      </c>
      <c r="X6" s="39" t="s">
        <v>66</v>
      </c>
      <c r="Y6" s="39" t="s">
        <v>65</v>
      </c>
      <c r="Z6" s="39" t="str">
        <f>'Project Info'!I12</f>
        <v>No</v>
      </c>
      <c r="AA6" s="39" t="str">
        <f>'Project Info'!J12</f>
        <v>Yes</v>
      </c>
      <c r="AC6" s="39" t="s">
        <v>65</v>
      </c>
      <c r="AD6" s="39" t="s">
        <v>65</v>
      </c>
      <c r="AE6" s="39" t="s">
        <v>65</v>
      </c>
      <c r="AF6" s="39" t="s">
        <v>65</v>
      </c>
      <c r="AG6" s="39" t="s">
        <v>66</v>
      </c>
      <c r="AH6" s="39" t="s">
        <v>66</v>
      </c>
      <c r="AI6" s="39" t="s">
        <v>65</v>
      </c>
      <c r="AJ6" s="39" t="s">
        <v>65</v>
      </c>
      <c r="AK6" s="39" t="s">
        <v>65</v>
      </c>
      <c r="AL6" s="39" t="s">
        <v>65</v>
      </c>
      <c r="AM6" s="39" t="s">
        <v>65</v>
      </c>
      <c r="AN6" s="39" t="s">
        <v>65</v>
      </c>
      <c r="AO6" s="39" t="s">
        <v>66</v>
      </c>
      <c r="AP6" s="39" t="s">
        <v>65</v>
      </c>
      <c r="AQ6" s="39" t="str">
        <f>Z6</f>
        <v>No</v>
      </c>
      <c r="AR6" s="39" t="str">
        <f>AA6</f>
        <v>Yes</v>
      </c>
      <c r="AT6" s="39"/>
      <c r="AU6" s="39"/>
      <c r="AV6" s="39"/>
      <c r="AW6" s="39"/>
      <c r="AX6" s="39"/>
      <c r="AY6" s="39"/>
    </row>
    <row r="7" spans="1:71">
      <c r="A7" s="105"/>
      <c r="B7" s="105"/>
      <c r="C7" s="39"/>
      <c r="D7" s="39"/>
      <c r="E7" s="39"/>
      <c r="F7" s="39"/>
      <c r="G7" s="39"/>
      <c r="H7" s="39"/>
      <c r="I7" s="39"/>
      <c r="J7" s="39"/>
      <c r="K7" s="39"/>
      <c r="L7" s="39"/>
      <c r="M7" s="39"/>
      <c r="N7" s="39"/>
      <c r="O7" s="39"/>
      <c r="P7" s="39"/>
      <c r="Q7" s="39"/>
      <c r="R7" s="39"/>
      <c r="S7" s="39"/>
      <c r="T7" s="39"/>
      <c r="U7" s="39"/>
      <c r="V7" s="39"/>
      <c r="W7" s="39"/>
      <c r="X7" s="39"/>
      <c r="Y7" s="39"/>
      <c r="Z7" s="39"/>
      <c r="AA7" s="39"/>
      <c r="AC7" s="39"/>
      <c r="AD7" s="39"/>
      <c r="AE7" s="39"/>
      <c r="AF7" s="39"/>
      <c r="AG7" s="39"/>
      <c r="AH7" s="39"/>
      <c r="AI7" s="39"/>
      <c r="AJ7" s="39"/>
      <c r="AK7" s="39"/>
      <c r="AL7" s="39"/>
      <c r="AM7" s="39"/>
      <c r="AN7" s="39"/>
      <c r="AO7" s="39"/>
      <c r="AP7" s="39"/>
      <c r="AQ7" s="39"/>
      <c r="AR7" s="39"/>
      <c r="AT7" s="39"/>
      <c r="AU7" s="39"/>
      <c r="AV7" s="39"/>
      <c r="AW7" s="39"/>
      <c r="AX7" s="39"/>
      <c r="AY7" s="39"/>
    </row>
    <row r="8" spans="1:71" s="105" customFormat="1" ht="11.4" thickBot="1">
      <c r="A8" s="194" t="str">
        <f>CONCATENATE(Menus!C24," (",'Project Info'!$I$6,")")</f>
        <v>Energy Use (kBtu)</v>
      </c>
      <c r="B8" s="194"/>
      <c r="C8" s="194" t="s">
        <v>318</v>
      </c>
      <c r="D8" s="194"/>
      <c r="E8" s="194">
        <f>IF(AND('Project Info'!$I$5="kWh",'Project Info'!$I$6="kBtu"),W_to_Btu_h,IF(AND('Project Info'!$I$5="kBtu",'Project Info'!$I$6="kWh"),0.293071,1))</f>
        <v>1</v>
      </c>
      <c r="F8" s="194"/>
      <c r="G8" s="194"/>
      <c r="H8" s="194"/>
      <c r="I8" s="194"/>
      <c r="J8" s="194"/>
      <c r="K8" s="194"/>
      <c r="L8" s="194"/>
      <c r="M8" s="194"/>
      <c r="N8" s="194"/>
      <c r="O8" s="194"/>
      <c r="P8" s="194"/>
      <c r="Q8" s="194"/>
      <c r="R8" s="194"/>
      <c r="S8" s="194"/>
      <c r="T8" s="194"/>
      <c r="U8" s="194"/>
      <c r="V8" s="194"/>
      <c r="W8" s="194"/>
      <c r="X8" s="194"/>
      <c r="Y8" s="194"/>
      <c r="Z8" s="194"/>
      <c r="AA8" s="194"/>
    </row>
    <row r="9" spans="1:71">
      <c r="A9" s="105" t="str">
        <f>IF('LEED BL'!G12=0," ",'LEED BL'!G12)</f>
        <v>LEED Baseline</v>
      </c>
      <c r="B9" s="106"/>
      <c r="C9" s="91">
        <f>IF('LEED BL'!$C$10=Menus!$I$2,'LEED BL'!C$19,AVERAGE('LEED BL'!C$19,'LEED BL'!C$33,'LEED BL'!C$47,'LEED BL'!C$61))*$E$8</f>
        <v>38337.231999999996</v>
      </c>
      <c r="D9" s="91">
        <f>IF('LEED BL'!$C$10=Menus!$I$2,'LEED BL'!D$19,AVERAGE('LEED BL'!D$19,'LEED BL'!D$33,'LEED BL'!D$47,'LEED BL'!D$61))*$E$8</f>
        <v>0</v>
      </c>
      <c r="E9" s="91">
        <f>IF('LEED BL'!$C$10=Menus!$I$2,'LEED BL'!E$19,AVERAGE('LEED BL'!E$19,'LEED BL'!E$33,'LEED BL'!E$47,'LEED BL'!E$61))*$E$8</f>
        <v>0</v>
      </c>
      <c r="F9" s="91">
        <f>IF('LEED BL'!$C$10=Menus!$I$2,'LEED BL'!F$19,AVERAGE('LEED BL'!F$19,'LEED BL'!F$33,'LEED BL'!F$47,'LEED BL'!F$61))*$E$8</f>
        <v>0</v>
      </c>
      <c r="G9" s="91">
        <f>IF('LEED BL'!$C$10=Menus!$I$2,'LEED BL'!G$19,AVERAGE('LEED BL'!G$19,'LEED BL'!G$33,'LEED BL'!G$47,'LEED BL'!G$61))*$E$8</f>
        <v>142882.61800000002</v>
      </c>
      <c r="H9" s="91">
        <f>IF('LEED BL'!$C$10=Menus!$I$2,'LEED BL'!H$19,AVERAGE('LEED BL'!H$19,'LEED BL'!H$33,'LEED BL'!H$47,'LEED BL'!H$61))*$E$8</f>
        <v>0</v>
      </c>
      <c r="I9" s="91">
        <f>IF('LEED BL'!$C$10=Menus!$I$2,'LEED BL'!I$19,AVERAGE('LEED BL'!I$19,'LEED BL'!I$33,'LEED BL'!I$47,'LEED BL'!I$61))*$E$8</f>
        <v>153372.81200000001</v>
      </c>
      <c r="J9" s="91">
        <f>IF('LEED BL'!$C$10=Menus!$I$2,'LEED BL'!J$19,AVERAGE('LEED BL'!J$19,'LEED BL'!J$33,'LEED BL'!J$47,'LEED BL'!J$61))*$E$8</f>
        <v>0</v>
      </c>
      <c r="K9" s="91">
        <f>IF('LEED BL'!$C$10=Menus!$I$2,'LEED BL'!K$19,AVERAGE('LEED BL'!K$19,'LEED BL'!K$33,'LEED BL'!K$47,'LEED BL'!K$61))*$E$8</f>
        <v>180081.948</v>
      </c>
      <c r="L9" s="91">
        <f>IF('LEED BL'!$C$10=Menus!$I$2,'LEED BL'!L$19,AVERAGE('LEED BL'!L$19,'LEED BL'!L$33,'LEED BL'!L$47,'LEED BL'!L$61))*$E$8</f>
        <v>0</v>
      </c>
      <c r="M9" s="91">
        <f>IF('LEED BL'!$C$10=Menus!$I$2,'LEED BL'!M$19,AVERAGE('LEED BL'!M$19,'LEED BL'!M$33,'LEED BL'!M$47,'LEED BL'!M$61))*$E$8</f>
        <v>0</v>
      </c>
      <c r="N9" s="91">
        <f>IF('LEED BL'!$C$10=Menus!$I$2,'LEED BL'!N$19,AVERAGE('LEED BL'!N$19,'LEED BL'!N$33,'LEED BL'!N$47,'LEED BL'!N$61))*$E$8</f>
        <v>0</v>
      </c>
      <c r="O9" s="91">
        <f>IF('LEED BL'!$C$10=Menus!$I$2,'LEED BL'!O$19,AVERAGE('LEED BL'!O$19,'LEED BL'!O$33,'LEED BL'!O$47,'LEED BL'!O$61))*$E$8</f>
        <v>174795.90700000001</v>
      </c>
      <c r="P9" s="91">
        <f>IF('LEED BL'!$C$10=Menus!$I$2,'LEED BL'!P$19,AVERAGE('LEED BL'!P$19,'LEED BL'!P$33,'LEED BL'!P$47,'LEED BL'!P$61))*$E$8</f>
        <v>0</v>
      </c>
      <c r="Q9" s="91">
        <f>IF('LEED BL'!$C$10=Menus!$I$2,'LEED BL'!Q$19,AVERAGE('LEED BL'!Q$19,'LEED BL'!Q$33,'LEED BL'!Q$47,'LEED BL'!Q$61))*$E$8</f>
        <v>0</v>
      </c>
      <c r="R9" s="91">
        <f>IF('LEED BL'!$C$10=Menus!$I$2,'LEED BL'!R$19,AVERAGE('LEED BL'!R$19,'LEED BL'!R$33,'LEED BL'!R$47,'LEED BL'!R$61))*$E$8</f>
        <v>0</v>
      </c>
      <c r="S9" s="91">
        <f>IF('LEED BL'!$C$10=Menus!$I$2,'LEED BL'!S$19,AVERAGE('LEED BL'!S$19,'LEED BL'!S$33,'LEED BL'!S$47,'LEED BL'!S$61))*$E$8</f>
        <v>0</v>
      </c>
      <c r="T9" s="91">
        <f>IF('LEED BL'!$C$10=Menus!$I$2,'LEED BL'!T$19,AVERAGE('LEED BL'!T$19,'LEED BL'!T$33,'LEED BL'!T$47,'LEED BL'!T$61))*$E$8</f>
        <v>0</v>
      </c>
      <c r="U9" s="91">
        <f>IF('LEED BL'!$C$10=Menus!$I$2,'LEED BL'!U$19,AVERAGE('LEED BL'!U$19,'LEED BL'!U$33,'LEED BL'!U$47,'LEED BL'!U$61))*$E$8</f>
        <v>0</v>
      </c>
      <c r="V9" s="91">
        <f>IF('LEED BL'!$C$10=Menus!$I$2,'LEED BL'!V$19,AVERAGE('LEED BL'!V$19,'LEED BL'!V$33,'LEED BL'!V$47,'LEED BL'!V$61))*$E$8</f>
        <v>0</v>
      </c>
      <c r="W9" s="91">
        <f>IF('LEED BL'!$C$10=Menus!$I$2,'LEED BL'!W$19,AVERAGE('LEED BL'!W$19,'LEED BL'!W$33,'LEED BL'!W$47,'LEED BL'!W$61))*$E$8</f>
        <v>0</v>
      </c>
      <c r="X9" s="91">
        <f>IF('LEED BL'!$C$10=Menus!$I$2,'LEED BL'!X$19,AVERAGE('LEED BL'!X$19,'LEED BL'!X$33,'LEED BL'!X$47,'LEED BL'!X$61))*$E$8</f>
        <v>0</v>
      </c>
      <c r="Y9" s="91">
        <f>IF('LEED BL'!$C$10=Menus!$I$2,'LEED BL'!Y$19,AVERAGE('LEED BL'!Y$19,'LEED BL'!Y$33,'LEED BL'!Y$47,'LEED BL'!Y$61))*$E$8</f>
        <v>0</v>
      </c>
      <c r="Z9" s="91">
        <f>IF('LEED BL'!$C$10=Menus!$I$2,'LEED BL'!Z$19,AVERAGE('LEED BL'!Z$19,'LEED BL'!Z$33,'LEED BL'!Z$47,'LEED BL'!Z$61))*$E$8</f>
        <v>0</v>
      </c>
      <c r="AA9" s="91">
        <f>IF('LEED BL'!$C$10=Menus!$I$2,'LEED BL'!AA$19,AVERAGE('LEED BL'!AA$19,'LEED BL'!AA$33,'LEED BL'!AA$47,'LEED BL'!AA$61))*$E$8</f>
        <v>0</v>
      </c>
      <c r="AC9" s="91">
        <f t="shared" ref="AC9:AR21" si="0">SUMIF($C$4:$AA$4,AC$4,$C9:$AA9)</f>
        <v>38337.231999999996</v>
      </c>
      <c r="AD9" s="91">
        <f t="shared" si="0"/>
        <v>142882.61800000002</v>
      </c>
      <c r="AE9" s="91">
        <f t="shared" si="0"/>
        <v>153372.81200000001</v>
      </c>
      <c r="AF9" s="91">
        <f t="shared" si="0"/>
        <v>0</v>
      </c>
      <c r="AG9" s="91">
        <f t="shared" si="0"/>
        <v>180081.948</v>
      </c>
      <c r="AH9" s="91">
        <f t="shared" si="0"/>
        <v>0</v>
      </c>
      <c r="AI9" s="91">
        <f t="shared" si="0"/>
        <v>174795.90700000001</v>
      </c>
      <c r="AJ9" s="91">
        <f t="shared" si="0"/>
        <v>0</v>
      </c>
      <c r="AK9" s="91">
        <f t="shared" si="0"/>
        <v>0</v>
      </c>
      <c r="AL9" s="91">
        <f t="shared" si="0"/>
        <v>0</v>
      </c>
      <c r="AM9" s="91">
        <f t="shared" si="0"/>
        <v>0</v>
      </c>
      <c r="AN9" s="91">
        <f t="shared" si="0"/>
        <v>0</v>
      </c>
      <c r="AO9" s="91">
        <f t="shared" si="0"/>
        <v>0</v>
      </c>
      <c r="AP9" s="91">
        <f t="shared" si="0"/>
        <v>0</v>
      </c>
      <c r="AQ9" s="91">
        <f t="shared" si="0"/>
        <v>0</v>
      </c>
      <c r="AR9" s="91">
        <f t="shared" si="0"/>
        <v>0</v>
      </c>
      <c r="AT9" s="91">
        <f t="shared" ref="AT9:AX21" si="1">SUMIF($C$5:$AA$5,"="&amp;AT$5,$C9:$AA9)</f>
        <v>689470.51699999999</v>
      </c>
      <c r="AU9" s="91">
        <f t="shared" si="1"/>
        <v>0</v>
      </c>
      <c r="AV9" s="91">
        <f t="shared" si="1"/>
        <v>0</v>
      </c>
      <c r="AW9" s="91">
        <f t="shared" si="1"/>
        <v>0</v>
      </c>
      <c r="AX9" s="91">
        <f t="shared" si="1"/>
        <v>0</v>
      </c>
      <c r="AY9" s="91">
        <f>SUM(AT9:AX9)</f>
        <v>689470.51699999999</v>
      </c>
      <c r="AZ9" s="110"/>
      <c r="BA9" s="110"/>
      <c r="BC9" s="110"/>
      <c r="BD9" s="110"/>
      <c r="BE9" s="110"/>
      <c r="BF9" s="110"/>
      <c r="BG9" s="110"/>
      <c r="BH9" s="110"/>
      <c r="BI9" s="110"/>
      <c r="BJ9" s="110"/>
      <c r="BK9" s="105"/>
      <c r="BL9" s="91">
        <f t="shared" ref="BL9:BL21" si="2">AT9-(SUMIF($BC$5:$BH$5,"="&amp;BL$5,$BC9:$BH9))</f>
        <v>689470.51699999999</v>
      </c>
      <c r="BM9" s="91">
        <f t="shared" ref="BM9:BM21" si="3">AU9-(SUMIF($BC$5:$BH$5,"="&amp;BM$5,$BC9:$BH9))</f>
        <v>0</v>
      </c>
      <c r="BN9" s="91">
        <f t="shared" ref="BN9:BN21" si="4">AV9-(SUMIF($BC$5:$BH$5,"="&amp;BN$5,$BC9:$BH9))</f>
        <v>0</v>
      </c>
      <c r="BO9" s="91">
        <f t="shared" ref="BO9:BO21" si="5">AW9-(SUMIF($BC$5:$BH$5,"="&amp;BO$5,$BC9:$BH9))</f>
        <v>0</v>
      </c>
      <c r="BP9" s="91">
        <f t="shared" ref="BP9:BP21" si="6">AX9-(SUMIF($BC$5:$BH$5,"="&amp;BP$5,$BC9:$BH9))</f>
        <v>0</v>
      </c>
      <c r="BQ9" s="91">
        <f>SUM(BL9:BP9)</f>
        <v>689470.51699999999</v>
      </c>
      <c r="BR9" s="110"/>
      <c r="BS9" s="110"/>
    </row>
    <row r="10" spans="1:71">
      <c r="A10" s="107" t="str">
        <f>IF('Code BL'!G12=0," ",'Code BL'!G12)</f>
        <v>Code Baseline</v>
      </c>
      <c r="B10" s="105"/>
      <c r="C10" s="91">
        <f>IF('Code BL'!$C$10=Menus!$I$2,'Code BL'!C$19,AVERAGE('Code BL'!C$19,'Code BL'!C$33,'Code BL'!C$47,'Code BL'!C$61))*$E$8</f>
        <v>0</v>
      </c>
      <c r="D10" s="91">
        <f>IF('Code BL'!$C$10=Menus!$I$2,'Code BL'!D$19,AVERAGE('Code BL'!D$19,'Code BL'!D$33,'Code BL'!D$47,'Code BL'!D$61))*$E$8</f>
        <v>0</v>
      </c>
      <c r="E10" s="91">
        <f>IF('Code BL'!$C$10=Menus!$I$2,'Code BL'!E$19,AVERAGE('Code BL'!E$19,'Code BL'!E$33,'Code BL'!E$47,'Code BL'!E$61))*$E$8</f>
        <v>0</v>
      </c>
      <c r="F10" s="91">
        <f>IF('Code BL'!$C$10=Menus!$I$2,'Code BL'!F$19,AVERAGE('Code BL'!F$19,'Code BL'!F$33,'Code BL'!F$47,'Code BL'!F$61))*$E$8</f>
        <v>0</v>
      </c>
      <c r="G10" s="91">
        <f>IF('Code BL'!$C$10=Menus!$I$2,'Code BL'!G$19,AVERAGE('Code BL'!G$19,'Code BL'!G$33,'Code BL'!G$47,'Code BL'!G$61))*$E$8</f>
        <v>0</v>
      </c>
      <c r="H10" s="91">
        <f>IF('Code BL'!$C$10=Menus!$I$2,'Code BL'!H$19,AVERAGE('Code BL'!H$19,'Code BL'!H$33,'Code BL'!H$47,'Code BL'!H$61))*$E$8</f>
        <v>0</v>
      </c>
      <c r="I10" s="91">
        <f>IF('Code BL'!$C$10=Menus!$I$2,'Code BL'!I$19,AVERAGE('Code BL'!I$19,'Code BL'!I$33,'Code BL'!I$47,'Code BL'!I$61))*$E$8</f>
        <v>0</v>
      </c>
      <c r="J10" s="91">
        <f>IF('Code BL'!$C$10=Menus!$I$2,'Code BL'!J$19,AVERAGE('Code BL'!J$19,'Code BL'!J$33,'Code BL'!J$47,'Code BL'!J$61))*$E$8</f>
        <v>0</v>
      </c>
      <c r="K10" s="91">
        <f>IF('Code BL'!$C$10=Menus!$I$2,'Code BL'!K$19,AVERAGE('Code BL'!K$19,'Code BL'!K$33,'Code BL'!K$47,'Code BL'!K$61))*$E$8</f>
        <v>0</v>
      </c>
      <c r="L10" s="91">
        <f>IF('Code BL'!$C$10=Menus!$I$2,'Code BL'!L$19,AVERAGE('Code BL'!L$19,'Code BL'!L$33,'Code BL'!L$47,'Code BL'!L$61))*$E$8</f>
        <v>0</v>
      </c>
      <c r="M10" s="91">
        <f>IF('Code BL'!$C$10=Menus!$I$2,'Code BL'!M$19,AVERAGE('Code BL'!M$19,'Code BL'!M$33,'Code BL'!M$47,'Code BL'!M$61))*$E$8</f>
        <v>0</v>
      </c>
      <c r="N10" s="91">
        <f>IF('Code BL'!$C$10=Menus!$I$2,'Code BL'!N$19,AVERAGE('Code BL'!N$19,'Code BL'!N$33,'Code BL'!N$47,'Code BL'!N$61))*$E$8</f>
        <v>0</v>
      </c>
      <c r="O10" s="91">
        <f>IF('Code BL'!$C$10=Menus!$I$2,'Code BL'!O$19,AVERAGE('Code BL'!O$19,'Code BL'!O$33,'Code BL'!O$47,'Code BL'!O$61))*$E$8</f>
        <v>0</v>
      </c>
      <c r="P10" s="91">
        <f>IF('Code BL'!$C$10=Menus!$I$2,'Code BL'!P$19,AVERAGE('Code BL'!P$19,'Code BL'!P$33,'Code BL'!P$47,'Code BL'!P$61))*$E$8</f>
        <v>0</v>
      </c>
      <c r="Q10" s="91">
        <f>IF('Code BL'!$C$10=Menus!$I$2,'Code BL'!Q$19,AVERAGE('Code BL'!Q$19,'Code BL'!Q$33,'Code BL'!Q$47,'Code BL'!Q$61))*$E$8</f>
        <v>0</v>
      </c>
      <c r="R10" s="91">
        <f>IF('Code BL'!$C$10=Menus!$I$2,'Code BL'!R$19,AVERAGE('Code BL'!R$19,'Code BL'!R$33,'Code BL'!R$47,'Code BL'!R$61))*$E$8</f>
        <v>0</v>
      </c>
      <c r="S10" s="91">
        <f>IF('Code BL'!$C$10=Menus!$I$2,'Code BL'!S$19,AVERAGE('Code BL'!S$19,'Code BL'!S$33,'Code BL'!S$47,'Code BL'!S$61))*$E$8</f>
        <v>0</v>
      </c>
      <c r="T10" s="91">
        <f>IF('Code BL'!$C$10=Menus!$I$2,'Code BL'!T$19,AVERAGE('Code BL'!T$19,'Code BL'!T$33,'Code BL'!T$47,'Code BL'!T$61))*$E$8</f>
        <v>0</v>
      </c>
      <c r="U10" s="91">
        <f>IF('Code BL'!$C$10=Menus!$I$2,'Code BL'!U$19,AVERAGE('Code BL'!U$19,'Code BL'!U$33,'Code BL'!U$47,'Code BL'!U$61))*$E$8</f>
        <v>0</v>
      </c>
      <c r="V10" s="91">
        <f>IF('Code BL'!$C$10=Menus!$I$2,'Code BL'!V$19,AVERAGE('Code BL'!V$19,'Code BL'!V$33,'Code BL'!V$47,'Code BL'!V$61))*$E$8</f>
        <v>0</v>
      </c>
      <c r="W10" s="91">
        <f>IF('Code BL'!$C$10=Menus!$I$2,'Code BL'!W$19,AVERAGE('Code BL'!W$19,'Code BL'!W$33,'Code BL'!W$47,'Code BL'!W$61))*$E$8</f>
        <v>0</v>
      </c>
      <c r="X10" s="91">
        <f>IF('Code BL'!$C$10=Menus!$I$2,'Code BL'!X$19,AVERAGE('Code BL'!X$19,'Code BL'!X$33,'Code BL'!X$47,'Code BL'!X$61))*$E$8</f>
        <v>0</v>
      </c>
      <c r="Y10" s="91">
        <f>IF('Code BL'!$C$10=Menus!$I$2,'Code BL'!Y$19,AVERAGE('Code BL'!Y$19,'Code BL'!Y$33,'Code BL'!Y$47,'Code BL'!Y$61))*$E$8</f>
        <v>0</v>
      </c>
      <c r="Z10" s="91">
        <f>IF('Code BL'!$C$10=Menus!$I$2,'Code BL'!Z$19,AVERAGE('Code BL'!Z$19,'Code BL'!Z$33,'Code BL'!Z$47,'Code BL'!Z$61))*$E$8</f>
        <v>0</v>
      </c>
      <c r="AA10" s="91">
        <f>IF('Code BL'!$C$10=Menus!$I$2,'Code BL'!AA$19,AVERAGE('Code BL'!AA$19,'Code BL'!AA$33,'Code BL'!AA$47,'Code BL'!AA$61))*$E$8</f>
        <v>0</v>
      </c>
      <c r="AC10" s="91">
        <f t="shared" si="0"/>
        <v>0</v>
      </c>
      <c r="AD10" s="91">
        <f t="shared" si="0"/>
        <v>0</v>
      </c>
      <c r="AE10" s="91">
        <f t="shared" si="0"/>
        <v>0</v>
      </c>
      <c r="AF10" s="91">
        <f t="shared" si="0"/>
        <v>0</v>
      </c>
      <c r="AG10" s="91">
        <f t="shared" si="0"/>
        <v>0</v>
      </c>
      <c r="AH10" s="91">
        <f t="shared" si="0"/>
        <v>0</v>
      </c>
      <c r="AI10" s="91">
        <f t="shared" si="0"/>
        <v>0</v>
      </c>
      <c r="AJ10" s="91">
        <f t="shared" si="0"/>
        <v>0</v>
      </c>
      <c r="AK10" s="91">
        <f t="shared" si="0"/>
        <v>0</v>
      </c>
      <c r="AL10" s="91">
        <f t="shared" si="0"/>
        <v>0</v>
      </c>
      <c r="AM10" s="91">
        <f t="shared" si="0"/>
        <v>0</v>
      </c>
      <c r="AN10" s="91">
        <f t="shared" si="0"/>
        <v>0</v>
      </c>
      <c r="AO10" s="91">
        <f t="shared" si="0"/>
        <v>0</v>
      </c>
      <c r="AP10" s="91">
        <f t="shared" si="0"/>
        <v>0</v>
      </c>
      <c r="AQ10" s="91">
        <f t="shared" si="0"/>
        <v>0</v>
      </c>
      <c r="AR10" s="91">
        <f t="shared" si="0"/>
        <v>0</v>
      </c>
      <c r="AT10" s="91">
        <f t="shared" si="1"/>
        <v>0</v>
      </c>
      <c r="AU10" s="91">
        <f t="shared" si="1"/>
        <v>0</v>
      </c>
      <c r="AV10" s="91">
        <f t="shared" si="1"/>
        <v>0</v>
      </c>
      <c r="AW10" s="91">
        <f t="shared" si="1"/>
        <v>0</v>
      </c>
      <c r="AX10" s="91">
        <f t="shared" si="1"/>
        <v>0</v>
      </c>
      <c r="AY10" s="91">
        <f t="shared" ref="AY10:AY21" si="7">SUM(AT10:AX10)</f>
        <v>0</v>
      </c>
      <c r="AZ10" s="110"/>
      <c r="BA10" s="110"/>
      <c r="BC10" s="110"/>
      <c r="BD10" s="110"/>
      <c r="BE10" s="110"/>
      <c r="BF10" s="110"/>
      <c r="BG10" s="110"/>
      <c r="BH10" s="110"/>
      <c r="BI10" s="110"/>
      <c r="BJ10" s="110"/>
      <c r="BK10" s="105"/>
      <c r="BL10" s="91">
        <f t="shared" si="2"/>
        <v>0</v>
      </c>
      <c r="BM10" s="91">
        <f t="shared" si="3"/>
        <v>0</v>
      </c>
      <c r="BN10" s="91">
        <f t="shared" si="4"/>
        <v>0</v>
      </c>
      <c r="BO10" s="91">
        <f t="shared" si="5"/>
        <v>0</v>
      </c>
      <c r="BP10" s="91">
        <f t="shared" si="6"/>
        <v>0</v>
      </c>
      <c r="BQ10" s="91">
        <f t="shared" ref="BQ10:BQ21" si="8">SUM(BL10:BP10)</f>
        <v>0</v>
      </c>
      <c r="BR10" s="110"/>
      <c r="BS10" s="110"/>
    </row>
    <row r="11" spans="1:71" s="136" customFormat="1">
      <c r="A11" s="133" t="str">
        <f>IF(OR('Project Info'!$D$15=Menus!K7,'Project Info'!$D$15=Menus!K9),IF('Code BL'!G12=0," ",_xlfn.CONCAT(A10," BPF"))," ")</f>
        <v xml:space="preserve"> </v>
      </c>
      <c r="B11" s="134">
        <f>IFERROR(INDEX('RefTable BPF'!$Y$6:$Y$14,MATCH('Project Info'!$D$6,'RefTable BPF'!$B$6:$B$14,0)),1)</f>
        <v>0.54</v>
      </c>
      <c r="C11" s="135">
        <f>C$10*IF(C$6="No",Calculations!$B$11,1)</f>
        <v>0</v>
      </c>
      <c r="D11" s="135">
        <f>D$10*IF(D$6="No",Calculations!$B$11,1)</f>
        <v>0</v>
      </c>
      <c r="E11" s="135">
        <f>E$10*IF(E$6="No",Calculations!$B$11,1)</f>
        <v>0</v>
      </c>
      <c r="F11" s="135">
        <f>F$10*IF(F$6="No",Calculations!$B$11,1)</f>
        <v>0</v>
      </c>
      <c r="G11" s="135">
        <f>G$10*IF(G$6="No",Calculations!$B$11,1)</f>
        <v>0</v>
      </c>
      <c r="H11" s="135">
        <f>H$10*IF(H$6="No",Calculations!$B$11,1)</f>
        <v>0</v>
      </c>
      <c r="I11" s="135">
        <f>I$10*IF(I$6="No",Calculations!$B$11,1)</f>
        <v>0</v>
      </c>
      <c r="J11" s="135">
        <f>J$10*IF(J$6="No",Calculations!$B$11,1)</f>
        <v>0</v>
      </c>
      <c r="K11" s="135">
        <f>K$10*IF(K$6="No",Calculations!$B$11,1)</f>
        <v>0</v>
      </c>
      <c r="L11" s="135">
        <f>L$10*IF(L$6="No",Calculations!$B$11,1)</f>
        <v>0</v>
      </c>
      <c r="M11" s="135">
        <f>M$10*IF(M$6="No",Calculations!$B$11,1)</f>
        <v>0</v>
      </c>
      <c r="N11" s="135">
        <f>N$10*IF(N$6="No",Calculations!$B$11,1)</f>
        <v>0</v>
      </c>
      <c r="O11" s="135">
        <f>O$10*IF(O$6="No",Calculations!$B$11,1)</f>
        <v>0</v>
      </c>
      <c r="P11" s="135">
        <f>P$10*IF(P$6="No",Calculations!$B$11,1)</f>
        <v>0</v>
      </c>
      <c r="Q11" s="135">
        <f>Q$10*IF(Q$6="No",Calculations!$B$11,1)</f>
        <v>0</v>
      </c>
      <c r="R11" s="135">
        <f>R$10*IF(R$6="No",Calculations!$B$11,1)</f>
        <v>0</v>
      </c>
      <c r="S11" s="135">
        <f>S$10*IF(S$6="No",Calculations!$B$11,1)</f>
        <v>0</v>
      </c>
      <c r="T11" s="135">
        <f>T$10*IF(T$6="No",Calculations!$B$11,1)</f>
        <v>0</v>
      </c>
      <c r="U11" s="135">
        <f>U$10*IF(U$6="No",Calculations!$B$11,1)</f>
        <v>0</v>
      </c>
      <c r="V11" s="135">
        <f>V$10*IF(V$6="No",Calculations!$B$11,1)</f>
        <v>0</v>
      </c>
      <c r="W11" s="135">
        <f>W$10*IF(W$6="No",Calculations!$B$11,1)</f>
        <v>0</v>
      </c>
      <c r="X11" s="135">
        <f>X$10*IF(X$6="No",Calculations!$B$11,1)</f>
        <v>0</v>
      </c>
      <c r="Y11" s="135">
        <f>Y$10*IF(Y$6="No",Calculations!$B$11,1)</f>
        <v>0</v>
      </c>
      <c r="Z11" s="135">
        <f>Z$10*IF(Z$6="No",Calculations!$B$11,1)</f>
        <v>0</v>
      </c>
      <c r="AA11" s="135">
        <f>AA$10*IF(AA$6="No",Calculations!$B$11,1)</f>
        <v>0</v>
      </c>
      <c r="AC11" s="135">
        <f t="shared" si="0"/>
        <v>0</v>
      </c>
      <c r="AD11" s="135">
        <f t="shared" si="0"/>
        <v>0</v>
      </c>
      <c r="AE11" s="135">
        <f t="shared" si="0"/>
        <v>0</v>
      </c>
      <c r="AF11" s="135">
        <f t="shared" si="0"/>
        <v>0</v>
      </c>
      <c r="AG11" s="135">
        <f t="shared" si="0"/>
        <v>0</v>
      </c>
      <c r="AH11" s="135">
        <f t="shared" si="0"/>
        <v>0</v>
      </c>
      <c r="AI11" s="135">
        <f t="shared" si="0"/>
        <v>0</v>
      </c>
      <c r="AJ11" s="135">
        <f t="shared" si="0"/>
        <v>0</v>
      </c>
      <c r="AK11" s="135">
        <f t="shared" si="0"/>
        <v>0</v>
      </c>
      <c r="AL11" s="135">
        <f t="shared" si="0"/>
        <v>0</v>
      </c>
      <c r="AM11" s="135">
        <f t="shared" si="0"/>
        <v>0</v>
      </c>
      <c r="AN11" s="135">
        <f t="shared" si="0"/>
        <v>0</v>
      </c>
      <c r="AO11" s="135">
        <f t="shared" si="0"/>
        <v>0</v>
      </c>
      <c r="AP11" s="135">
        <f t="shared" si="0"/>
        <v>0</v>
      </c>
      <c r="AQ11" s="135">
        <f t="shared" si="0"/>
        <v>0</v>
      </c>
      <c r="AR11" s="135">
        <f t="shared" si="0"/>
        <v>0</v>
      </c>
      <c r="AT11" s="135">
        <f t="shared" si="1"/>
        <v>0</v>
      </c>
      <c r="AU11" s="135">
        <f t="shared" si="1"/>
        <v>0</v>
      </c>
      <c r="AV11" s="135">
        <f t="shared" si="1"/>
        <v>0</v>
      </c>
      <c r="AW11" s="135">
        <f t="shared" si="1"/>
        <v>0</v>
      </c>
      <c r="AX11" s="135">
        <f t="shared" si="1"/>
        <v>0</v>
      </c>
      <c r="AY11" s="135">
        <f>SUM(AT11:AX11)</f>
        <v>0</v>
      </c>
      <c r="AZ11" s="137"/>
      <c r="BA11" s="137"/>
      <c r="BC11" s="137"/>
      <c r="BD11" s="137"/>
      <c r="BE11" s="137"/>
      <c r="BF11" s="137"/>
      <c r="BG11" s="137"/>
      <c r="BH11" s="137"/>
      <c r="BI11" s="137"/>
      <c r="BJ11" s="137"/>
      <c r="BK11" s="134"/>
      <c r="BL11" s="135">
        <f>AT11-(SUMIF($BC$5:$BH$5,"="&amp;BL$5,$BC11:$BH11))</f>
        <v>0</v>
      </c>
      <c r="BM11" s="135">
        <f>AU11-(SUMIF($BC$5:$BH$5,"="&amp;BM$5,$BC11:$BH11))</f>
        <v>0</v>
      </c>
      <c r="BN11" s="135">
        <f>AV11-(SUMIF($BC$5:$BH$5,"="&amp;BN$5,$BC11:$BH11))</f>
        <v>0</v>
      </c>
      <c r="BO11" s="135">
        <f>AW11-(SUMIF($BC$5:$BH$5,"="&amp;BO$5,$BC11:$BH11))</f>
        <v>0</v>
      </c>
      <c r="BP11" s="135">
        <f>AX11-(SUMIF($BC$5:$BH$5,"="&amp;BP$5,$BC11:$BH11))</f>
        <v>0</v>
      </c>
      <c r="BQ11" s="135">
        <f>SUM(BL11:BP11)</f>
        <v>0</v>
      </c>
      <c r="BR11" s="137"/>
      <c r="BS11" s="137"/>
    </row>
    <row r="12" spans="1:71">
      <c r="A12" s="105" t="str">
        <f>IF(Proposed!G12=0," ",Proposed!G12)</f>
        <v>Proposed Design</v>
      </c>
      <c r="B12" s="108"/>
      <c r="C12" s="131">
        <f>Proposed!C19*$E$8</f>
        <v>38337.231999999996</v>
      </c>
      <c r="D12" s="131">
        <f>Proposed!D19*$E$8</f>
        <v>0</v>
      </c>
      <c r="E12" s="131">
        <f>Proposed!E19*$E$8</f>
        <v>0</v>
      </c>
      <c r="F12" s="131">
        <f>Proposed!F19*$E$8</f>
        <v>0</v>
      </c>
      <c r="G12" s="131">
        <f>Proposed!G19*$E$8</f>
        <v>142882.61800000002</v>
      </c>
      <c r="H12" s="131">
        <f>Proposed!H19*$E$8</f>
        <v>0</v>
      </c>
      <c r="I12" s="131">
        <f>Proposed!I19*$E$8</f>
        <v>153372.81200000001</v>
      </c>
      <c r="J12" s="131">
        <f>Proposed!J19*$E$8</f>
        <v>0</v>
      </c>
      <c r="K12" s="131">
        <f>Proposed!K19*$E$8</f>
        <v>180081.948</v>
      </c>
      <c r="L12" s="131">
        <f>Proposed!L19*$E$8</f>
        <v>0</v>
      </c>
      <c r="M12" s="131">
        <f>Proposed!M19*$E$8</f>
        <v>0</v>
      </c>
      <c r="N12" s="131">
        <f>Proposed!N19*$E$8</f>
        <v>0</v>
      </c>
      <c r="O12" s="131">
        <f>Proposed!O19*$E$8</f>
        <v>174795.90700000001</v>
      </c>
      <c r="P12" s="131">
        <f>Proposed!P19*$E$8</f>
        <v>0</v>
      </c>
      <c r="Q12" s="131">
        <f>Proposed!Q19*$E$8</f>
        <v>0</v>
      </c>
      <c r="R12" s="131">
        <f>Proposed!R19*$E$8</f>
        <v>0</v>
      </c>
      <c r="S12" s="131">
        <f>Proposed!S19*$E$8</f>
        <v>0</v>
      </c>
      <c r="T12" s="131">
        <f>Proposed!T19*$E$8</f>
        <v>0</v>
      </c>
      <c r="U12" s="131">
        <f>Proposed!U19*$E$8</f>
        <v>0</v>
      </c>
      <c r="V12" s="131">
        <f>Proposed!V19*$E$8</f>
        <v>0</v>
      </c>
      <c r="W12" s="131">
        <f>Proposed!W19*$E$8</f>
        <v>0</v>
      </c>
      <c r="X12" s="131">
        <f>Proposed!X19*$E$8</f>
        <v>0</v>
      </c>
      <c r="Y12" s="131">
        <f>Proposed!Y19*$E$8</f>
        <v>0</v>
      </c>
      <c r="Z12" s="131">
        <f>Proposed!Z19*$E$8</f>
        <v>0</v>
      </c>
      <c r="AA12" s="131">
        <f>Proposed!AA19*$E$8</f>
        <v>0</v>
      </c>
      <c r="AC12" s="131">
        <f t="shared" si="0"/>
        <v>38337.231999999996</v>
      </c>
      <c r="AD12" s="131">
        <f t="shared" si="0"/>
        <v>142882.61800000002</v>
      </c>
      <c r="AE12" s="131">
        <f t="shared" si="0"/>
        <v>153372.81200000001</v>
      </c>
      <c r="AF12" s="131">
        <f t="shared" si="0"/>
        <v>0</v>
      </c>
      <c r="AG12" s="131">
        <f t="shared" si="0"/>
        <v>180081.948</v>
      </c>
      <c r="AH12" s="131">
        <f t="shared" si="0"/>
        <v>0</v>
      </c>
      <c r="AI12" s="131">
        <f t="shared" si="0"/>
        <v>174795.90700000001</v>
      </c>
      <c r="AJ12" s="131">
        <f t="shared" si="0"/>
        <v>0</v>
      </c>
      <c r="AK12" s="131">
        <f t="shared" si="0"/>
        <v>0</v>
      </c>
      <c r="AL12" s="131">
        <f t="shared" si="0"/>
        <v>0</v>
      </c>
      <c r="AM12" s="131">
        <f t="shared" si="0"/>
        <v>0</v>
      </c>
      <c r="AN12" s="131">
        <f t="shared" si="0"/>
        <v>0</v>
      </c>
      <c r="AO12" s="131">
        <f t="shared" si="0"/>
        <v>0</v>
      </c>
      <c r="AP12" s="131">
        <f t="shared" si="0"/>
        <v>0</v>
      </c>
      <c r="AQ12" s="131">
        <f t="shared" si="0"/>
        <v>0</v>
      </c>
      <c r="AR12" s="131">
        <f t="shared" si="0"/>
        <v>0</v>
      </c>
      <c r="AT12" s="131">
        <f t="shared" si="1"/>
        <v>689470.51699999999</v>
      </c>
      <c r="AU12" s="131">
        <f t="shared" si="1"/>
        <v>0</v>
      </c>
      <c r="AV12" s="131">
        <f t="shared" si="1"/>
        <v>0</v>
      </c>
      <c r="AW12" s="131">
        <f t="shared" si="1"/>
        <v>0</v>
      </c>
      <c r="AX12" s="131">
        <f t="shared" si="1"/>
        <v>0</v>
      </c>
      <c r="AY12" s="131">
        <f t="shared" si="7"/>
        <v>689470.51699999999</v>
      </c>
      <c r="AZ12" s="132">
        <f>IFERROR(1-($AY12/$AY$9),0)</f>
        <v>0</v>
      </c>
      <c r="BA12" s="132">
        <f>IFERROR(1-($AY12/$AY$10),0)</f>
        <v>0</v>
      </c>
      <c r="BC12" s="131">
        <f>IFERROR(Proposed!U$11*INDEX(Conversions!$C$6:$I$12,MATCH('Project Info'!$I$6,Conversions!$B$6:$B$12,0),MATCH(Proposed!U$12,Conversions!$C$5:$I$5,0)),0)</f>
        <v>0</v>
      </c>
      <c r="BD12" s="131">
        <f>IFERROR(Proposed!V$11*INDEX(Conversions!$C$6:$I$12,MATCH('Project Info'!$I$6,Conversions!$B$6:$B$12,0),MATCH(Proposed!V$12,Conversions!$C$5:$I$5,0)),0)</f>
        <v>0</v>
      </c>
      <c r="BE12" s="131">
        <f>IFERROR(IF(T12=MAX($T12:$W12),Proposed!$W$11*INDEX(Conversions!$C$6:$I$12,MATCH('Project Info'!$I$6,Conversions!$B$6:$B$12,0),MATCH(Proposed!$V$12,Conversions!$C$5:$I$5,0)),0),0)</f>
        <v>0</v>
      </c>
      <c r="BF12" s="131">
        <f>IFERROR(IF(U12=MAX($T12:$W12),Proposed!$W$11*INDEX(Conversions!$C$6:$I$12,MATCH('Project Info'!$I$6,Conversions!$B$6:$B$12,0),MATCH(Proposed!$V$12,Conversions!$C$5:$I$5,0)),0),0)</f>
        <v>0</v>
      </c>
      <c r="BG12" s="131">
        <f>IFERROR(IF(V12=MAX($T12:$W12),Proposed!$W$11*INDEX(Conversions!$C$6:$I$12,MATCH('Project Info'!$I$6,Conversions!$B$6:$B$12,0),MATCH(Proposed!$V$12,Conversions!$C$5:$I$5,0)),0),0)</f>
        <v>0</v>
      </c>
      <c r="BH12" s="131">
        <f>IFERROR(IF(W12=MAX($T12:$W12),Proposed!$W$11*INDEX(Conversions!$C$6:$I$12,MATCH('Project Info'!$I$6,Conversions!$B$6:$B$12,0),MATCH(Proposed!$V$12,Conversions!$C$5:$I$5,0)),0),0)</f>
        <v>0</v>
      </c>
      <c r="BI12" s="131">
        <f>SUM(BC12:BH12)</f>
        <v>0</v>
      </c>
      <c r="BJ12" s="132">
        <f>IFERROR(BI12/AY12,0)</f>
        <v>0</v>
      </c>
      <c r="BK12" s="105"/>
      <c r="BL12" s="131">
        <f t="shared" si="2"/>
        <v>689470.51699999999</v>
      </c>
      <c r="BM12" s="131">
        <f t="shared" si="3"/>
        <v>0</v>
      </c>
      <c r="BN12" s="131">
        <f t="shared" si="4"/>
        <v>0</v>
      </c>
      <c r="BO12" s="131">
        <f t="shared" si="5"/>
        <v>0</v>
      </c>
      <c r="BP12" s="131">
        <f t="shared" si="6"/>
        <v>0</v>
      </c>
      <c r="BQ12" s="131">
        <f t="shared" si="8"/>
        <v>689470.51699999999</v>
      </c>
      <c r="BR12" s="132">
        <f>IFERROR(1-($BQ12/$BQ$9),0)</f>
        <v>0</v>
      </c>
      <c r="BS12" s="132">
        <f>IFERROR(1-($BQ12/$BQ$10),0)</f>
        <v>0</v>
      </c>
    </row>
    <row r="13" spans="1:71">
      <c r="A13" s="105" t="str">
        <f>IF(Proposed!G26=0," ",Proposed!G26)</f>
        <v xml:space="preserve"> </v>
      </c>
      <c r="B13" s="105"/>
      <c r="C13" s="91">
        <f>Proposed!C33*$E$8</f>
        <v>0</v>
      </c>
      <c r="D13" s="91">
        <f>Proposed!D33*$E$8</f>
        <v>0</v>
      </c>
      <c r="E13" s="91">
        <f>Proposed!E33*$E$8</f>
        <v>0</v>
      </c>
      <c r="F13" s="91">
        <f>Proposed!F33*$E$8</f>
        <v>0</v>
      </c>
      <c r="G13" s="91">
        <f>Proposed!G33*$E$8</f>
        <v>0</v>
      </c>
      <c r="H13" s="91">
        <f>Proposed!H33*$E$8</f>
        <v>0</v>
      </c>
      <c r="I13" s="91">
        <f>Proposed!I33*$E$8</f>
        <v>0</v>
      </c>
      <c r="J13" s="91">
        <f>Proposed!J33*$E$8</f>
        <v>0</v>
      </c>
      <c r="K13" s="91">
        <f>Proposed!K33*$E$8</f>
        <v>0</v>
      </c>
      <c r="L13" s="91">
        <f>Proposed!L33*$E$8</f>
        <v>0</v>
      </c>
      <c r="M13" s="91">
        <f>Proposed!M33*$E$8</f>
        <v>0</v>
      </c>
      <c r="N13" s="91">
        <f>Proposed!N33*$E$8</f>
        <v>0</v>
      </c>
      <c r="O13" s="91">
        <f>Proposed!O33*$E$8</f>
        <v>0</v>
      </c>
      <c r="P13" s="91">
        <f>Proposed!P33*$E$8</f>
        <v>0</v>
      </c>
      <c r="Q13" s="91">
        <f>Proposed!Q33*$E$8</f>
        <v>0</v>
      </c>
      <c r="R13" s="91">
        <f>Proposed!R33*$E$8</f>
        <v>0</v>
      </c>
      <c r="S13" s="91">
        <f>Proposed!S33*$E$8</f>
        <v>0</v>
      </c>
      <c r="T13" s="91">
        <f>Proposed!T33*$E$8</f>
        <v>0</v>
      </c>
      <c r="U13" s="91">
        <f>Proposed!U33*$E$8</f>
        <v>0</v>
      </c>
      <c r="V13" s="91">
        <f>Proposed!V33*$E$8</f>
        <v>0</v>
      </c>
      <c r="W13" s="91">
        <f>Proposed!W33*$E$8</f>
        <v>0</v>
      </c>
      <c r="X13" s="91">
        <f>Proposed!X33*$E$8</f>
        <v>0</v>
      </c>
      <c r="Y13" s="91">
        <f>Proposed!Y33*$E$8</f>
        <v>0</v>
      </c>
      <c r="Z13" s="91">
        <f>Proposed!Z33*$E$8</f>
        <v>0</v>
      </c>
      <c r="AA13" s="91">
        <f>Proposed!AA33*$E$8</f>
        <v>0</v>
      </c>
      <c r="AC13" s="91">
        <f t="shared" si="0"/>
        <v>0</v>
      </c>
      <c r="AD13" s="91">
        <f t="shared" si="0"/>
        <v>0</v>
      </c>
      <c r="AE13" s="91">
        <f t="shared" si="0"/>
        <v>0</v>
      </c>
      <c r="AF13" s="91">
        <f t="shared" si="0"/>
        <v>0</v>
      </c>
      <c r="AG13" s="91">
        <f t="shared" si="0"/>
        <v>0</v>
      </c>
      <c r="AH13" s="91">
        <f t="shared" si="0"/>
        <v>0</v>
      </c>
      <c r="AI13" s="91">
        <f t="shared" si="0"/>
        <v>0</v>
      </c>
      <c r="AJ13" s="91">
        <f t="shared" si="0"/>
        <v>0</v>
      </c>
      <c r="AK13" s="91">
        <f t="shared" si="0"/>
        <v>0</v>
      </c>
      <c r="AL13" s="91">
        <f t="shared" si="0"/>
        <v>0</v>
      </c>
      <c r="AM13" s="91">
        <f t="shared" si="0"/>
        <v>0</v>
      </c>
      <c r="AN13" s="91">
        <f t="shared" si="0"/>
        <v>0</v>
      </c>
      <c r="AO13" s="91">
        <f t="shared" si="0"/>
        <v>0</v>
      </c>
      <c r="AP13" s="91">
        <f t="shared" si="0"/>
        <v>0</v>
      </c>
      <c r="AQ13" s="91">
        <f t="shared" si="0"/>
        <v>0</v>
      </c>
      <c r="AR13" s="91">
        <f t="shared" si="0"/>
        <v>0</v>
      </c>
      <c r="AT13" s="91">
        <f t="shared" si="1"/>
        <v>0</v>
      </c>
      <c r="AU13" s="91">
        <f t="shared" si="1"/>
        <v>0</v>
      </c>
      <c r="AV13" s="91">
        <f t="shared" si="1"/>
        <v>0</v>
      </c>
      <c r="AW13" s="91">
        <f t="shared" si="1"/>
        <v>0</v>
      </c>
      <c r="AX13" s="91">
        <f t="shared" si="1"/>
        <v>0</v>
      </c>
      <c r="AY13" s="91">
        <f t="shared" si="7"/>
        <v>0</v>
      </c>
      <c r="AZ13" s="132">
        <f t="shared" ref="AZ13:AZ21" si="9">IFERROR(1-($AY13/$AY$9),0)</f>
        <v>1</v>
      </c>
      <c r="BA13" s="132">
        <f t="shared" ref="BA13:BA21" si="10">IFERROR(1-($AY13/$AY$10),0)</f>
        <v>0</v>
      </c>
      <c r="BC13" s="131">
        <f>IFERROR(Proposed!U$25*INDEX(Conversions!$C$6:$I$12,MATCH('Project Info'!$I$6,Conversions!$B$6:$B$12,0),MATCH(Proposed!U$26,Conversions!$C$5:$I$5,0)),0)</f>
        <v>0</v>
      </c>
      <c r="BD13" s="131">
        <f>IFERROR(Proposed!V$25*INDEX(Conversions!$C$6:$I$12,MATCH('Project Info'!$I$6,Conversions!$B$6:$B$12,0),MATCH(Proposed!V$26,Conversions!$C$5:$I$5,0)),0)</f>
        <v>0</v>
      </c>
      <c r="BE13" s="131">
        <f>IFERROR(IF(T13=MAX($T13:$W13),Proposed!$W$25*INDEX(Conversions!$C$6:$I$12,MATCH('Project Info'!$I$6,Conversions!$B$6:$B$12,0),MATCH(Proposed!$V$26,Conversions!$C$5:$I$5,0)),0),0)</f>
        <v>0</v>
      </c>
      <c r="BF13" s="131">
        <f>IFERROR(IF(U13=MAX($T13:$W13),Proposed!$W$25*INDEX(Conversions!$C$6:$I$12,MATCH('Project Info'!$I$6,Conversions!$B$6:$B$12,0),MATCH(Proposed!$V$26,Conversions!$C$5:$I$5,0)),0),0)</f>
        <v>0</v>
      </c>
      <c r="BG13" s="131">
        <f>IFERROR(IF(V13=MAX($T13:$W13),Proposed!$W$25*INDEX(Conversions!$C$6:$I$12,MATCH('Project Info'!$I$6,Conversions!$B$6:$B$12,0),MATCH(Proposed!$V$26,Conversions!$C$5:$I$5,0)),0),0)</f>
        <v>0</v>
      </c>
      <c r="BH13" s="131">
        <f>IFERROR(IF(W13=MAX($T13:$W13),Proposed!$W$25*INDEX(Conversions!$C$6:$I$12,MATCH('Project Info'!$I$6,Conversions!$B$6:$B$12,0),MATCH(Proposed!$V$26,Conversions!$C$5:$I$5,0)),0),0)</f>
        <v>0</v>
      </c>
      <c r="BI13" s="131">
        <f t="shared" ref="BI13:BI21" si="11">SUM(BC13:BH13)</f>
        <v>0</v>
      </c>
      <c r="BJ13" s="132">
        <f t="shared" ref="BJ13:BJ21" si="12">IFERROR(BI13/AY13,0)</f>
        <v>0</v>
      </c>
      <c r="BK13" s="105"/>
      <c r="BL13" s="91">
        <f t="shared" si="2"/>
        <v>0</v>
      </c>
      <c r="BM13" s="91">
        <f t="shared" si="3"/>
        <v>0</v>
      </c>
      <c r="BN13" s="91">
        <f t="shared" si="4"/>
        <v>0</v>
      </c>
      <c r="BO13" s="91">
        <f t="shared" si="5"/>
        <v>0</v>
      </c>
      <c r="BP13" s="91">
        <f t="shared" si="6"/>
        <v>0</v>
      </c>
      <c r="BQ13" s="91">
        <f t="shared" si="8"/>
        <v>0</v>
      </c>
      <c r="BR13" s="111">
        <f t="shared" ref="BR13:BR21" si="13">IFERROR(1-($BQ13/$BQ$9),0)</f>
        <v>1</v>
      </c>
      <c r="BS13" s="111">
        <f t="shared" ref="BS13:BS21" si="14">IFERROR(1-($BQ13/$BQ$10),0)</f>
        <v>0</v>
      </c>
    </row>
    <row r="14" spans="1:71">
      <c r="A14" s="105" t="str">
        <f>IF(Proposed!G40=0," ",Proposed!G40)</f>
        <v xml:space="preserve"> </v>
      </c>
      <c r="B14" s="105"/>
      <c r="C14" s="91">
        <f>Proposed!C47*$E$8</f>
        <v>0</v>
      </c>
      <c r="D14" s="91">
        <f>Proposed!D47*$E$8</f>
        <v>0</v>
      </c>
      <c r="E14" s="91">
        <f>Proposed!E47*$E$8</f>
        <v>0</v>
      </c>
      <c r="F14" s="91">
        <f>Proposed!F47*$E$8</f>
        <v>0</v>
      </c>
      <c r="G14" s="91">
        <f>Proposed!G47*$E$8</f>
        <v>0</v>
      </c>
      <c r="H14" s="91">
        <f>Proposed!H47*$E$8</f>
        <v>0</v>
      </c>
      <c r="I14" s="91">
        <f>Proposed!I47*$E$8</f>
        <v>0</v>
      </c>
      <c r="J14" s="91">
        <f>Proposed!J47*$E$8</f>
        <v>0</v>
      </c>
      <c r="K14" s="91">
        <f>Proposed!K47*$E$8</f>
        <v>0</v>
      </c>
      <c r="L14" s="91">
        <f>Proposed!L47*$E$8</f>
        <v>0</v>
      </c>
      <c r="M14" s="91">
        <f>Proposed!M47*$E$8</f>
        <v>0</v>
      </c>
      <c r="N14" s="91">
        <f>Proposed!N47*$E$8</f>
        <v>0</v>
      </c>
      <c r="O14" s="91">
        <f>Proposed!O47*$E$8</f>
        <v>0</v>
      </c>
      <c r="P14" s="91">
        <f>Proposed!P47*$E$8</f>
        <v>0</v>
      </c>
      <c r="Q14" s="91">
        <f>Proposed!Q47*$E$8</f>
        <v>0</v>
      </c>
      <c r="R14" s="91">
        <f>Proposed!R47*$E$8</f>
        <v>0</v>
      </c>
      <c r="S14" s="91">
        <f>Proposed!S47*$E$8</f>
        <v>0</v>
      </c>
      <c r="T14" s="91">
        <f>Proposed!T47*$E$8</f>
        <v>0</v>
      </c>
      <c r="U14" s="91">
        <f>Proposed!U47*$E$8</f>
        <v>0</v>
      </c>
      <c r="V14" s="91">
        <f>Proposed!V47*$E$8</f>
        <v>0</v>
      </c>
      <c r="W14" s="91">
        <f>Proposed!W47*$E$8</f>
        <v>0</v>
      </c>
      <c r="X14" s="91">
        <f>Proposed!X47*$E$8</f>
        <v>0</v>
      </c>
      <c r="Y14" s="91">
        <f>Proposed!Y47*$E$8</f>
        <v>0</v>
      </c>
      <c r="Z14" s="91">
        <f>Proposed!Z47*$E$8</f>
        <v>0</v>
      </c>
      <c r="AA14" s="91">
        <f>Proposed!AA47*$E$8</f>
        <v>0</v>
      </c>
      <c r="AC14" s="91">
        <f t="shared" si="0"/>
        <v>0</v>
      </c>
      <c r="AD14" s="91">
        <f t="shared" si="0"/>
        <v>0</v>
      </c>
      <c r="AE14" s="91">
        <f t="shared" si="0"/>
        <v>0</v>
      </c>
      <c r="AF14" s="91">
        <f t="shared" si="0"/>
        <v>0</v>
      </c>
      <c r="AG14" s="91">
        <f t="shared" si="0"/>
        <v>0</v>
      </c>
      <c r="AH14" s="91">
        <f t="shared" si="0"/>
        <v>0</v>
      </c>
      <c r="AI14" s="91">
        <f t="shared" si="0"/>
        <v>0</v>
      </c>
      <c r="AJ14" s="91">
        <f t="shared" si="0"/>
        <v>0</v>
      </c>
      <c r="AK14" s="91">
        <f t="shared" si="0"/>
        <v>0</v>
      </c>
      <c r="AL14" s="91">
        <f t="shared" si="0"/>
        <v>0</v>
      </c>
      <c r="AM14" s="91">
        <f t="shared" si="0"/>
        <v>0</v>
      </c>
      <c r="AN14" s="91">
        <f t="shared" si="0"/>
        <v>0</v>
      </c>
      <c r="AO14" s="91">
        <f t="shared" si="0"/>
        <v>0</v>
      </c>
      <c r="AP14" s="91">
        <f t="shared" si="0"/>
        <v>0</v>
      </c>
      <c r="AQ14" s="91">
        <f t="shared" si="0"/>
        <v>0</v>
      </c>
      <c r="AR14" s="91">
        <f t="shared" si="0"/>
        <v>0</v>
      </c>
      <c r="AT14" s="91">
        <f t="shared" si="1"/>
        <v>0</v>
      </c>
      <c r="AU14" s="91">
        <f t="shared" si="1"/>
        <v>0</v>
      </c>
      <c r="AV14" s="91">
        <f t="shared" si="1"/>
        <v>0</v>
      </c>
      <c r="AW14" s="91">
        <f t="shared" si="1"/>
        <v>0</v>
      </c>
      <c r="AX14" s="91">
        <f t="shared" si="1"/>
        <v>0</v>
      </c>
      <c r="AY14" s="91">
        <f t="shared" si="7"/>
        <v>0</v>
      </c>
      <c r="AZ14" s="132">
        <f t="shared" si="9"/>
        <v>1</v>
      </c>
      <c r="BA14" s="132">
        <f t="shared" si="10"/>
        <v>0</v>
      </c>
      <c r="BC14" s="131">
        <f>IFERROR(Proposed!U$39*INDEX(Conversions!$C$6:$I$12,MATCH('Project Info'!$I$6,Conversions!$B$6:$B$12,0),MATCH(Proposed!U$40,Conversions!$C$5:$I$5,0)),0)</f>
        <v>0</v>
      </c>
      <c r="BD14" s="131">
        <f>IFERROR(Proposed!V$39*INDEX(Conversions!$C$6:$I$12,MATCH('Project Info'!$I$6,Conversions!$B$6:$B$12,0),MATCH(Proposed!V$40,Conversions!$C$5:$I$5,0)),0)</f>
        <v>0</v>
      </c>
      <c r="BE14" s="131">
        <f>IFERROR(IF(T14=MAX($T14:$W14),Proposed!$W$39*INDEX(Conversions!$C$6:$I$12,MATCH('Project Info'!$I$6,Conversions!$B$6:$B$12,0),MATCH(Proposed!$V$40,Conversions!$C$5:$I$5,0)),0),0)</f>
        <v>0</v>
      </c>
      <c r="BF14" s="131">
        <f>IFERROR(IF(U14=MAX($T14:$W14),Proposed!$W$39*INDEX(Conversions!$C$6:$I$12,MATCH('Project Info'!$I$6,Conversions!$B$6:$B$12,0),MATCH(Proposed!$V$40,Conversions!$C$5:$I$5,0)),0),0)</f>
        <v>0</v>
      </c>
      <c r="BG14" s="131">
        <f>IFERROR(IF(V14=MAX($T14:$W14),Proposed!$W$39*INDEX(Conversions!$C$6:$I$12,MATCH('Project Info'!$I$6,Conversions!$B$6:$B$12,0),MATCH(Proposed!$V$40,Conversions!$C$5:$I$5,0)),0),0)</f>
        <v>0</v>
      </c>
      <c r="BH14" s="131">
        <f>IFERROR(IF(W14=MAX($T14:$W14),Proposed!$W$39*INDEX(Conversions!$C$6:$I$12,MATCH('Project Info'!$I$6,Conversions!$B$6:$B$12,0),MATCH(Proposed!$V$40,Conversions!$C$5:$I$5,0)),0),0)</f>
        <v>0</v>
      </c>
      <c r="BI14" s="131">
        <f t="shared" si="11"/>
        <v>0</v>
      </c>
      <c r="BJ14" s="132">
        <f t="shared" si="12"/>
        <v>0</v>
      </c>
      <c r="BK14" s="105"/>
      <c r="BL14" s="91">
        <f t="shared" si="2"/>
        <v>0</v>
      </c>
      <c r="BM14" s="91">
        <f t="shared" si="3"/>
        <v>0</v>
      </c>
      <c r="BN14" s="91">
        <f t="shared" si="4"/>
        <v>0</v>
      </c>
      <c r="BO14" s="91">
        <f t="shared" si="5"/>
        <v>0</v>
      </c>
      <c r="BP14" s="91">
        <f t="shared" si="6"/>
        <v>0</v>
      </c>
      <c r="BQ14" s="91">
        <f t="shared" si="8"/>
        <v>0</v>
      </c>
      <c r="BR14" s="111">
        <f t="shared" si="13"/>
        <v>1</v>
      </c>
      <c r="BS14" s="111">
        <f t="shared" si="14"/>
        <v>0</v>
      </c>
    </row>
    <row r="15" spans="1:71">
      <c r="A15" s="105" t="str">
        <f>IF(Proposed!G54=0," ",Proposed!G54)</f>
        <v xml:space="preserve"> </v>
      </c>
      <c r="B15" s="105"/>
      <c r="C15" s="91">
        <f>Proposed!C61*$E$8</f>
        <v>0</v>
      </c>
      <c r="D15" s="91">
        <f>Proposed!D61*$E$8</f>
        <v>0</v>
      </c>
      <c r="E15" s="91">
        <f>Proposed!E61*$E$8</f>
        <v>0</v>
      </c>
      <c r="F15" s="91">
        <f>Proposed!F61*$E$8</f>
        <v>0</v>
      </c>
      <c r="G15" s="91">
        <f>Proposed!G61*$E$8</f>
        <v>0</v>
      </c>
      <c r="H15" s="91">
        <f>Proposed!H61*$E$8</f>
        <v>0</v>
      </c>
      <c r="I15" s="91">
        <f>Proposed!I61*$E$8</f>
        <v>0</v>
      </c>
      <c r="J15" s="91">
        <f>Proposed!J61*$E$8</f>
        <v>0</v>
      </c>
      <c r="K15" s="91">
        <f>Proposed!K61*$E$8</f>
        <v>0</v>
      </c>
      <c r="L15" s="91">
        <f>Proposed!L61*$E$8</f>
        <v>0</v>
      </c>
      <c r="M15" s="91">
        <f>Proposed!M61*$E$8</f>
        <v>0</v>
      </c>
      <c r="N15" s="91">
        <f>Proposed!N61*$E$8</f>
        <v>0</v>
      </c>
      <c r="O15" s="91">
        <f>Proposed!O61*$E$8</f>
        <v>0</v>
      </c>
      <c r="P15" s="91">
        <f>Proposed!P61*$E$8</f>
        <v>0</v>
      </c>
      <c r="Q15" s="91">
        <f>Proposed!Q61*$E$8</f>
        <v>0</v>
      </c>
      <c r="R15" s="91">
        <f>Proposed!R61*$E$8</f>
        <v>0</v>
      </c>
      <c r="S15" s="91">
        <f>Proposed!S61*$E$8</f>
        <v>0</v>
      </c>
      <c r="T15" s="91">
        <f>Proposed!T61*$E$8</f>
        <v>0</v>
      </c>
      <c r="U15" s="91">
        <f>Proposed!U61*$E$8</f>
        <v>0</v>
      </c>
      <c r="V15" s="91">
        <f>Proposed!V61*$E$8</f>
        <v>0</v>
      </c>
      <c r="W15" s="91">
        <f>Proposed!W61*$E$8</f>
        <v>0</v>
      </c>
      <c r="X15" s="91">
        <f>Proposed!X61*$E$8</f>
        <v>0</v>
      </c>
      <c r="Y15" s="91">
        <f>Proposed!Y61*$E$8</f>
        <v>0</v>
      </c>
      <c r="Z15" s="91">
        <f>Proposed!Z61*$E$8</f>
        <v>0</v>
      </c>
      <c r="AA15" s="91">
        <f>Proposed!AA61*$E$8</f>
        <v>0</v>
      </c>
      <c r="AC15" s="91">
        <f t="shared" si="0"/>
        <v>0</v>
      </c>
      <c r="AD15" s="91">
        <f t="shared" si="0"/>
        <v>0</v>
      </c>
      <c r="AE15" s="91">
        <f t="shared" si="0"/>
        <v>0</v>
      </c>
      <c r="AF15" s="91">
        <f t="shared" si="0"/>
        <v>0</v>
      </c>
      <c r="AG15" s="91">
        <f t="shared" si="0"/>
        <v>0</v>
      </c>
      <c r="AH15" s="91">
        <f t="shared" si="0"/>
        <v>0</v>
      </c>
      <c r="AI15" s="91">
        <f t="shared" si="0"/>
        <v>0</v>
      </c>
      <c r="AJ15" s="91">
        <f t="shared" si="0"/>
        <v>0</v>
      </c>
      <c r="AK15" s="91">
        <f t="shared" si="0"/>
        <v>0</v>
      </c>
      <c r="AL15" s="91">
        <f t="shared" si="0"/>
        <v>0</v>
      </c>
      <c r="AM15" s="91">
        <f t="shared" si="0"/>
        <v>0</v>
      </c>
      <c r="AN15" s="91">
        <f t="shared" si="0"/>
        <v>0</v>
      </c>
      <c r="AO15" s="91">
        <f t="shared" si="0"/>
        <v>0</v>
      </c>
      <c r="AP15" s="91">
        <f t="shared" si="0"/>
        <v>0</v>
      </c>
      <c r="AQ15" s="91">
        <f t="shared" si="0"/>
        <v>0</v>
      </c>
      <c r="AR15" s="91">
        <f t="shared" si="0"/>
        <v>0</v>
      </c>
      <c r="AT15" s="91">
        <f t="shared" si="1"/>
        <v>0</v>
      </c>
      <c r="AU15" s="91">
        <f t="shared" si="1"/>
        <v>0</v>
      </c>
      <c r="AV15" s="91">
        <f t="shared" si="1"/>
        <v>0</v>
      </c>
      <c r="AW15" s="91">
        <f t="shared" si="1"/>
        <v>0</v>
      </c>
      <c r="AX15" s="91">
        <f t="shared" si="1"/>
        <v>0</v>
      </c>
      <c r="AY15" s="91">
        <f t="shared" si="7"/>
        <v>0</v>
      </c>
      <c r="AZ15" s="132">
        <f t="shared" si="9"/>
        <v>1</v>
      </c>
      <c r="BA15" s="132">
        <f t="shared" si="10"/>
        <v>0</v>
      </c>
      <c r="BC15" s="131">
        <f>IFERROR(Proposed!U$53*INDEX(Conversions!$C$6:$I$12,MATCH('Project Info'!$I$6,Conversions!$B$6:$B$12,0),MATCH(Proposed!U$54,Conversions!$C$5:$I$5,0)),0)</f>
        <v>0</v>
      </c>
      <c r="BD15" s="131">
        <f>IFERROR(Proposed!V$53*INDEX(Conversions!$C$6:$I$12,MATCH('Project Info'!$I$6,Conversions!$B$6:$B$12,0),MATCH(Proposed!V$54,Conversions!$C$5:$I$5,0)),0)</f>
        <v>0</v>
      </c>
      <c r="BE15" s="131">
        <f>IFERROR(IF(T15=MAX($T15:$W15),Proposed!$W$53*INDEX(Conversions!$C$6:$I$12,MATCH('Project Info'!$I$6,Conversions!$B$6:$B$12,0),MATCH(Proposed!$V$54,Conversions!$C$5:$I$5,0)),0),0)</f>
        <v>0</v>
      </c>
      <c r="BF15" s="131">
        <f>IFERROR(IF(U15=MAX($T15:$W15),Proposed!$W$53*INDEX(Conversions!$C$6:$I$12,MATCH('Project Info'!$I$6,Conversions!$B$6:$B$12,0),MATCH(Proposed!$V$54,Conversions!$C$5:$I$5,0)),0),0)</f>
        <v>0</v>
      </c>
      <c r="BG15" s="131">
        <f>IFERROR(IF(V15=MAX($T15:$W15),Proposed!$W$53*INDEX(Conversions!$C$6:$I$12,MATCH('Project Info'!$I$6,Conversions!$B$6:$B$12,0),MATCH(Proposed!$V$54,Conversions!$C$5:$I$5,0)),0),0)</f>
        <v>0</v>
      </c>
      <c r="BH15" s="131">
        <f>IFERROR(IF(W15=MAX($T15:$W15),Proposed!$W$53*INDEX(Conversions!$C$6:$I$12,MATCH('Project Info'!$I$6,Conversions!$B$6:$B$12,0),MATCH(Proposed!$V$54,Conversions!$C$5:$I$5,0)),0),0)</f>
        <v>0</v>
      </c>
      <c r="BI15" s="131">
        <f t="shared" si="11"/>
        <v>0</v>
      </c>
      <c r="BJ15" s="132">
        <f t="shared" si="12"/>
        <v>0</v>
      </c>
      <c r="BK15" s="105"/>
      <c r="BL15" s="91">
        <f t="shared" si="2"/>
        <v>0</v>
      </c>
      <c r="BM15" s="91">
        <f t="shared" si="3"/>
        <v>0</v>
      </c>
      <c r="BN15" s="91">
        <f t="shared" si="4"/>
        <v>0</v>
      </c>
      <c r="BO15" s="91">
        <f t="shared" si="5"/>
        <v>0</v>
      </c>
      <c r="BP15" s="91">
        <f t="shared" si="6"/>
        <v>0</v>
      </c>
      <c r="BQ15" s="91">
        <f t="shared" si="8"/>
        <v>0</v>
      </c>
      <c r="BR15" s="111">
        <f t="shared" si="13"/>
        <v>1</v>
      </c>
      <c r="BS15" s="111">
        <f t="shared" si="14"/>
        <v>0</v>
      </c>
    </row>
    <row r="16" spans="1:71">
      <c r="A16" s="105" t="str">
        <f>IF(Proposed!G68=0," ",Proposed!G68)</f>
        <v xml:space="preserve"> </v>
      </c>
      <c r="B16" s="105"/>
      <c r="C16" s="91">
        <f>Proposed!C75*$E$8</f>
        <v>0</v>
      </c>
      <c r="D16" s="91">
        <f>Proposed!D75*$E$8</f>
        <v>0</v>
      </c>
      <c r="E16" s="91">
        <f>Proposed!E75*$E$8</f>
        <v>0</v>
      </c>
      <c r="F16" s="91">
        <f>Proposed!F75*$E$8</f>
        <v>0</v>
      </c>
      <c r="G16" s="91">
        <f>Proposed!G75*$E$8</f>
        <v>0</v>
      </c>
      <c r="H16" s="91">
        <f>Proposed!H75*$E$8</f>
        <v>0</v>
      </c>
      <c r="I16" s="91">
        <f>Proposed!I75*$E$8</f>
        <v>0</v>
      </c>
      <c r="J16" s="91">
        <f>Proposed!J75*$E$8</f>
        <v>0</v>
      </c>
      <c r="K16" s="91">
        <f>Proposed!K75*$E$8</f>
        <v>0</v>
      </c>
      <c r="L16" s="91">
        <f>Proposed!L75*$E$8</f>
        <v>0</v>
      </c>
      <c r="M16" s="91">
        <f>Proposed!M75*$E$8</f>
        <v>0</v>
      </c>
      <c r="N16" s="91">
        <f>Proposed!N75*$E$8</f>
        <v>0</v>
      </c>
      <c r="O16" s="91">
        <f>Proposed!O75*$E$8</f>
        <v>0</v>
      </c>
      <c r="P16" s="91">
        <f>Proposed!P75*$E$8</f>
        <v>0</v>
      </c>
      <c r="Q16" s="91">
        <f>Proposed!Q75*$E$8</f>
        <v>0</v>
      </c>
      <c r="R16" s="91">
        <f>Proposed!R75*$E$8</f>
        <v>0</v>
      </c>
      <c r="S16" s="91">
        <f>Proposed!S75*$E$8</f>
        <v>0</v>
      </c>
      <c r="T16" s="91">
        <f>Proposed!T75*$E$8</f>
        <v>0</v>
      </c>
      <c r="U16" s="91">
        <f>Proposed!U75*$E$8</f>
        <v>0</v>
      </c>
      <c r="V16" s="91">
        <f>Proposed!V75*$E$8</f>
        <v>0</v>
      </c>
      <c r="W16" s="91">
        <f>Proposed!W75*$E$8</f>
        <v>0</v>
      </c>
      <c r="X16" s="91">
        <f>Proposed!X75*$E$8</f>
        <v>0</v>
      </c>
      <c r="Y16" s="91">
        <f>Proposed!Y75*$E$8</f>
        <v>0</v>
      </c>
      <c r="Z16" s="91">
        <f>Proposed!Z75*$E$8</f>
        <v>0</v>
      </c>
      <c r="AA16" s="91">
        <f>Proposed!AA75*$E$8</f>
        <v>0</v>
      </c>
      <c r="AC16" s="91">
        <f t="shared" si="0"/>
        <v>0</v>
      </c>
      <c r="AD16" s="91">
        <f t="shared" si="0"/>
        <v>0</v>
      </c>
      <c r="AE16" s="91">
        <f t="shared" si="0"/>
        <v>0</v>
      </c>
      <c r="AF16" s="91">
        <f t="shared" si="0"/>
        <v>0</v>
      </c>
      <c r="AG16" s="91">
        <f t="shared" si="0"/>
        <v>0</v>
      </c>
      <c r="AH16" s="91">
        <f t="shared" si="0"/>
        <v>0</v>
      </c>
      <c r="AI16" s="91">
        <f t="shared" si="0"/>
        <v>0</v>
      </c>
      <c r="AJ16" s="91">
        <f t="shared" si="0"/>
        <v>0</v>
      </c>
      <c r="AK16" s="91">
        <f t="shared" si="0"/>
        <v>0</v>
      </c>
      <c r="AL16" s="91">
        <f t="shared" si="0"/>
        <v>0</v>
      </c>
      <c r="AM16" s="91">
        <f t="shared" si="0"/>
        <v>0</v>
      </c>
      <c r="AN16" s="91">
        <f t="shared" si="0"/>
        <v>0</v>
      </c>
      <c r="AO16" s="91">
        <f t="shared" si="0"/>
        <v>0</v>
      </c>
      <c r="AP16" s="91">
        <f t="shared" si="0"/>
        <v>0</v>
      </c>
      <c r="AQ16" s="91">
        <f t="shared" si="0"/>
        <v>0</v>
      </c>
      <c r="AR16" s="91">
        <f t="shared" si="0"/>
        <v>0</v>
      </c>
      <c r="AT16" s="91">
        <f t="shared" si="1"/>
        <v>0</v>
      </c>
      <c r="AU16" s="91">
        <f t="shared" si="1"/>
        <v>0</v>
      </c>
      <c r="AV16" s="91">
        <f t="shared" si="1"/>
        <v>0</v>
      </c>
      <c r="AW16" s="91">
        <f t="shared" si="1"/>
        <v>0</v>
      </c>
      <c r="AX16" s="91">
        <f t="shared" si="1"/>
        <v>0</v>
      </c>
      <c r="AY16" s="91">
        <f t="shared" si="7"/>
        <v>0</v>
      </c>
      <c r="AZ16" s="132">
        <f t="shared" si="9"/>
        <v>1</v>
      </c>
      <c r="BA16" s="132">
        <f t="shared" si="10"/>
        <v>0</v>
      </c>
      <c r="BC16" s="131">
        <f>IFERROR(Proposed!U$67*INDEX(Conversions!$C$6:$I$12,MATCH('Project Info'!$I$6,Conversions!$B$6:$B$12,0),MATCH(Proposed!U$68,Conversions!$C$5:$I$5,0)),0)</f>
        <v>0</v>
      </c>
      <c r="BD16" s="131">
        <f>IFERROR(Proposed!V$67*INDEX(Conversions!$C$6:$I$12,MATCH('Project Info'!$I$6,Conversions!$B$6:$B$12,0),MATCH(Proposed!V$68,Conversions!$C$5:$I$5,0)),0)</f>
        <v>0</v>
      </c>
      <c r="BE16" s="131">
        <f>IFERROR(IF(T16=MAX($T16:$W16),Proposed!$W$67*INDEX(Conversions!$C$6:$I$12,MATCH('Project Info'!$I$6,Conversions!$B$6:$B$12,0),MATCH(Proposed!$V$68,Conversions!$C$5:$I$5,0)),0),0)</f>
        <v>0</v>
      </c>
      <c r="BF16" s="131">
        <f>IFERROR(IF(U16=MAX($T16:$W16),Proposed!$W$67*INDEX(Conversions!$C$6:$I$12,MATCH('Project Info'!$I$6,Conversions!$B$6:$B$12,0),MATCH(Proposed!$V$68,Conversions!$C$5:$I$5,0)),0),0)</f>
        <v>0</v>
      </c>
      <c r="BG16" s="131">
        <f>IFERROR(IF(V16=MAX($T16:$W16),Proposed!$W$67*INDEX(Conversions!$C$6:$I$12,MATCH('Project Info'!$I$6,Conversions!$B$6:$B$12,0),MATCH(Proposed!$V$68,Conversions!$C$5:$I$5,0)),0),0)</f>
        <v>0</v>
      </c>
      <c r="BH16" s="131">
        <f>IFERROR(IF(W16=MAX($T16:$W16),Proposed!$W$67*INDEX(Conversions!$C$6:$I$12,MATCH('Project Info'!$I$6,Conversions!$B$6:$B$12,0),MATCH(Proposed!$V$68,Conversions!$C$5:$I$5,0)),0),0)</f>
        <v>0</v>
      </c>
      <c r="BI16" s="131">
        <f t="shared" si="11"/>
        <v>0</v>
      </c>
      <c r="BJ16" s="132">
        <f t="shared" si="12"/>
        <v>0</v>
      </c>
      <c r="BK16" s="105"/>
      <c r="BL16" s="91">
        <f t="shared" si="2"/>
        <v>0</v>
      </c>
      <c r="BM16" s="91">
        <f t="shared" si="3"/>
        <v>0</v>
      </c>
      <c r="BN16" s="91">
        <f t="shared" si="4"/>
        <v>0</v>
      </c>
      <c r="BO16" s="91">
        <f t="shared" si="5"/>
        <v>0</v>
      </c>
      <c r="BP16" s="91">
        <f t="shared" si="6"/>
        <v>0</v>
      </c>
      <c r="BQ16" s="91">
        <f t="shared" si="8"/>
        <v>0</v>
      </c>
      <c r="BR16" s="111">
        <f t="shared" si="13"/>
        <v>1</v>
      </c>
      <c r="BS16" s="111">
        <f t="shared" si="14"/>
        <v>0</v>
      </c>
    </row>
    <row r="17" spans="1:71">
      <c r="A17" s="105" t="str">
        <f>IF(Proposed!G82=0," ",Proposed!G82)</f>
        <v xml:space="preserve"> </v>
      </c>
      <c r="B17" s="105"/>
      <c r="C17" s="91">
        <f>Proposed!C89*$E$8</f>
        <v>0</v>
      </c>
      <c r="D17" s="91">
        <f>Proposed!D89*$E$8</f>
        <v>0</v>
      </c>
      <c r="E17" s="91">
        <f>Proposed!E89*$E$8</f>
        <v>0</v>
      </c>
      <c r="F17" s="91">
        <f>Proposed!F89*$E$8</f>
        <v>0</v>
      </c>
      <c r="G17" s="91">
        <f>Proposed!G89*$E$8</f>
        <v>0</v>
      </c>
      <c r="H17" s="91">
        <f>Proposed!H89*$E$8</f>
        <v>0</v>
      </c>
      <c r="I17" s="91">
        <f>Proposed!I89*$E$8</f>
        <v>0</v>
      </c>
      <c r="J17" s="91">
        <f>Proposed!J89*$E$8</f>
        <v>0</v>
      </c>
      <c r="K17" s="91">
        <f>Proposed!K89*$E$8</f>
        <v>0</v>
      </c>
      <c r="L17" s="91">
        <f>Proposed!L89*$E$8</f>
        <v>0</v>
      </c>
      <c r="M17" s="91">
        <f>Proposed!M89*$E$8</f>
        <v>0</v>
      </c>
      <c r="N17" s="91">
        <f>Proposed!N89*$E$8</f>
        <v>0</v>
      </c>
      <c r="O17" s="91">
        <f>Proposed!O89*$E$8</f>
        <v>0</v>
      </c>
      <c r="P17" s="91">
        <f>Proposed!P89*$E$8</f>
        <v>0</v>
      </c>
      <c r="Q17" s="91">
        <f>Proposed!Q89*$E$8</f>
        <v>0</v>
      </c>
      <c r="R17" s="91">
        <f>Proposed!R89*$E$8</f>
        <v>0</v>
      </c>
      <c r="S17" s="91">
        <f>Proposed!S89*$E$8</f>
        <v>0</v>
      </c>
      <c r="T17" s="91">
        <f>Proposed!T89*$E$8</f>
        <v>0</v>
      </c>
      <c r="U17" s="91">
        <f>Proposed!U89*$E$8</f>
        <v>0</v>
      </c>
      <c r="V17" s="91">
        <f>Proposed!V89*$E$8</f>
        <v>0</v>
      </c>
      <c r="W17" s="91">
        <f>Proposed!W89*$E$8</f>
        <v>0</v>
      </c>
      <c r="X17" s="91">
        <f>Proposed!X89*$E$8</f>
        <v>0</v>
      </c>
      <c r="Y17" s="91">
        <f>Proposed!Y89*$E$8</f>
        <v>0</v>
      </c>
      <c r="Z17" s="91">
        <f>Proposed!Z89*$E$8</f>
        <v>0</v>
      </c>
      <c r="AA17" s="91">
        <f>Proposed!AA89*$E$8</f>
        <v>0</v>
      </c>
      <c r="AC17" s="91">
        <f t="shared" si="0"/>
        <v>0</v>
      </c>
      <c r="AD17" s="91">
        <f t="shared" si="0"/>
        <v>0</v>
      </c>
      <c r="AE17" s="91">
        <f t="shared" si="0"/>
        <v>0</v>
      </c>
      <c r="AF17" s="91">
        <f t="shared" si="0"/>
        <v>0</v>
      </c>
      <c r="AG17" s="91">
        <f t="shared" si="0"/>
        <v>0</v>
      </c>
      <c r="AH17" s="91">
        <f t="shared" si="0"/>
        <v>0</v>
      </c>
      <c r="AI17" s="91">
        <f t="shared" si="0"/>
        <v>0</v>
      </c>
      <c r="AJ17" s="91">
        <f t="shared" si="0"/>
        <v>0</v>
      </c>
      <c r="AK17" s="91">
        <f t="shared" si="0"/>
        <v>0</v>
      </c>
      <c r="AL17" s="91">
        <f t="shared" si="0"/>
        <v>0</v>
      </c>
      <c r="AM17" s="91">
        <f t="shared" si="0"/>
        <v>0</v>
      </c>
      <c r="AN17" s="91">
        <f t="shared" si="0"/>
        <v>0</v>
      </c>
      <c r="AO17" s="91">
        <f t="shared" si="0"/>
        <v>0</v>
      </c>
      <c r="AP17" s="91">
        <f t="shared" si="0"/>
        <v>0</v>
      </c>
      <c r="AQ17" s="91">
        <f t="shared" si="0"/>
        <v>0</v>
      </c>
      <c r="AR17" s="91">
        <f t="shared" si="0"/>
        <v>0</v>
      </c>
      <c r="AT17" s="91">
        <f t="shared" si="1"/>
        <v>0</v>
      </c>
      <c r="AU17" s="91">
        <f t="shared" si="1"/>
        <v>0</v>
      </c>
      <c r="AV17" s="91">
        <f t="shared" si="1"/>
        <v>0</v>
      </c>
      <c r="AW17" s="91">
        <f t="shared" si="1"/>
        <v>0</v>
      </c>
      <c r="AX17" s="91">
        <f t="shared" si="1"/>
        <v>0</v>
      </c>
      <c r="AY17" s="91">
        <f t="shared" si="7"/>
        <v>0</v>
      </c>
      <c r="AZ17" s="132">
        <f t="shared" si="9"/>
        <v>1</v>
      </c>
      <c r="BA17" s="132">
        <f t="shared" si="10"/>
        <v>0</v>
      </c>
      <c r="BC17" s="131">
        <f>IFERROR(Proposed!U$81*INDEX(Conversions!$C$6:$I$12,MATCH('Project Info'!$I$6,Conversions!$B$6:$B$12,0),MATCH(Proposed!U$82,Conversions!$C$5:$I$5,0)),0)</f>
        <v>0</v>
      </c>
      <c r="BD17" s="131">
        <f>IFERROR(Proposed!V$81*INDEX(Conversions!$C$6:$I$12,MATCH('Project Info'!$I$6,Conversions!$B$6:$B$12,0),MATCH(Proposed!V$82,Conversions!$C$5:$I$5,0)),0)</f>
        <v>0</v>
      </c>
      <c r="BE17" s="131">
        <f>IFERROR(IF(T17=MAX($T17:$W17),Proposed!$W$81*INDEX(Conversions!$C$6:$I$12,MATCH('Project Info'!$I$6,Conversions!$B$6:$B$12,0),MATCH(Proposed!$V$82,Conversions!$C$5:$I$5,0)),0),0)</f>
        <v>0</v>
      </c>
      <c r="BF17" s="131">
        <f>IFERROR(IF(U17=MAX($T17:$W17),Proposed!$W$81*INDEX(Conversions!$C$6:$I$12,MATCH('Project Info'!$I$6,Conversions!$B$6:$B$12,0),MATCH(Proposed!$V$82,Conversions!$C$5:$I$5,0)),0),0)</f>
        <v>0</v>
      </c>
      <c r="BG17" s="131">
        <f>IFERROR(IF(V17=MAX($T17:$W17),Proposed!$W$81*INDEX(Conversions!$C$6:$I$12,MATCH('Project Info'!$I$6,Conversions!$B$6:$B$12,0),MATCH(Proposed!$V$82,Conversions!$C$5:$I$5,0)),0),0)</f>
        <v>0</v>
      </c>
      <c r="BH17" s="131">
        <f>IFERROR(IF(W17=MAX($T17:$W17),Proposed!$W$81*INDEX(Conversions!$C$6:$I$12,MATCH('Project Info'!$I$6,Conversions!$B$6:$B$12,0),MATCH(Proposed!$V$82,Conversions!$C$5:$I$5,0)),0),0)</f>
        <v>0</v>
      </c>
      <c r="BI17" s="131">
        <f t="shared" si="11"/>
        <v>0</v>
      </c>
      <c r="BJ17" s="132">
        <f t="shared" si="12"/>
        <v>0</v>
      </c>
      <c r="BK17" s="105"/>
      <c r="BL17" s="91">
        <f t="shared" si="2"/>
        <v>0</v>
      </c>
      <c r="BM17" s="91">
        <f t="shared" si="3"/>
        <v>0</v>
      </c>
      <c r="BN17" s="91">
        <f t="shared" si="4"/>
        <v>0</v>
      </c>
      <c r="BO17" s="91">
        <f t="shared" si="5"/>
        <v>0</v>
      </c>
      <c r="BP17" s="91">
        <f t="shared" si="6"/>
        <v>0</v>
      </c>
      <c r="BQ17" s="91">
        <f t="shared" si="8"/>
        <v>0</v>
      </c>
      <c r="BR17" s="111">
        <f t="shared" si="13"/>
        <v>1</v>
      </c>
      <c r="BS17" s="111">
        <f t="shared" si="14"/>
        <v>0</v>
      </c>
    </row>
    <row r="18" spans="1:71">
      <c r="A18" s="105" t="str">
        <f>IF(Proposed!G96=0," ",Proposed!G96)</f>
        <v xml:space="preserve"> </v>
      </c>
      <c r="B18" s="105"/>
      <c r="C18" s="91">
        <f>Proposed!C103*$E$8</f>
        <v>0</v>
      </c>
      <c r="D18" s="91">
        <f>Proposed!D103*$E$8</f>
        <v>0</v>
      </c>
      <c r="E18" s="91">
        <f>Proposed!E103*$E$8</f>
        <v>0</v>
      </c>
      <c r="F18" s="91">
        <f>Proposed!F103*$E$8</f>
        <v>0</v>
      </c>
      <c r="G18" s="91">
        <f>Proposed!G103*$E$8</f>
        <v>0</v>
      </c>
      <c r="H18" s="91">
        <f>Proposed!H103*$E$8</f>
        <v>0</v>
      </c>
      <c r="I18" s="91">
        <f>Proposed!I103*$E$8</f>
        <v>0</v>
      </c>
      <c r="J18" s="91">
        <f>Proposed!J103*$E$8</f>
        <v>0</v>
      </c>
      <c r="K18" s="91">
        <f>Proposed!K103*$E$8</f>
        <v>0</v>
      </c>
      <c r="L18" s="91">
        <f>Proposed!L103*$E$8</f>
        <v>0</v>
      </c>
      <c r="M18" s="91">
        <f>Proposed!M103*$E$8</f>
        <v>0</v>
      </c>
      <c r="N18" s="91">
        <f>Proposed!N103*$E$8</f>
        <v>0</v>
      </c>
      <c r="O18" s="91">
        <f>Proposed!O103*$E$8</f>
        <v>0</v>
      </c>
      <c r="P18" s="91">
        <f>Proposed!P103*$E$8</f>
        <v>0</v>
      </c>
      <c r="Q18" s="91">
        <f>Proposed!Q103*$E$8</f>
        <v>0</v>
      </c>
      <c r="R18" s="91">
        <f>Proposed!R103*$E$8</f>
        <v>0</v>
      </c>
      <c r="S18" s="91">
        <f>Proposed!S103*$E$8</f>
        <v>0</v>
      </c>
      <c r="T18" s="91">
        <f>Proposed!T103*$E$8</f>
        <v>0</v>
      </c>
      <c r="U18" s="91">
        <f>Proposed!U103*$E$8</f>
        <v>0</v>
      </c>
      <c r="V18" s="91">
        <f>Proposed!V103*$E$8</f>
        <v>0</v>
      </c>
      <c r="W18" s="91">
        <f>Proposed!W103*$E$8</f>
        <v>0</v>
      </c>
      <c r="X18" s="91">
        <f>Proposed!X103*$E$8</f>
        <v>0</v>
      </c>
      <c r="Y18" s="91">
        <f>Proposed!Y103*$E$8</f>
        <v>0</v>
      </c>
      <c r="Z18" s="91">
        <f>Proposed!Z103*$E$8</f>
        <v>0</v>
      </c>
      <c r="AA18" s="91">
        <f>Proposed!AA103*$E$8</f>
        <v>0</v>
      </c>
      <c r="AC18" s="91">
        <f t="shared" si="0"/>
        <v>0</v>
      </c>
      <c r="AD18" s="91">
        <f t="shared" si="0"/>
        <v>0</v>
      </c>
      <c r="AE18" s="91">
        <f t="shared" si="0"/>
        <v>0</v>
      </c>
      <c r="AF18" s="91">
        <f t="shared" si="0"/>
        <v>0</v>
      </c>
      <c r="AG18" s="91">
        <f t="shared" si="0"/>
        <v>0</v>
      </c>
      <c r="AH18" s="91">
        <f t="shared" si="0"/>
        <v>0</v>
      </c>
      <c r="AI18" s="91">
        <f t="shared" si="0"/>
        <v>0</v>
      </c>
      <c r="AJ18" s="91">
        <f t="shared" si="0"/>
        <v>0</v>
      </c>
      <c r="AK18" s="91">
        <f t="shared" si="0"/>
        <v>0</v>
      </c>
      <c r="AL18" s="91">
        <f t="shared" si="0"/>
        <v>0</v>
      </c>
      <c r="AM18" s="91">
        <f t="shared" si="0"/>
        <v>0</v>
      </c>
      <c r="AN18" s="91">
        <f t="shared" si="0"/>
        <v>0</v>
      </c>
      <c r="AO18" s="91">
        <f t="shared" si="0"/>
        <v>0</v>
      </c>
      <c r="AP18" s="91">
        <f t="shared" si="0"/>
        <v>0</v>
      </c>
      <c r="AQ18" s="91">
        <f t="shared" si="0"/>
        <v>0</v>
      </c>
      <c r="AR18" s="91">
        <f t="shared" si="0"/>
        <v>0</v>
      </c>
      <c r="AT18" s="91">
        <f t="shared" si="1"/>
        <v>0</v>
      </c>
      <c r="AU18" s="91">
        <f t="shared" si="1"/>
        <v>0</v>
      </c>
      <c r="AV18" s="91">
        <f t="shared" si="1"/>
        <v>0</v>
      </c>
      <c r="AW18" s="91">
        <f t="shared" si="1"/>
        <v>0</v>
      </c>
      <c r="AX18" s="91">
        <f t="shared" si="1"/>
        <v>0</v>
      </c>
      <c r="AY18" s="91">
        <f t="shared" si="7"/>
        <v>0</v>
      </c>
      <c r="AZ18" s="132">
        <f t="shared" si="9"/>
        <v>1</v>
      </c>
      <c r="BA18" s="132">
        <f t="shared" si="10"/>
        <v>0</v>
      </c>
      <c r="BC18" s="131">
        <f>IFERROR(Proposed!U$95*INDEX(Conversions!$C$6:$I$12,MATCH('Project Info'!$I$6,Conversions!$B$6:$B$12,0),MATCH(Proposed!U$96,Conversions!$C$5:$I$5,0)),0)</f>
        <v>0</v>
      </c>
      <c r="BD18" s="131">
        <f>IFERROR(Proposed!V$95*INDEX(Conversions!$C$6:$I$12,MATCH('Project Info'!$I$6,Conversions!$B$6:$B$12,0),MATCH(Proposed!V$96,Conversions!$C$5:$I$5,0)),0)</f>
        <v>0</v>
      </c>
      <c r="BE18" s="131">
        <f>IFERROR(IF(T18=MAX($T18:$W18),Proposed!$W$95*INDEX(Conversions!$C$6:$I$12,MATCH('Project Info'!$I$6,Conversions!$B$6:$B$12,0),MATCH(Proposed!$V$96,Conversions!$C$5:$I$5,0)),0),0)</f>
        <v>0</v>
      </c>
      <c r="BF18" s="131">
        <f>IFERROR(IF(U18=MAX($T18:$W18),Proposed!$W$95*INDEX(Conversions!$C$6:$I$12,MATCH('Project Info'!$I$6,Conversions!$B$6:$B$12,0),MATCH(Proposed!$V$96,Conversions!$C$5:$I$5,0)),0),0)</f>
        <v>0</v>
      </c>
      <c r="BG18" s="131">
        <f>IFERROR(IF(V18=MAX($T18:$W18),Proposed!$W$95*INDEX(Conversions!$C$6:$I$12,MATCH('Project Info'!$I$6,Conversions!$B$6:$B$12,0),MATCH(Proposed!$V$96,Conversions!$C$5:$I$5,0)),0),0)</f>
        <v>0</v>
      </c>
      <c r="BH18" s="131">
        <f>IFERROR(IF(W18=MAX($T18:$W18),Proposed!$W$95*INDEX(Conversions!$C$6:$I$12,MATCH('Project Info'!$I$6,Conversions!$B$6:$B$12,0),MATCH(Proposed!$V$96,Conversions!$C$5:$I$5,0)),0),0)</f>
        <v>0</v>
      </c>
      <c r="BI18" s="131">
        <f t="shared" si="11"/>
        <v>0</v>
      </c>
      <c r="BJ18" s="132">
        <f t="shared" si="12"/>
        <v>0</v>
      </c>
      <c r="BK18" s="105"/>
      <c r="BL18" s="91">
        <f t="shared" si="2"/>
        <v>0</v>
      </c>
      <c r="BM18" s="91">
        <f t="shared" si="3"/>
        <v>0</v>
      </c>
      <c r="BN18" s="91">
        <f t="shared" si="4"/>
        <v>0</v>
      </c>
      <c r="BO18" s="91">
        <f t="shared" si="5"/>
        <v>0</v>
      </c>
      <c r="BP18" s="91">
        <f t="shared" si="6"/>
        <v>0</v>
      </c>
      <c r="BQ18" s="91">
        <f t="shared" si="8"/>
        <v>0</v>
      </c>
      <c r="BR18" s="111">
        <f t="shared" si="13"/>
        <v>1</v>
      </c>
      <c r="BS18" s="111">
        <f t="shared" si="14"/>
        <v>0</v>
      </c>
    </row>
    <row r="19" spans="1:71">
      <c r="A19" s="105" t="str">
        <f>IF(Proposed!G110=0," ",Proposed!G110)</f>
        <v xml:space="preserve"> </v>
      </c>
      <c r="B19" s="105"/>
      <c r="C19" s="91">
        <f>Proposed!C117*$E$8</f>
        <v>0</v>
      </c>
      <c r="D19" s="91">
        <f>Proposed!D117*$E$8</f>
        <v>0</v>
      </c>
      <c r="E19" s="91">
        <f>Proposed!E117*$E$8</f>
        <v>0</v>
      </c>
      <c r="F19" s="91">
        <f>Proposed!F117*$E$8</f>
        <v>0</v>
      </c>
      <c r="G19" s="91">
        <f>Proposed!G117*$E$8</f>
        <v>0</v>
      </c>
      <c r="H19" s="91">
        <f>Proposed!H117*$E$8</f>
        <v>0</v>
      </c>
      <c r="I19" s="91">
        <f>Proposed!I117*$E$8</f>
        <v>0</v>
      </c>
      <c r="J19" s="91">
        <f>Proposed!J117*$E$8</f>
        <v>0</v>
      </c>
      <c r="K19" s="91">
        <f>Proposed!K117*$E$8</f>
        <v>0</v>
      </c>
      <c r="L19" s="91">
        <f>Proposed!L117*$E$8</f>
        <v>0</v>
      </c>
      <c r="M19" s="91">
        <f>Proposed!M117*$E$8</f>
        <v>0</v>
      </c>
      <c r="N19" s="91">
        <f>Proposed!N117*$E$8</f>
        <v>0</v>
      </c>
      <c r="O19" s="91">
        <f>Proposed!O117*$E$8</f>
        <v>0</v>
      </c>
      <c r="P19" s="91">
        <f>Proposed!P117*$E$8</f>
        <v>0</v>
      </c>
      <c r="Q19" s="91">
        <f>Proposed!Q117*$E$8</f>
        <v>0</v>
      </c>
      <c r="R19" s="91">
        <f>Proposed!R117*$E$8</f>
        <v>0</v>
      </c>
      <c r="S19" s="91">
        <f>Proposed!S117*$E$8</f>
        <v>0</v>
      </c>
      <c r="T19" s="91">
        <f>Proposed!T117*$E$8</f>
        <v>0</v>
      </c>
      <c r="U19" s="91">
        <f>Proposed!U117*$E$8</f>
        <v>0</v>
      </c>
      <c r="V19" s="91">
        <f>Proposed!V117*$E$8</f>
        <v>0</v>
      </c>
      <c r="W19" s="91">
        <f>Proposed!W117*$E$8</f>
        <v>0</v>
      </c>
      <c r="X19" s="91">
        <f>Proposed!X117*$E$8</f>
        <v>0</v>
      </c>
      <c r="Y19" s="91">
        <f>Proposed!Y117*$E$8</f>
        <v>0</v>
      </c>
      <c r="Z19" s="91">
        <f>Proposed!Z117*$E$8</f>
        <v>0</v>
      </c>
      <c r="AA19" s="91">
        <f>Proposed!AA117*$E$8</f>
        <v>0</v>
      </c>
      <c r="AC19" s="91">
        <f t="shared" si="0"/>
        <v>0</v>
      </c>
      <c r="AD19" s="91">
        <f t="shared" si="0"/>
        <v>0</v>
      </c>
      <c r="AE19" s="91">
        <f t="shared" si="0"/>
        <v>0</v>
      </c>
      <c r="AF19" s="91">
        <f t="shared" si="0"/>
        <v>0</v>
      </c>
      <c r="AG19" s="91">
        <f t="shared" si="0"/>
        <v>0</v>
      </c>
      <c r="AH19" s="91">
        <f t="shared" si="0"/>
        <v>0</v>
      </c>
      <c r="AI19" s="91">
        <f t="shared" si="0"/>
        <v>0</v>
      </c>
      <c r="AJ19" s="91">
        <f t="shared" si="0"/>
        <v>0</v>
      </c>
      <c r="AK19" s="91">
        <f t="shared" si="0"/>
        <v>0</v>
      </c>
      <c r="AL19" s="91">
        <f t="shared" si="0"/>
        <v>0</v>
      </c>
      <c r="AM19" s="91">
        <f t="shared" si="0"/>
        <v>0</v>
      </c>
      <c r="AN19" s="91">
        <f t="shared" si="0"/>
        <v>0</v>
      </c>
      <c r="AO19" s="91">
        <f t="shared" si="0"/>
        <v>0</v>
      </c>
      <c r="AP19" s="91">
        <f t="shared" si="0"/>
        <v>0</v>
      </c>
      <c r="AQ19" s="91">
        <f t="shared" si="0"/>
        <v>0</v>
      </c>
      <c r="AR19" s="91">
        <f t="shared" si="0"/>
        <v>0</v>
      </c>
      <c r="AT19" s="91">
        <f t="shared" si="1"/>
        <v>0</v>
      </c>
      <c r="AU19" s="91">
        <f t="shared" si="1"/>
        <v>0</v>
      </c>
      <c r="AV19" s="91">
        <f t="shared" si="1"/>
        <v>0</v>
      </c>
      <c r="AW19" s="91">
        <f t="shared" si="1"/>
        <v>0</v>
      </c>
      <c r="AX19" s="91">
        <f t="shared" si="1"/>
        <v>0</v>
      </c>
      <c r="AY19" s="91">
        <f t="shared" si="7"/>
        <v>0</v>
      </c>
      <c r="AZ19" s="132">
        <f t="shared" si="9"/>
        <v>1</v>
      </c>
      <c r="BA19" s="132">
        <f t="shared" si="10"/>
        <v>0</v>
      </c>
      <c r="BC19" s="131">
        <f>IFERROR(Proposed!U$109*INDEX(Conversions!$C$6:$I$12,MATCH('Project Info'!$I$6,Conversions!$C$6:$C$110,0),MATCH(Proposed!U$12,Conversions!$C$5:$I$5,0)),0)</f>
        <v>0</v>
      </c>
      <c r="BD19" s="131">
        <f>IFERROR(Proposed!V$109*INDEX(Conversions!$C$6:$I$12,MATCH('Project Info'!$I$6,Conversions!$C$6:$C$110,0),MATCH(Proposed!V$12,Conversions!$C$5:$I$5,0)),0)</f>
        <v>0</v>
      </c>
      <c r="BE19" s="131">
        <f>IFERROR(IF(T19=MAX($T19:$W19),Proposed!$W$109*INDEX(Conversions!$C$6:$I$12,MATCH('Project Info'!$I$6,Conversions!$B$6:$B$12,0),MATCH(Proposed!$V$110,Conversions!$C$5:$I$5,0)),0),0)</f>
        <v>0</v>
      </c>
      <c r="BF19" s="131">
        <f>IFERROR(IF(U19=MAX($T19:$W19),Proposed!$W$109*INDEX(Conversions!$C$6:$I$12,MATCH('Project Info'!$I$6,Conversions!$B$6:$B$12,0),MATCH(Proposed!$V$110,Conversions!$C$5:$I$5,0)),0),0)</f>
        <v>0</v>
      </c>
      <c r="BG19" s="131">
        <f>IFERROR(IF(V19=MAX($T19:$W19),Proposed!$W$109*INDEX(Conversions!$C$6:$I$12,MATCH('Project Info'!$I$6,Conversions!$B$6:$B$12,0),MATCH(Proposed!$V$110,Conversions!$C$5:$I$5,0)),0),0)</f>
        <v>0</v>
      </c>
      <c r="BH19" s="131">
        <f>IFERROR(IF(W19=MAX($T19:$W19),Proposed!$W$109*INDEX(Conversions!$C$6:$I$12,MATCH('Project Info'!$I$6,Conversions!$B$6:$B$12,0),MATCH(Proposed!$V$110,Conversions!$C$5:$I$5,0)),0),0)</f>
        <v>0</v>
      </c>
      <c r="BI19" s="131">
        <f t="shared" si="11"/>
        <v>0</v>
      </c>
      <c r="BJ19" s="132">
        <f t="shared" si="12"/>
        <v>0</v>
      </c>
      <c r="BK19" s="105"/>
      <c r="BL19" s="91">
        <f t="shared" si="2"/>
        <v>0</v>
      </c>
      <c r="BM19" s="91">
        <f t="shared" si="3"/>
        <v>0</v>
      </c>
      <c r="BN19" s="91">
        <f t="shared" si="4"/>
        <v>0</v>
      </c>
      <c r="BO19" s="91">
        <f t="shared" si="5"/>
        <v>0</v>
      </c>
      <c r="BP19" s="91">
        <f t="shared" si="6"/>
        <v>0</v>
      </c>
      <c r="BQ19" s="91">
        <f t="shared" si="8"/>
        <v>0</v>
      </c>
      <c r="BR19" s="111">
        <f t="shared" si="13"/>
        <v>1</v>
      </c>
      <c r="BS19" s="111">
        <f t="shared" si="14"/>
        <v>0</v>
      </c>
    </row>
    <row r="20" spans="1:71">
      <c r="A20" s="105" t="str">
        <f>IF(Proposed!G124=0," ",Proposed!G124)</f>
        <v xml:space="preserve"> </v>
      </c>
      <c r="B20" s="105"/>
      <c r="C20" s="91">
        <f>Proposed!C131*$E$8</f>
        <v>0</v>
      </c>
      <c r="D20" s="91">
        <f>Proposed!D131*$E$8</f>
        <v>0</v>
      </c>
      <c r="E20" s="91">
        <f>Proposed!E131*$E$8</f>
        <v>0</v>
      </c>
      <c r="F20" s="91">
        <f>Proposed!F131*$E$8</f>
        <v>0</v>
      </c>
      <c r="G20" s="91">
        <f>Proposed!G131*$E$8</f>
        <v>0</v>
      </c>
      <c r="H20" s="91">
        <f>Proposed!H131*$E$8</f>
        <v>0</v>
      </c>
      <c r="I20" s="91">
        <f>Proposed!I131*$E$8</f>
        <v>0</v>
      </c>
      <c r="J20" s="91">
        <f>Proposed!J131*$E$8</f>
        <v>0</v>
      </c>
      <c r="K20" s="91">
        <f>Proposed!K131*$E$8</f>
        <v>0</v>
      </c>
      <c r="L20" s="91">
        <f>Proposed!L131*$E$8</f>
        <v>0</v>
      </c>
      <c r="M20" s="91">
        <f>Proposed!M131*$E$8</f>
        <v>0</v>
      </c>
      <c r="N20" s="91">
        <f>Proposed!N131*$E$8</f>
        <v>0</v>
      </c>
      <c r="O20" s="91">
        <f>Proposed!O131*$E$8</f>
        <v>0</v>
      </c>
      <c r="P20" s="91">
        <f>Proposed!P131*$E$8</f>
        <v>0</v>
      </c>
      <c r="Q20" s="91">
        <f>Proposed!Q131*$E$8</f>
        <v>0</v>
      </c>
      <c r="R20" s="91">
        <f>Proposed!R131*$E$8</f>
        <v>0</v>
      </c>
      <c r="S20" s="91">
        <f>Proposed!S131*$E$8</f>
        <v>0</v>
      </c>
      <c r="T20" s="91">
        <f>Proposed!T131*$E$8</f>
        <v>0</v>
      </c>
      <c r="U20" s="91">
        <f>Proposed!U131*$E$8</f>
        <v>0</v>
      </c>
      <c r="V20" s="91">
        <f>Proposed!V131*$E$8</f>
        <v>0</v>
      </c>
      <c r="W20" s="91">
        <f>Proposed!W131*$E$8</f>
        <v>0</v>
      </c>
      <c r="X20" s="91">
        <f>Proposed!X131*$E$8</f>
        <v>0</v>
      </c>
      <c r="Y20" s="91">
        <f>Proposed!Y131*$E$8</f>
        <v>0</v>
      </c>
      <c r="Z20" s="91">
        <f>Proposed!Z131*$E$8</f>
        <v>0</v>
      </c>
      <c r="AA20" s="91">
        <f>Proposed!AA131*$E$8</f>
        <v>0</v>
      </c>
      <c r="AC20" s="91">
        <f t="shared" si="0"/>
        <v>0</v>
      </c>
      <c r="AD20" s="91">
        <f t="shared" si="0"/>
        <v>0</v>
      </c>
      <c r="AE20" s="91">
        <f t="shared" si="0"/>
        <v>0</v>
      </c>
      <c r="AF20" s="91">
        <f t="shared" si="0"/>
        <v>0</v>
      </c>
      <c r="AG20" s="91">
        <f t="shared" si="0"/>
        <v>0</v>
      </c>
      <c r="AH20" s="91">
        <f t="shared" si="0"/>
        <v>0</v>
      </c>
      <c r="AI20" s="91">
        <f t="shared" si="0"/>
        <v>0</v>
      </c>
      <c r="AJ20" s="91">
        <f t="shared" si="0"/>
        <v>0</v>
      </c>
      <c r="AK20" s="91">
        <f t="shared" si="0"/>
        <v>0</v>
      </c>
      <c r="AL20" s="91">
        <f t="shared" si="0"/>
        <v>0</v>
      </c>
      <c r="AM20" s="91">
        <f t="shared" si="0"/>
        <v>0</v>
      </c>
      <c r="AN20" s="91">
        <f t="shared" si="0"/>
        <v>0</v>
      </c>
      <c r="AO20" s="91">
        <f t="shared" si="0"/>
        <v>0</v>
      </c>
      <c r="AP20" s="91">
        <f t="shared" si="0"/>
        <v>0</v>
      </c>
      <c r="AQ20" s="91">
        <f t="shared" si="0"/>
        <v>0</v>
      </c>
      <c r="AR20" s="91">
        <f t="shared" si="0"/>
        <v>0</v>
      </c>
      <c r="AT20" s="91">
        <f t="shared" si="1"/>
        <v>0</v>
      </c>
      <c r="AU20" s="91">
        <f t="shared" si="1"/>
        <v>0</v>
      </c>
      <c r="AV20" s="91">
        <f t="shared" si="1"/>
        <v>0</v>
      </c>
      <c r="AW20" s="91">
        <f t="shared" si="1"/>
        <v>0</v>
      </c>
      <c r="AX20" s="91">
        <f t="shared" si="1"/>
        <v>0</v>
      </c>
      <c r="AY20" s="91">
        <f t="shared" si="7"/>
        <v>0</v>
      </c>
      <c r="AZ20" s="132">
        <f t="shared" si="9"/>
        <v>1</v>
      </c>
      <c r="BA20" s="132">
        <f t="shared" si="10"/>
        <v>0</v>
      </c>
      <c r="BC20" s="131">
        <f>IFERROR(Proposed!U$123*INDEX(Conversions!$C$6:$I$12,MATCH('Project Info'!$I$6,Conversions!$B$6:$B$12,0),MATCH(Proposed!U$124,Conversions!$C$5:$I$5,0)),0)</f>
        <v>0</v>
      </c>
      <c r="BD20" s="131">
        <f>IFERROR(Proposed!V$123*INDEX(Conversions!$C$6:$I$12,MATCH('Project Info'!$I$6,Conversions!$B$6:$B$12,0),MATCH(Proposed!V$124,Conversions!$C$5:$I$5,0)),0)</f>
        <v>0</v>
      </c>
      <c r="BE20" s="131">
        <f>IFERROR(IF(T20=MAX($T20:$W20),Proposed!$W$123*INDEX(Conversions!$C$6:$I$12,MATCH('Project Info'!$I$6,Conversions!$B$6:$B$12,0),MATCH(Proposed!$V$124,Conversions!$C$5:$I$5,0)),0),0)</f>
        <v>0</v>
      </c>
      <c r="BF20" s="131">
        <f>IFERROR(IF(U20=MAX($T20:$W20),Proposed!$W$123*INDEX(Conversions!$C$6:$I$12,MATCH('Project Info'!$I$6,Conversions!$B$6:$B$12,0),MATCH(Proposed!$V$124,Conversions!$C$5:$I$5,0)),0),0)</f>
        <v>0</v>
      </c>
      <c r="BG20" s="131">
        <f>IFERROR(IF(V20=MAX($T20:$W20),Proposed!$W$123*INDEX(Conversions!$C$6:$I$12,MATCH('Project Info'!$I$6,Conversions!$B$6:$B$12,0),MATCH(Proposed!$V$124,Conversions!$C$5:$I$5,0)),0),0)</f>
        <v>0</v>
      </c>
      <c r="BH20" s="131">
        <f>IFERROR(IF(W20=MAX($T20:$W20),Proposed!$W$123*INDEX(Conversions!$C$6:$I$12,MATCH('Project Info'!$I$6,Conversions!$B$6:$B$12,0),MATCH(Proposed!$V$124,Conversions!$C$5:$I$5,0)),0),0)</f>
        <v>0</v>
      </c>
      <c r="BI20" s="131">
        <f t="shared" si="11"/>
        <v>0</v>
      </c>
      <c r="BJ20" s="132">
        <f t="shared" si="12"/>
        <v>0</v>
      </c>
      <c r="BK20" s="105"/>
      <c r="BL20" s="91">
        <f t="shared" si="2"/>
        <v>0</v>
      </c>
      <c r="BM20" s="91">
        <f t="shared" si="3"/>
        <v>0</v>
      </c>
      <c r="BN20" s="91">
        <f t="shared" si="4"/>
        <v>0</v>
      </c>
      <c r="BO20" s="91">
        <f t="shared" si="5"/>
        <v>0</v>
      </c>
      <c r="BP20" s="91">
        <f t="shared" si="6"/>
        <v>0</v>
      </c>
      <c r="BQ20" s="91">
        <f t="shared" si="8"/>
        <v>0</v>
      </c>
      <c r="BR20" s="111">
        <f t="shared" si="13"/>
        <v>1</v>
      </c>
      <c r="BS20" s="111">
        <f t="shared" si="14"/>
        <v>0</v>
      </c>
    </row>
    <row r="21" spans="1:71">
      <c r="A21" s="105" t="str">
        <f>IF(Proposed!G138=0," ",Proposed!G138)</f>
        <v xml:space="preserve"> </v>
      </c>
      <c r="B21" s="105"/>
      <c r="C21" s="91">
        <f>Proposed!C145*$E$8</f>
        <v>0</v>
      </c>
      <c r="D21" s="91">
        <f>Proposed!D145*$E$8</f>
        <v>0</v>
      </c>
      <c r="E21" s="91">
        <f>Proposed!E145*$E$8</f>
        <v>0</v>
      </c>
      <c r="F21" s="91">
        <f>Proposed!F145*$E$8</f>
        <v>0</v>
      </c>
      <c r="G21" s="91">
        <f>Proposed!G145*$E$8</f>
        <v>0</v>
      </c>
      <c r="H21" s="91">
        <f>Proposed!H145*$E$8</f>
        <v>0</v>
      </c>
      <c r="I21" s="91">
        <f>Proposed!I145*$E$8</f>
        <v>0</v>
      </c>
      <c r="J21" s="91">
        <f>Proposed!J145*$E$8</f>
        <v>0</v>
      </c>
      <c r="K21" s="91">
        <f>Proposed!K145*$E$8</f>
        <v>0</v>
      </c>
      <c r="L21" s="91">
        <f>Proposed!L145*$E$8</f>
        <v>0</v>
      </c>
      <c r="M21" s="91">
        <f>Proposed!M145*$E$8</f>
        <v>0</v>
      </c>
      <c r="N21" s="91">
        <f>Proposed!N145*$E$8</f>
        <v>0</v>
      </c>
      <c r="O21" s="91">
        <f>Proposed!O145*$E$8</f>
        <v>0</v>
      </c>
      <c r="P21" s="91">
        <f>Proposed!P145*$E$8</f>
        <v>0</v>
      </c>
      <c r="Q21" s="91">
        <f>Proposed!Q145*$E$8</f>
        <v>0</v>
      </c>
      <c r="R21" s="91">
        <f>Proposed!R145*$E$8</f>
        <v>0</v>
      </c>
      <c r="S21" s="91">
        <f>Proposed!S145*$E$8</f>
        <v>0</v>
      </c>
      <c r="T21" s="91">
        <f>Proposed!T145*$E$8</f>
        <v>0</v>
      </c>
      <c r="U21" s="91">
        <f>Proposed!U145*$E$8</f>
        <v>0</v>
      </c>
      <c r="V21" s="91">
        <f>Proposed!V145*$E$8</f>
        <v>0</v>
      </c>
      <c r="W21" s="91">
        <f>Proposed!W145*$E$8</f>
        <v>0</v>
      </c>
      <c r="X21" s="91">
        <f>Proposed!X145*$E$8</f>
        <v>0</v>
      </c>
      <c r="Y21" s="91">
        <f>Proposed!Y145*$E$8</f>
        <v>0</v>
      </c>
      <c r="Z21" s="91">
        <f>Proposed!Z145*$E$8</f>
        <v>0</v>
      </c>
      <c r="AA21" s="91">
        <f>Proposed!AA145*$E$8</f>
        <v>0</v>
      </c>
      <c r="AC21" s="91">
        <f t="shared" si="0"/>
        <v>0</v>
      </c>
      <c r="AD21" s="91">
        <f t="shared" si="0"/>
        <v>0</v>
      </c>
      <c r="AE21" s="91">
        <f t="shared" si="0"/>
        <v>0</v>
      </c>
      <c r="AF21" s="91">
        <f t="shared" si="0"/>
        <v>0</v>
      </c>
      <c r="AG21" s="91">
        <f t="shared" si="0"/>
        <v>0</v>
      </c>
      <c r="AH21" s="91">
        <f t="shared" si="0"/>
        <v>0</v>
      </c>
      <c r="AI21" s="91">
        <f t="shared" si="0"/>
        <v>0</v>
      </c>
      <c r="AJ21" s="91">
        <f t="shared" si="0"/>
        <v>0</v>
      </c>
      <c r="AK21" s="91">
        <f t="shared" si="0"/>
        <v>0</v>
      </c>
      <c r="AL21" s="91">
        <f t="shared" si="0"/>
        <v>0</v>
      </c>
      <c r="AM21" s="91">
        <f t="shared" si="0"/>
        <v>0</v>
      </c>
      <c r="AN21" s="91">
        <f t="shared" si="0"/>
        <v>0</v>
      </c>
      <c r="AO21" s="91">
        <f t="shared" si="0"/>
        <v>0</v>
      </c>
      <c r="AP21" s="91">
        <f t="shared" si="0"/>
        <v>0</v>
      </c>
      <c r="AQ21" s="91">
        <f t="shared" si="0"/>
        <v>0</v>
      </c>
      <c r="AR21" s="91">
        <f t="shared" si="0"/>
        <v>0</v>
      </c>
      <c r="AT21" s="91">
        <f t="shared" si="1"/>
        <v>0</v>
      </c>
      <c r="AU21" s="91">
        <f t="shared" si="1"/>
        <v>0</v>
      </c>
      <c r="AV21" s="91">
        <f t="shared" si="1"/>
        <v>0</v>
      </c>
      <c r="AW21" s="91">
        <f t="shared" si="1"/>
        <v>0</v>
      </c>
      <c r="AX21" s="91">
        <f t="shared" si="1"/>
        <v>0</v>
      </c>
      <c r="AY21" s="91">
        <f t="shared" si="7"/>
        <v>0</v>
      </c>
      <c r="AZ21" s="132">
        <f t="shared" si="9"/>
        <v>1</v>
      </c>
      <c r="BA21" s="132">
        <f t="shared" si="10"/>
        <v>0</v>
      </c>
      <c r="BC21" s="131">
        <f>IFERROR(Proposed!U$137*INDEX(Conversions!$C$6:$I$12,MATCH('Project Info'!$I$6,Conversions!$B$6:$B$12,0),MATCH(Proposed!U$138,Conversions!$C$5:$I$5,0)),0)</f>
        <v>0</v>
      </c>
      <c r="BD21" s="131">
        <f>IFERROR(Proposed!V$137*INDEX(Conversions!$C$6:$I$12,MATCH('Project Info'!$I$6,Conversions!$B$6:$B$12,0),MATCH(Proposed!V$138,Conversions!$C$5:$I$5,0)),0)</f>
        <v>0</v>
      </c>
      <c r="BE21" s="131">
        <f>IFERROR(IF(T21=MAX($T21:$W21),Proposed!$W$137*INDEX(Conversions!$C$6:$I$12,MATCH('Project Info'!$I$6,Conversions!$B$6:$B$12,0),MATCH(Proposed!$V$138,Conversions!$C$5:$I$5,0)),0),0)</f>
        <v>0</v>
      </c>
      <c r="BF21" s="131">
        <f>IFERROR(IF(U21=MAX($T21:$W21),Proposed!$W$137*INDEX(Conversions!$C$6:$I$12,MATCH('Project Info'!$I$6,Conversions!$B$6:$B$12,0),MATCH(Proposed!$V$138,Conversions!$C$5:$I$5,0)),0),0)</f>
        <v>0</v>
      </c>
      <c r="BG21" s="131">
        <f>IFERROR(IF(V21=MAX($T21:$W21),Proposed!$W$137*INDEX(Conversions!$C$6:$I$12,MATCH('Project Info'!$I$6,Conversions!$B$6:$B$12,0),MATCH(Proposed!$V$138,Conversions!$C$5:$I$5,0)),0),0)</f>
        <v>0</v>
      </c>
      <c r="BH21" s="131">
        <f>IFERROR(IF(W21=MAX($T21:$W21),Proposed!$W$137*INDEX(Conversions!$C$6:$I$12,MATCH('Project Info'!$I$6,Conversions!$B$6:$B$12,0),MATCH(Proposed!$V$138,Conversions!$C$5:$I$5,0)),0),0)</f>
        <v>0</v>
      </c>
      <c r="BI21" s="131">
        <f t="shared" si="11"/>
        <v>0</v>
      </c>
      <c r="BJ21" s="132">
        <f t="shared" si="12"/>
        <v>0</v>
      </c>
      <c r="BK21" s="105"/>
      <c r="BL21" s="91">
        <f t="shared" si="2"/>
        <v>0</v>
      </c>
      <c r="BM21" s="91">
        <f t="shared" si="3"/>
        <v>0</v>
      </c>
      <c r="BN21" s="91">
        <f t="shared" si="4"/>
        <v>0</v>
      </c>
      <c r="BO21" s="91">
        <f t="shared" si="5"/>
        <v>0</v>
      </c>
      <c r="BP21" s="91">
        <f t="shared" si="6"/>
        <v>0</v>
      </c>
      <c r="BQ21" s="91">
        <f t="shared" si="8"/>
        <v>0</v>
      </c>
      <c r="BR21" s="111">
        <f t="shared" si="13"/>
        <v>1</v>
      </c>
      <c r="BS21" s="111">
        <f t="shared" si="14"/>
        <v>0</v>
      </c>
    </row>
    <row r="22" spans="1:71">
      <c r="A22" s="105"/>
      <c r="B22" s="105"/>
    </row>
    <row r="23" spans="1:71" ht="14.4" thickBot="1">
      <c r="A23" s="194" t="str">
        <f>CONCATENATE(Menus!C24," Intensity"," (",'Project Info'!$I$6,"/",'Project Info'!$E$7,")")</f>
        <v>Energy Use Intensity (kBtu/ft²)</v>
      </c>
      <c r="B23" s="194"/>
      <c r="C23" s="194"/>
      <c r="D23" s="194"/>
      <c r="E23" s="194"/>
      <c r="F23" s="194"/>
      <c r="G23" s="194"/>
      <c r="H23" s="194"/>
      <c r="I23" s="194"/>
      <c r="J23" s="194"/>
      <c r="K23" s="194"/>
      <c r="L23" s="194"/>
      <c r="M23" s="194"/>
      <c r="N23" s="194"/>
      <c r="O23" s="194"/>
      <c r="P23" s="194"/>
      <c r="Q23" s="194"/>
      <c r="R23" s="194"/>
      <c r="S23" s="194"/>
      <c r="T23" s="194"/>
      <c r="U23" s="194"/>
      <c r="V23" s="194"/>
      <c r="W23" s="194"/>
      <c r="X23" s="194"/>
      <c r="Y23" s="194"/>
      <c r="Z23" s="194"/>
      <c r="AA23" s="194"/>
    </row>
    <row r="24" spans="1:71">
      <c r="A24" s="105" t="str">
        <f t="shared" ref="A24:A36" si="15">A9</f>
        <v>LEED Baseline</v>
      </c>
      <c r="B24" s="109">
        <f>'LEED BL'!C11</f>
        <v>13652</v>
      </c>
      <c r="C24" s="103">
        <f>IFERROR(C9/$B24,0)</f>
        <v>2.8081769704072661</v>
      </c>
      <c r="D24" s="103">
        <f t="shared" ref="D24:AA24" si="16">IFERROR(D9/$B24,0)</f>
        <v>0</v>
      </c>
      <c r="E24" s="103">
        <f t="shared" si="16"/>
        <v>0</v>
      </c>
      <c r="F24" s="103">
        <f t="shared" si="16"/>
        <v>0</v>
      </c>
      <c r="G24" s="103">
        <f t="shared" si="16"/>
        <v>10.466057573981836</v>
      </c>
      <c r="H24" s="103">
        <f t="shared" si="16"/>
        <v>0</v>
      </c>
      <c r="I24" s="103">
        <f t="shared" si="16"/>
        <v>11.23445736888368</v>
      </c>
      <c r="J24" s="103">
        <f t="shared" si="16"/>
        <v>0</v>
      </c>
      <c r="K24" s="103">
        <f t="shared" si="16"/>
        <v>13.190883973044244</v>
      </c>
      <c r="L24" s="103">
        <f t="shared" si="16"/>
        <v>0</v>
      </c>
      <c r="M24" s="103">
        <f t="shared" si="16"/>
        <v>0</v>
      </c>
      <c r="N24" s="103">
        <f t="shared" si="16"/>
        <v>0</v>
      </c>
      <c r="O24" s="103">
        <f t="shared" si="16"/>
        <v>12.803684954585409</v>
      </c>
      <c r="P24" s="103">
        <f t="shared" si="16"/>
        <v>0</v>
      </c>
      <c r="Q24" s="103">
        <f t="shared" si="16"/>
        <v>0</v>
      </c>
      <c r="R24" s="103">
        <f t="shared" si="16"/>
        <v>0</v>
      </c>
      <c r="S24" s="103">
        <f t="shared" si="16"/>
        <v>0</v>
      </c>
      <c r="T24" s="103">
        <f t="shared" si="16"/>
        <v>0</v>
      </c>
      <c r="U24" s="103">
        <f t="shared" si="16"/>
        <v>0</v>
      </c>
      <c r="V24" s="103">
        <f t="shared" si="16"/>
        <v>0</v>
      </c>
      <c r="W24" s="103">
        <f t="shared" si="16"/>
        <v>0</v>
      </c>
      <c r="X24" s="103">
        <f t="shared" si="16"/>
        <v>0</v>
      </c>
      <c r="Y24" s="103">
        <f t="shared" si="16"/>
        <v>0</v>
      </c>
      <c r="Z24" s="103">
        <f t="shared" si="16"/>
        <v>0</v>
      </c>
      <c r="AA24" s="103">
        <f t="shared" si="16"/>
        <v>0</v>
      </c>
      <c r="AC24" s="103">
        <f t="shared" ref="AC24:AR36" si="17">SUMIF($C$4:$AA$4,AC$4,$C24:$AA24)</f>
        <v>2.8081769704072661</v>
      </c>
      <c r="AD24" s="103">
        <f t="shared" si="17"/>
        <v>10.466057573981836</v>
      </c>
      <c r="AE24" s="103">
        <f t="shared" si="17"/>
        <v>11.23445736888368</v>
      </c>
      <c r="AF24" s="103">
        <f t="shared" si="17"/>
        <v>0</v>
      </c>
      <c r="AG24" s="103">
        <f t="shared" si="17"/>
        <v>13.190883973044244</v>
      </c>
      <c r="AH24" s="103">
        <f t="shared" si="17"/>
        <v>0</v>
      </c>
      <c r="AI24" s="103">
        <f t="shared" si="17"/>
        <v>12.803684954585409</v>
      </c>
      <c r="AJ24" s="103">
        <f t="shared" si="17"/>
        <v>0</v>
      </c>
      <c r="AK24" s="103">
        <f t="shared" si="17"/>
        <v>0</v>
      </c>
      <c r="AL24" s="103">
        <f t="shared" si="17"/>
        <v>0</v>
      </c>
      <c r="AM24" s="103">
        <f t="shared" si="17"/>
        <v>0</v>
      </c>
      <c r="AN24" s="103">
        <f t="shared" si="17"/>
        <v>0</v>
      </c>
      <c r="AO24" s="103">
        <f t="shared" si="17"/>
        <v>0</v>
      </c>
      <c r="AP24" s="103">
        <f t="shared" si="17"/>
        <v>0</v>
      </c>
      <c r="AQ24" s="103">
        <f t="shared" si="17"/>
        <v>0</v>
      </c>
      <c r="AR24" s="103">
        <f t="shared" si="17"/>
        <v>0</v>
      </c>
      <c r="AS24" s="105"/>
      <c r="AT24" s="103">
        <f t="shared" ref="AT24:AX36" si="18">SUMIF($C$5:$AA$5,"="&amp;AT$5,$C24:$AA24)</f>
        <v>50.503260840902435</v>
      </c>
      <c r="AU24" s="103">
        <f t="shared" si="18"/>
        <v>0</v>
      </c>
      <c r="AV24" s="103">
        <f t="shared" si="18"/>
        <v>0</v>
      </c>
      <c r="AW24" s="103">
        <f t="shared" si="18"/>
        <v>0</v>
      </c>
      <c r="AX24" s="103">
        <f t="shared" si="18"/>
        <v>0</v>
      </c>
      <c r="AY24" s="103">
        <f>SUM(AT24:AX24)</f>
        <v>50.503260840902435</v>
      </c>
      <c r="AZ24" s="110"/>
      <c r="BA24" s="110"/>
      <c r="BB24" s="105"/>
      <c r="BC24" s="110"/>
      <c r="BD24" s="110"/>
      <c r="BE24" s="110"/>
      <c r="BF24" s="110"/>
      <c r="BG24" s="110"/>
      <c r="BH24" s="110"/>
      <c r="BI24" s="110"/>
      <c r="BJ24" s="110"/>
      <c r="BK24" s="113"/>
      <c r="BL24" s="103">
        <f t="shared" ref="BL24:BL36" si="19">AT24-(SUMIF($BC$5:$BH$5,"="&amp;BL$5,$BC24:$BH24))</f>
        <v>50.503260840902435</v>
      </c>
      <c r="BM24" s="103">
        <f t="shared" ref="BM24:BM36" si="20">AU24-(SUMIF($BC$5:$BH$5,"="&amp;BM$5,$BC24:$BH24))</f>
        <v>0</v>
      </c>
      <c r="BN24" s="103">
        <f t="shared" ref="BN24:BN36" si="21">AV24-(SUMIF($BC$5:$BH$5,"="&amp;BN$5,$BC24:$BH24))</f>
        <v>0</v>
      </c>
      <c r="BO24" s="103">
        <f t="shared" ref="BO24:BO36" si="22">AW24-(SUMIF($BC$5:$BH$5,"="&amp;BO$5,$BC24:$BH24))</f>
        <v>0</v>
      </c>
      <c r="BP24" s="103">
        <f t="shared" ref="BP24:BP36" si="23">AX24-(SUMIF($BC$5:$BH$5,"="&amp;BP$5,$BC24:$BH24))</f>
        <v>0</v>
      </c>
      <c r="BQ24" s="103">
        <f>SUM(BL24:BP24)</f>
        <v>50.503260840902435</v>
      </c>
      <c r="BR24" s="110"/>
      <c r="BS24" s="110"/>
    </row>
    <row r="25" spans="1:71">
      <c r="A25" s="105" t="str">
        <f t="shared" si="15"/>
        <v>Code Baseline</v>
      </c>
      <c r="B25" s="109">
        <f>'Code BL'!C11</f>
        <v>13652</v>
      </c>
      <c r="C25" s="103">
        <f t="shared" ref="C25:AA25" si="24">IFERROR(C10/$B25,0)</f>
        <v>0</v>
      </c>
      <c r="D25" s="103">
        <f t="shared" si="24"/>
        <v>0</v>
      </c>
      <c r="E25" s="103">
        <f t="shared" si="24"/>
        <v>0</v>
      </c>
      <c r="F25" s="103">
        <f t="shared" si="24"/>
        <v>0</v>
      </c>
      <c r="G25" s="103">
        <f t="shared" si="24"/>
        <v>0</v>
      </c>
      <c r="H25" s="103">
        <f t="shared" si="24"/>
        <v>0</v>
      </c>
      <c r="I25" s="103">
        <f t="shared" si="24"/>
        <v>0</v>
      </c>
      <c r="J25" s="103">
        <f t="shared" si="24"/>
        <v>0</v>
      </c>
      <c r="K25" s="103">
        <f t="shared" si="24"/>
        <v>0</v>
      </c>
      <c r="L25" s="103">
        <f t="shared" si="24"/>
        <v>0</v>
      </c>
      <c r="M25" s="103">
        <f t="shared" si="24"/>
        <v>0</v>
      </c>
      <c r="N25" s="103">
        <f t="shared" si="24"/>
        <v>0</v>
      </c>
      <c r="O25" s="103">
        <f t="shared" si="24"/>
        <v>0</v>
      </c>
      <c r="P25" s="103">
        <f t="shared" si="24"/>
        <v>0</v>
      </c>
      <c r="Q25" s="103">
        <f t="shared" si="24"/>
        <v>0</v>
      </c>
      <c r="R25" s="103">
        <f t="shared" si="24"/>
        <v>0</v>
      </c>
      <c r="S25" s="103">
        <f t="shared" si="24"/>
        <v>0</v>
      </c>
      <c r="T25" s="103">
        <f t="shared" si="24"/>
        <v>0</v>
      </c>
      <c r="U25" s="103">
        <f t="shared" si="24"/>
        <v>0</v>
      </c>
      <c r="V25" s="103">
        <f t="shared" si="24"/>
        <v>0</v>
      </c>
      <c r="W25" s="103">
        <f t="shared" si="24"/>
        <v>0</v>
      </c>
      <c r="X25" s="103">
        <f t="shared" si="24"/>
        <v>0</v>
      </c>
      <c r="Y25" s="103">
        <f t="shared" si="24"/>
        <v>0</v>
      </c>
      <c r="Z25" s="103">
        <f t="shared" si="24"/>
        <v>0</v>
      </c>
      <c r="AA25" s="103">
        <f t="shared" si="24"/>
        <v>0</v>
      </c>
      <c r="AC25" s="103">
        <f t="shared" si="17"/>
        <v>0</v>
      </c>
      <c r="AD25" s="103">
        <f t="shared" si="17"/>
        <v>0</v>
      </c>
      <c r="AE25" s="103">
        <f t="shared" si="17"/>
        <v>0</v>
      </c>
      <c r="AF25" s="103">
        <f t="shared" si="17"/>
        <v>0</v>
      </c>
      <c r="AG25" s="103">
        <f t="shared" si="17"/>
        <v>0</v>
      </c>
      <c r="AH25" s="103">
        <f t="shared" si="17"/>
        <v>0</v>
      </c>
      <c r="AI25" s="103">
        <f t="shared" si="17"/>
        <v>0</v>
      </c>
      <c r="AJ25" s="103">
        <f t="shared" si="17"/>
        <v>0</v>
      </c>
      <c r="AK25" s="103">
        <f t="shared" si="17"/>
        <v>0</v>
      </c>
      <c r="AL25" s="103">
        <f t="shared" si="17"/>
        <v>0</v>
      </c>
      <c r="AM25" s="103">
        <f t="shared" si="17"/>
        <v>0</v>
      </c>
      <c r="AN25" s="103">
        <f t="shared" si="17"/>
        <v>0</v>
      </c>
      <c r="AO25" s="103">
        <f t="shared" si="17"/>
        <v>0</v>
      </c>
      <c r="AP25" s="103">
        <f t="shared" si="17"/>
        <v>0</v>
      </c>
      <c r="AQ25" s="103">
        <f t="shared" si="17"/>
        <v>0</v>
      </c>
      <c r="AR25" s="103">
        <f t="shared" si="17"/>
        <v>0</v>
      </c>
      <c r="AS25" s="105"/>
      <c r="AT25" s="103">
        <f t="shared" si="18"/>
        <v>0</v>
      </c>
      <c r="AU25" s="103">
        <f t="shared" si="18"/>
        <v>0</v>
      </c>
      <c r="AV25" s="103">
        <f t="shared" si="18"/>
        <v>0</v>
      </c>
      <c r="AW25" s="103">
        <f t="shared" si="18"/>
        <v>0</v>
      </c>
      <c r="AX25" s="103">
        <f t="shared" si="18"/>
        <v>0</v>
      </c>
      <c r="AY25" s="103">
        <f t="shared" ref="AY25:AY36" si="25">SUM(AT25:AX25)</f>
        <v>0</v>
      </c>
      <c r="AZ25" s="110"/>
      <c r="BA25" s="110"/>
      <c r="BB25" s="105"/>
      <c r="BC25" s="110"/>
      <c r="BD25" s="110"/>
      <c r="BE25" s="110"/>
      <c r="BF25" s="110"/>
      <c r="BG25" s="110"/>
      <c r="BH25" s="110"/>
      <c r="BI25" s="110"/>
      <c r="BJ25" s="110"/>
      <c r="BK25" s="113"/>
      <c r="BL25" s="103">
        <f t="shared" si="19"/>
        <v>0</v>
      </c>
      <c r="BM25" s="103">
        <f t="shared" si="20"/>
        <v>0</v>
      </c>
      <c r="BN25" s="103">
        <f t="shared" si="21"/>
        <v>0</v>
      </c>
      <c r="BO25" s="103">
        <f t="shared" si="22"/>
        <v>0</v>
      </c>
      <c r="BP25" s="103">
        <f t="shared" si="23"/>
        <v>0</v>
      </c>
      <c r="BQ25" s="103">
        <f t="shared" ref="BQ25:BQ36" si="26">SUM(BL25:BP25)</f>
        <v>0</v>
      </c>
      <c r="BR25" s="110"/>
      <c r="BS25" s="110"/>
    </row>
    <row r="26" spans="1:71" s="136" customFormat="1">
      <c r="A26" s="134" t="str">
        <f t="shared" si="15"/>
        <v xml:space="preserve"> </v>
      </c>
      <c r="B26" s="139">
        <f>B25</f>
        <v>13652</v>
      </c>
      <c r="C26" s="140">
        <f t="shared" ref="C26:AA26" si="27">IFERROR(C11/$B26,0)</f>
        <v>0</v>
      </c>
      <c r="D26" s="140">
        <f t="shared" si="27"/>
        <v>0</v>
      </c>
      <c r="E26" s="140">
        <f t="shared" si="27"/>
        <v>0</v>
      </c>
      <c r="F26" s="140">
        <f t="shared" si="27"/>
        <v>0</v>
      </c>
      <c r="G26" s="140">
        <f t="shared" si="27"/>
        <v>0</v>
      </c>
      <c r="H26" s="140">
        <f t="shared" si="27"/>
        <v>0</v>
      </c>
      <c r="I26" s="140">
        <f t="shared" si="27"/>
        <v>0</v>
      </c>
      <c r="J26" s="140">
        <f t="shared" si="27"/>
        <v>0</v>
      </c>
      <c r="K26" s="140">
        <f t="shared" si="27"/>
        <v>0</v>
      </c>
      <c r="L26" s="140">
        <f t="shared" si="27"/>
        <v>0</v>
      </c>
      <c r="M26" s="140">
        <f t="shared" si="27"/>
        <v>0</v>
      </c>
      <c r="N26" s="140">
        <f t="shared" si="27"/>
        <v>0</v>
      </c>
      <c r="O26" s="140">
        <f t="shared" si="27"/>
        <v>0</v>
      </c>
      <c r="P26" s="140">
        <f t="shared" si="27"/>
        <v>0</v>
      </c>
      <c r="Q26" s="140">
        <f t="shared" si="27"/>
        <v>0</v>
      </c>
      <c r="R26" s="140">
        <f t="shared" si="27"/>
        <v>0</v>
      </c>
      <c r="S26" s="140">
        <f t="shared" si="27"/>
        <v>0</v>
      </c>
      <c r="T26" s="140">
        <f t="shared" si="27"/>
        <v>0</v>
      </c>
      <c r="U26" s="140">
        <f t="shared" si="27"/>
        <v>0</v>
      </c>
      <c r="V26" s="140">
        <f t="shared" si="27"/>
        <v>0</v>
      </c>
      <c r="W26" s="140">
        <f t="shared" si="27"/>
        <v>0</v>
      </c>
      <c r="X26" s="140">
        <f t="shared" si="27"/>
        <v>0</v>
      </c>
      <c r="Y26" s="140">
        <f t="shared" si="27"/>
        <v>0</v>
      </c>
      <c r="Z26" s="140">
        <f t="shared" si="27"/>
        <v>0</v>
      </c>
      <c r="AA26" s="140">
        <f t="shared" si="27"/>
        <v>0</v>
      </c>
      <c r="AC26" s="140">
        <f t="shared" si="17"/>
        <v>0</v>
      </c>
      <c r="AD26" s="140">
        <f t="shared" si="17"/>
        <v>0</v>
      </c>
      <c r="AE26" s="140">
        <f t="shared" si="17"/>
        <v>0</v>
      </c>
      <c r="AF26" s="140">
        <f t="shared" si="17"/>
        <v>0</v>
      </c>
      <c r="AG26" s="140">
        <f t="shared" si="17"/>
        <v>0</v>
      </c>
      <c r="AH26" s="140">
        <f t="shared" si="17"/>
        <v>0</v>
      </c>
      <c r="AI26" s="140">
        <f t="shared" si="17"/>
        <v>0</v>
      </c>
      <c r="AJ26" s="140">
        <f t="shared" si="17"/>
        <v>0</v>
      </c>
      <c r="AK26" s="140">
        <f t="shared" si="17"/>
        <v>0</v>
      </c>
      <c r="AL26" s="140">
        <f t="shared" si="17"/>
        <v>0</v>
      </c>
      <c r="AM26" s="140">
        <f t="shared" si="17"/>
        <v>0</v>
      </c>
      <c r="AN26" s="140">
        <f t="shared" si="17"/>
        <v>0</v>
      </c>
      <c r="AO26" s="140">
        <f t="shared" si="17"/>
        <v>0</v>
      </c>
      <c r="AP26" s="140">
        <f t="shared" si="17"/>
        <v>0</v>
      </c>
      <c r="AQ26" s="140">
        <f t="shared" si="17"/>
        <v>0</v>
      </c>
      <c r="AR26" s="140">
        <f t="shared" si="17"/>
        <v>0</v>
      </c>
      <c r="AS26" s="134"/>
      <c r="AT26" s="140">
        <f t="shared" si="18"/>
        <v>0</v>
      </c>
      <c r="AU26" s="140">
        <f t="shared" si="18"/>
        <v>0</v>
      </c>
      <c r="AV26" s="140">
        <f t="shared" si="18"/>
        <v>0</v>
      </c>
      <c r="AW26" s="140">
        <f t="shared" si="18"/>
        <v>0</v>
      </c>
      <c r="AX26" s="140">
        <f t="shared" si="18"/>
        <v>0</v>
      </c>
      <c r="AY26" s="140">
        <f>SUM(AT26:AX26)</f>
        <v>0</v>
      </c>
      <c r="AZ26" s="137"/>
      <c r="BA26" s="137"/>
      <c r="BB26" s="134"/>
      <c r="BC26" s="137"/>
      <c r="BD26" s="137"/>
      <c r="BE26" s="137"/>
      <c r="BF26" s="137"/>
      <c r="BG26" s="137"/>
      <c r="BH26" s="137"/>
      <c r="BI26" s="137"/>
      <c r="BJ26" s="137"/>
      <c r="BK26" s="141"/>
      <c r="BL26" s="140">
        <f>AT26-(SUMIF($BC$5:$BH$5,"="&amp;BL$5,$BC26:$BH26))</f>
        <v>0</v>
      </c>
      <c r="BM26" s="140">
        <f>AU26-(SUMIF($BC$5:$BH$5,"="&amp;BM$5,$BC26:$BH26))</f>
        <v>0</v>
      </c>
      <c r="BN26" s="140">
        <f>AV26-(SUMIF($BC$5:$BH$5,"="&amp;BN$5,$BC26:$BH26))</f>
        <v>0</v>
      </c>
      <c r="BO26" s="140">
        <f>AW26-(SUMIF($BC$5:$BH$5,"="&amp;BO$5,$BC26:$BH26))</f>
        <v>0</v>
      </c>
      <c r="BP26" s="140">
        <f>AX26-(SUMIF($BC$5:$BH$5,"="&amp;BP$5,$BC26:$BH26))</f>
        <v>0</v>
      </c>
      <c r="BQ26" s="140">
        <f>SUM(BL26:BP26)</f>
        <v>0</v>
      </c>
      <c r="BR26" s="137"/>
      <c r="BS26" s="137"/>
    </row>
    <row r="27" spans="1:71">
      <c r="A27" s="105" t="str">
        <f t="shared" si="15"/>
        <v>Proposed Design</v>
      </c>
      <c r="B27" s="109">
        <f>Proposed!C11</f>
        <v>13652</v>
      </c>
      <c r="C27" s="138">
        <f t="shared" ref="C27:AA27" si="28">IFERROR(C12/$B27,0)</f>
        <v>2.8081769704072661</v>
      </c>
      <c r="D27" s="138">
        <f t="shared" si="28"/>
        <v>0</v>
      </c>
      <c r="E27" s="138">
        <f t="shared" si="28"/>
        <v>0</v>
      </c>
      <c r="F27" s="138">
        <f t="shared" si="28"/>
        <v>0</v>
      </c>
      <c r="G27" s="138">
        <f t="shared" si="28"/>
        <v>10.466057573981836</v>
      </c>
      <c r="H27" s="138">
        <f t="shared" si="28"/>
        <v>0</v>
      </c>
      <c r="I27" s="138">
        <f t="shared" si="28"/>
        <v>11.23445736888368</v>
      </c>
      <c r="J27" s="138">
        <f t="shared" si="28"/>
        <v>0</v>
      </c>
      <c r="K27" s="138">
        <f t="shared" si="28"/>
        <v>13.190883973044244</v>
      </c>
      <c r="L27" s="138">
        <f t="shared" si="28"/>
        <v>0</v>
      </c>
      <c r="M27" s="138">
        <f t="shared" si="28"/>
        <v>0</v>
      </c>
      <c r="N27" s="138">
        <f t="shared" si="28"/>
        <v>0</v>
      </c>
      <c r="O27" s="138">
        <f t="shared" si="28"/>
        <v>12.803684954585409</v>
      </c>
      <c r="P27" s="138">
        <f t="shared" si="28"/>
        <v>0</v>
      </c>
      <c r="Q27" s="138">
        <f t="shared" si="28"/>
        <v>0</v>
      </c>
      <c r="R27" s="138">
        <f t="shared" si="28"/>
        <v>0</v>
      </c>
      <c r="S27" s="138">
        <f t="shared" si="28"/>
        <v>0</v>
      </c>
      <c r="T27" s="138">
        <f t="shared" si="28"/>
        <v>0</v>
      </c>
      <c r="U27" s="138">
        <f t="shared" si="28"/>
        <v>0</v>
      </c>
      <c r="V27" s="138">
        <f t="shared" si="28"/>
        <v>0</v>
      </c>
      <c r="W27" s="138">
        <f t="shared" si="28"/>
        <v>0</v>
      </c>
      <c r="X27" s="138">
        <f t="shared" si="28"/>
        <v>0</v>
      </c>
      <c r="Y27" s="138">
        <f t="shared" si="28"/>
        <v>0</v>
      </c>
      <c r="Z27" s="138">
        <f t="shared" si="28"/>
        <v>0</v>
      </c>
      <c r="AA27" s="138">
        <f t="shared" si="28"/>
        <v>0</v>
      </c>
      <c r="AC27" s="138">
        <f t="shared" si="17"/>
        <v>2.8081769704072661</v>
      </c>
      <c r="AD27" s="138">
        <f t="shared" si="17"/>
        <v>10.466057573981836</v>
      </c>
      <c r="AE27" s="138">
        <f t="shared" si="17"/>
        <v>11.23445736888368</v>
      </c>
      <c r="AF27" s="138">
        <f t="shared" si="17"/>
        <v>0</v>
      </c>
      <c r="AG27" s="138">
        <f t="shared" si="17"/>
        <v>13.190883973044244</v>
      </c>
      <c r="AH27" s="138">
        <f t="shared" si="17"/>
        <v>0</v>
      </c>
      <c r="AI27" s="138">
        <f t="shared" si="17"/>
        <v>12.803684954585409</v>
      </c>
      <c r="AJ27" s="138">
        <f t="shared" si="17"/>
        <v>0</v>
      </c>
      <c r="AK27" s="138">
        <f t="shared" si="17"/>
        <v>0</v>
      </c>
      <c r="AL27" s="138">
        <f t="shared" si="17"/>
        <v>0</v>
      </c>
      <c r="AM27" s="138">
        <f t="shared" si="17"/>
        <v>0</v>
      </c>
      <c r="AN27" s="138">
        <f t="shared" si="17"/>
        <v>0</v>
      </c>
      <c r="AO27" s="138">
        <f t="shared" si="17"/>
        <v>0</v>
      </c>
      <c r="AP27" s="138">
        <f t="shared" si="17"/>
        <v>0</v>
      </c>
      <c r="AQ27" s="138">
        <f t="shared" si="17"/>
        <v>0</v>
      </c>
      <c r="AR27" s="138">
        <f t="shared" si="17"/>
        <v>0</v>
      </c>
      <c r="AS27" s="105"/>
      <c r="AT27" s="138">
        <f t="shared" si="18"/>
        <v>50.503260840902435</v>
      </c>
      <c r="AU27" s="138">
        <f t="shared" si="18"/>
        <v>0</v>
      </c>
      <c r="AV27" s="138">
        <f t="shared" si="18"/>
        <v>0</v>
      </c>
      <c r="AW27" s="138">
        <f t="shared" si="18"/>
        <v>0</v>
      </c>
      <c r="AX27" s="138">
        <f t="shared" si="18"/>
        <v>0</v>
      </c>
      <c r="AY27" s="138">
        <f t="shared" si="25"/>
        <v>50.503260840902435</v>
      </c>
      <c r="AZ27" s="132">
        <f>IFERROR(1-($AY27/$AY$24),0)</f>
        <v>0</v>
      </c>
      <c r="BA27" s="132">
        <f>IFERROR(1-($AY27/$AY$25),0)</f>
        <v>0</v>
      </c>
      <c r="BB27" s="105"/>
      <c r="BC27" s="138">
        <f>IFERROR(BC12/$B27,0)</f>
        <v>0</v>
      </c>
      <c r="BD27" s="138">
        <f t="shared" ref="BD27:BH27" si="29">IFERROR(BD12/$B27,0)</f>
        <v>0</v>
      </c>
      <c r="BE27" s="138">
        <f t="shared" si="29"/>
        <v>0</v>
      </c>
      <c r="BF27" s="138">
        <f t="shared" si="29"/>
        <v>0</v>
      </c>
      <c r="BG27" s="138">
        <f t="shared" si="29"/>
        <v>0</v>
      </c>
      <c r="BH27" s="138">
        <f t="shared" si="29"/>
        <v>0</v>
      </c>
      <c r="BI27" s="138">
        <f>SUM(BC27:BH27)</f>
        <v>0</v>
      </c>
      <c r="BJ27" s="132">
        <f>IFERROR(BI27/AY27,0)</f>
        <v>0</v>
      </c>
      <c r="BK27" s="113"/>
      <c r="BL27" s="138">
        <f t="shared" si="19"/>
        <v>50.503260840902435</v>
      </c>
      <c r="BM27" s="138">
        <f t="shared" si="20"/>
        <v>0</v>
      </c>
      <c r="BN27" s="138">
        <f t="shared" si="21"/>
        <v>0</v>
      </c>
      <c r="BO27" s="138">
        <f t="shared" si="22"/>
        <v>0</v>
      </c>
      <c r="BP27" s="138">
        <f t="shared" si="23"/>
        <v>0</v>
      </c>
      <c r="BQ27" s="138">
        <f t="shared" si="26"/>
        <v>50.503260840902435</v>
      </c>
      <c r="BR27" s="132">
        <f>IFERROR(1-($BQ27/$BQ$24),0)</f>
        <v>0</v>
      </c>
      <c r="BS27" s="132">
        <f>IFERROR(1-($BQ27/$BQ$25),0)</f>
        <v>0</v>
      </c>
    </row>
    <row r="28" spans="1:71">
      <c r="A28" s="105" t="str">
        <f t="shared" si="15"/>
        <v xml:space="preserve"> </v>
      </c>
      <c r="B28" s="109">
        <f>Proposed!C25</f>
        <v>13652</v>
      </c>
      <c r="C28" s="103">
        <f t="shared" ref="C28:AA28" si="30">IFERROR(C13/$B28,0)</f>
        <v>0</v>
      </c>
      <c r="D28" s="103">
        <f t="shared" si="30"/>
        <v>0</v>
      </c>
      <c r="E28" s="103">
        <f t="shared" si="30"/>
        <v>0</v>
      </c>
      <c r="F28" s="103">
        <f t="shared" si="30"/>
        <v>0</v>
      </c>
      <c r="G28" s="103">
        <f t="shared" si="30"/>
        <v>0</v>
      </c>
      <c r="H28" s="103">
        <f t="shared" si="30"/>
        <v>0</v>
      </c>
      <c r="I28" s="103">
        <f t="shared" si="30"/>
        <v>0</v>
      </c>
      <c r="J28" s="103">
        <f t="shared" si="30"/>
        <v>0</v>
      </c>
      <c r="K28" s="103">
        <f t="shared" si="30"/>
        <v>0</v>
      </c>
      <c r="L28" s="103">
        <f t="shared" si="30"/>
        <v>0</v>
      </c>
      <c r="M28" s="103">
        <f t="shared" si="30"/>
        <v>0</v>
      </c>
      <c r="N28" s="103">
        <f t="shared" si="30"/>
        <v>0</v>
      </c>
      <c r="O28" s="103">
        <f t="shared" si="30"/>
        <v>0</v>
      </c>
      <c r="P28" s="103">
        <f t="shared" si="30"/>
        <v>0</v>
      </c>
      <c r="Q28" s="103">
        <f t="shared" si="30"/>
        <v>0</v>
      </c>
      <c r="R28" s="103">
        <f t="shared" si="30"/>
        <v>0</v>
      </c>
      <c r="S28" s="103">
        <f t="shared" si="30"/>
        <v>0</v>
      </c>
      <c r="T28" s="103">
        <f t="shared" si="30"/>
        <v>0</v>
      </c>
      <c r="U28" s="103">
        <f t="shared" si="30"/>
        <v>0</v>
      </c>
      <c r="V28" s="103">
        <f t="shared" si="30"/>
        <v>0</v>
      </c>
      <c r="W28" s="103">
        <f t="shared" si="30"/>
        <v>0</v>
      </c>
      <c r="X28" s="103">
        <f t="shared" si="30"/>
        <v>0</v>
      </c>
      <c r="Y28" s="103">
        <f t="shared" si="30"/>
        <v>0</v>
      </c>
      <c r="Z28" s="103">
        <f t="shared" si="30"/>
        <v>0</v>
      </c>
      <c r="AA28" s="103">
        <f t="shared" si="30"/>
        <v>0</v>
      </c>
      <c r="AC28" s="103">
        <f t="shared" si="17"/>
        <v>0</v>
      </c>
      <c r="AD28" s="103">
        <f t="shared" si="17"/>
        <v>0</v>
      </c>
      <c r="AE28" s="103">
        <f t="shared" si="17"/>
        <v>0</v>
      </c>
      <c r="AF28" s="103">
        <f t="shared" si="17"/>
        <v>0</v>
      </c>
      <c r="AG28" s="103">
        <f t="shared" si="17"/>
        <v>0</v>
      </c>
      <c r="AH28" s="103">
        <f t="shared" si="17"/>
        <v>0</v>
      </c>
      <c r="AI28" s="103">
        <f t="shared" si="17"/>
        <v>0</v>
      </c>
      <c r="AJ28" s="103">
        <f t="shared" si="17"/>
        <v>0</v>
      </c>
      <c r="AK28" s="103">
        <f t="shared" si="17"/>
        <v>0</v>
      </c>
      <c r="AL28" s="103">
        <f t="shared" si="17"/>
        <v>0</v>
      </c>
      <c r="AM28" s="103">
        <f t="shared" si="17"/>
        <v>0</v>
      </c>
      <c r="AN28" s="103">
        <f t="shared" si="17"/>
        <v>0</v>
      </c>
      <c r="AO28" s="103">
        <f t="shared" si="17"/>
        <v>0</v>
      </c>
      <c r="AP28" s="103">
        <f t="shared" si="17"/>
        <v>0</v>
      </c>
      <c r="AQ28" s="103">
        <f t="shared" si="17"/>
        <v>0</v>
      </c>
      <c r="AR28" s="103">
        <f t="shared" si="17"/>
        <v>0</v>
      </c>
      <c r="AS28" s="105"/>
      <c r="AT28" s="103">
        <f t="shared" si="18"/>
        <v>0</v>
      </c>
      <c r="AU28" s="103">
        <f t="shared" si="18"/>
        <v>0</v>
      </c>
      <c r="AV28" s="103">
        <f t="shared" si="18"/>
        <v>0</v>
      </c>
      <c r="AW28" s="103">
        <f t="shared" si="18"/>
        <v>0</v>
      </c>
      <c r="AX28" s="103">
        <f t="shared" si="18"/>
        <v>0</v>
      </c>
      <c r="AY28" s="103">
        <f t="shared" si="25"/>
        <v>0</v>
      </c>
      <c r="AZ28" s="132">
        <f t="shared" ref="AZ28:AZ36" si="31">IFERROR(1-($AY28/$AY$24),0)</f>
        <v>1</v>
      </c>
      <c r="BA28" s="132">
        <f t="shared" ref="BA28:BA36" si="32">IFERROR(1-($AY28/$AY$25),0)</f>
        <v>0</v>
      </c>
      <c r="BB28" s="105"/>
      <c r="BC28" s="138">
        <f t="shared" ref="BC28:BH36" si="33">IFERROR(BC13/$B28,0)</f>
        <v>0</v>
      </c>
      <c r="BD28" s="138">
        <f t="shared" si="33"/>
        <v>0</v>
      </c>
      <c r="BE28" s="138">
        <f t="shared" si="33"/>
        <v>0</v>
      </c>
      <c r="BF28" s="138">
        <f t="shared" si="33"/>
        <v>0</v>
      </c>
      <c r="BG28" s="138">
        <f t="shared" si="33"/>
        <v>0</v>
      </c>
      <c r="BH28" s="138">
        <f t="shared" si="33"/>
        <v>0</v>
      </c>
      <c r="BI28" s="138">
        <f t="shared" ref="BI28:BI36" si="34">SUM(BC28:BH28)</f>
        <v>0</v>
      </c>
      <c r="BJ28" s="132">
        <f t="shared" ref="BJ28:BJ36" si="35">IFERROR(BI28/AY28,0)</f>
        <v>0</v>
      </c>
      <c r="BK28" s="113"/>
      <c r="BL28" s="103">
        <f t="shared" si="19"/>
        <v>0</v>
      </c>
      <c r="BM28" s="103">
        <f t="shared" si="20"/>
        <v>0</v>
      </c>
      <c r="BN28" s="103">
        <f t="shared" si="21"/>
        <v>0</v>
      </c>
      <c r="BO28" s="103">
        <f t="shared" si="22"/>
        <v>0</v>
      </c>
      <c r="BP28" s="103">
        <f t="shared" si="23"/>
        <v>0</v>
      </c>
      <c r="BQ28" s="103">
        <f t="shared" si="26"/>
        <v>0</v>
      </c>
      <c r="BR28" s="111">
        <f t="shared" ref="BR28:BR36" si="36">IFERROR(1-($BQ28/$BQ$24),0)</f>
        <v>1</v>
      </c>
      <c r="BS28" s="111">
        <f t="shared" ref="BS28:BS36" si="37">IFERROR(1-($BQ28/$BQ$25),0)</f>
        <v>0</v>
      </c>
    </row>
    <row r="29" spans="1:71">
      <c r="A29" s="105" t="str">
        <f t="shared" si="15"/>
        <v xml:space="preserve"> </v>
      </c>
      <c r="B29" s="109">
        <f>Proposed!C39</f>
        <v>13652</v>
      </c>
      <c r="C29" s="103">
        <f t="shared" ref="C29:AA29" si="38">IFERROR(C14/$B29,0)</f>
        <v>0</v>
      </c>
      <c r="D29" s="103">
        <f t="shared" si="38"/>
        <v>0</v>
      </c>
      <c r="E29" s="103">
        <f t="shared" si="38"/>
        <v>0</v>
      </c>
      <c r="F29" s="103">
        <f t="shared" si="38"/>
        <v>0</v>
      </c>
      <c r="G29" s="103">
        <f t="shared" si="38"/>
        <v>0</v>
      </c>
      <c r="H29" s="103">
        <f t="shared" si="38"/>
        <v>0</v>
      </c>
      <c r="I29" s="103">
        <f t="shared" si="38"/>
        <v>0</v>
      </c>
      <c r="J29" s="103">
        <f t="shared" si="38"/>
        <v>0</v>
      </c>
      <c r="K29" s="103">
        <f t="shared" si="38"/>
        <v>0</v>
      </c>
      <c r="L29" s="103">
        <f t="shared" si="38"/>
        <v>0</v>
      </c>
      <c r="M29" s="103">
        <f t="shared" si="38"/>
        <v>0</v>
      </c>
      <c r="N29" s="103">
        <f t="shared" si="38"/>
        <v>0</v>
      </c>
      <c r="O29" s="103">
        <f t="shared" si="38"/>
        <v>0</v>
      </c>
      <c r="P29" s="103">
        <f t="shared" si="38"/>
        <v>0</v>
      </c>
      <c r="Q29" s="103">
        <f t="shared" si="38"/>
        <v>0</v>
      </c>
      <c r="R29" s="103">
        <f t="shared" si="38"/>
        <v>0</v>
      </c>
      <c r="S29" s="103">
        <f t="shared" si="38"/>
        <v>0</v>
      </c>
      <c r="T29" s="103">
        <f t="shared" si="38"/>
        <v>0</v>
      </c>
      <c r="U29" s="103">
        <f t="shared" si="38"/>
        <v>0</v>
      </c>
      <c r="V29" s="103">
        <f t="shared" si="38"/>
        <v>0</v>
      </c>
      <c r="W29" s="103">
        <f t="shared" si="38"/>
        <v>0</v>
      </c>
      <c r="X29" s="103">
        <f t="shared" si="38"/>
        <v>0</v>
      </c>
      <c r="Y29" s="103">
        <f t="shared" si="38"/>
        <v>0</v>
      </c>
      <c r="Z29" s="103">
        <f t="shared" si="38"/>
        <v>0</v>
      </c>
      <c r="AA29" s="103">
        <f t="shared" si="38"/>
        <v>0</v>
      </c>
      <c r="AC29" s="103">
        <f t="shared" si="17"/>
        <v>0</v>
      </c>
      <c r="AD29" s="103">
        <f t="shared" si="17"/>
        <v>0</v>
      </c>
      <c r="AE29" s="103">
        <f t="shared" si="17"/>
        <v>0</v>
      </c>
      <c r="AF29" s="103">
        <f t="shared" si="17"/>
        <v>0</v>
      </c>
      <c r="AG29" s="103">
        <f t="shared" si="17"/>
        <v>0</v>
      </c>
      <c r="AH29" s="103">
        <f t="shared" si="17"/>
        <v>0</v>
      </c>
      <c r="AI29" s="103">
        <f t="shared" si="17"/>
        <v>0</v>
      </c>
      <c r="AJ29" s="103">
        <f t="shared" si="17"/>
        <v>0</v>
      </c>
      <c r="AK29" s="103">
        <f t="shared" si="17"/>
        <v>0</v>
      </c>
      <c r="AL29" s="103">
        <f t="shared" si="17"/>
        <v>0</v>
      </c>
      <c r="AM29" s="103">
        <f t="shared" si="17"/>
        <v>0</v>
      </c>
      <c r="AN29" s="103">
        <f t="shared" si="17"/>
        <v>0</v>
      </c>
      <c r="AO29" s="103">
        <f t="shared" si="17"/>
        <v>0</v>
      </c>
      <c r="AP29" s="103">
        <f t="shared" si="17"/>
        <v>0</v>
      </c>
      <c r="AQ29" s="103">
        <f t="shared" si="17"/>
        <v>0</v>
      </c>
      <c r="AR29" s="103">
        <f t="shared" si="17"/>
        <v>0</v>
      </c>
      <c r="AS29" s="105"/>
      <c r="AT29" s="103">
        <f t="shared" si="18"/>
        <v>0</v>
      </c>
      <c r="AU29" s="103">
        <f t="shared" si="18"/>
        <v>0</v>
      </c>
      <c r="AV29" s="103">
        <f t="shared" si="18"/>
        <v>0</v>
      </c>
      <c r="AW29" s="103">
        <f t="shared" si="18"/>
        <v>0</v>
      </c>
      <c r="AX29" s="103">
        <f t="shared" si="18"/>
        <v>0</v>
      </c>
      <c r="AY29" s="103">
        <f t="shared" si="25"/>
        <v>0</v>
      </c>
      <c r="AZ29" s="132">
        <f t="shared" si="31"/>
        <v>1</v>
      </c>
      <c r="BA29" s="132">
        <f t="shared" si="32"/>
        <v>0</v>
      </c>
      <c r="BB29" s="105"/>
      <c r="BC29" s="138">
        <f t="shared" si="33"/>
        <v>0</v>
      </c>
      <c r="BD29" s="138">
        <f t="shared" si="33"/>
        <v>0</v>
      </c>
      <c r="BE29" s="138">
        <f t="shared" si="33"/>
        <v>0</v>
      </c>
      <c r="BF29" s="138">
        <f t="shared" si="33"/>
        <v>0</v>
      </c>
      <c r="BG29" s="138">
        <f t="shared" si="33"/>
        <v>0</v>
      </c>
      <c r="BH29" s="138">
        <f t="shared" si="33"/>
        <v>0</v>
      </c>
      <c r="BI29" s="138">
        <f t="shared" si="34"/>
        <v>0</v>
      </c>
      <c r="BJ29" s="132">
        <f t="shared" si="35"/>
        <v>0</v>
      </c>
      <c r="BK29" s="113"/>
      <c r="BL29" s="103">
        <f t="shared" si="19"/>
        <v>0</v>
      </c>
      <c r="BM29" s="103">
        <f t="shared" si="20"/>
        <v>0</v>
      </c>
      <c r="BN29" s="103">
        <f t="shared" si="21"/>
        <v>0</v>
      </c>
      <c r="BO29" s="103">
        <f t="shared" si="22"/>
        <v>0</v>
      </c>
      <c r="BP29" s="103">
        <f t="shared" si="23"/>
        <v>0</v>
      </c>
      <c r="BQ29" s="103">
        <f t="shared" si="26"/>
        <v>0</v>
      </c>
      <c r="BR29" s="111">
        <f t="shared" si="36"/>
        <v>1</v>
      </c>
      <c r="BS29" s="111">
        <f t="shared" si="37"/>
        <v>0</v>
      </c>
    </row>
    <row r="30" spans="1:71">
      <c r="A30" s="105" t="str">
        <f t="shared" si="15"/>
        <v xml:space="preserve"> </v>
      </c>
      <c r="B30" s="109">
        <f>Proposed!C53</f>
        <v>13652</v>
      </c>
      <c r="C30" s="103">
        <f t="shared" ref="C30:AA30" si="39">IFERROR(C15/$B30,0)</f>
        <v>0</v>
      </c>
      <c r="D30" s="103">
        <f t="shared" si="39"/>
        <v>0</v>
      </c>
      <c r="E30" s="103">
        <f t="shared" si="39"/>
        <v>0</v>
      </c>
      <c r="F30" s="103">
        <f t="shared" si="39"/>
        <v>0</v>
      </c>
      <c r="G30" s="103">
        <f t="shared" si="39"/>
        <v>0</v>
      </c>
      <c r="H30" s="103">
        <f t="shared" si="39"/>
        <v>0</v>
      </c>
      <c r="I30" s="103">
        <f t="shared" si="39"/>
        <v>0</v>
      </c>
      <c r="J30" s="103">
        <f t="shared" si="39"/>
        <v>0</v>
      </c>
      <c r="K30" s="103">
        <f t="shared" si="39"/>
        <v>0</v>
      </c>
      <c r="L30" s="103">
        <f t="shared" si="39"/>
        <v>0</v>
      </c>
      <c r="M30" s="103">
        <f t="shared" si="39"/>
        <v>0</v>
      </c>
      <c r="N30" s="103">
        <f t="shared" si="39"/>
        <v>0</v>
      </c>
      <c r="O30" s="103">
        <f t="shared" si="39"/>
        <v>0</v>
      </c>
      <c r="P30" s="103">
        <f t="shared" si="39"/>
        <v>0</v>
      </c>
      <c r="Q30" s="103">
        <f t="shared" si="39"/>
        <v>0</v>
      </c>
      <c r="R30" s="103">
        <f t="shared" si="39"/>
        <v>0</v>
      </c>
      <c r="S30" s="103">
        <f t="shared" si="39"/>
        <v>0</v>
      </c>
      <c r="T30" s="103">
        <f t="shared" si="39"/>
        <v>0</v>
      </c>
      <c r="U30" s="103">
        <f t="shared" si="39"/>
        <v>0</v>
      </c>
      <c r="V30" s="103">
        <f t="shared" si="39"/>
        <v>0</v>
      </c>
      <c r="W30" s="103">
        <f t="shared" si="39"/>
        <v>0</v>
      </c>
      <c r="X30" s="103">
        <f t="shared" si="39"/>
        <v>0</v>
      </c>
      <c r="Y30" s="103">
        <f t="shared" si="39"/>
        <v>0</v>
      </c>
      <c r="Z30" s="103">
        <f t="shared" si="39"/>
        <v>0</v>
      </c>
      <c r="AA30" s="103">
        <f t="shared" si="39"/>
        <v>0</v>
      </c>
      <c r="AC30" s="103">
        <f t="shared" si="17"/>
        <v>0</v>
      </c>
      <c r="AD30" s="103">
        <f t="shared" si="17"/>
        <v>0</v>
      </c>
      <c r="AE30" s="103">
        <f t="shared" si="17"/>
        <v>0</v>
      </c>
      <c r="AF30" s="103">
        <f t="shared" si="17"/>
        <v>0</v>
      </c>
      <c r="AG30" s="103">
        <f t="shared" si="17"/>
        <v>0</v>
      </c>
      <c r="AH30" s="103">
        <f t="shared" si="17"/>
        <v>0</v>
      </c>
      <c r="AI30" s="103">
        <f t="shared" si="17"/>
        <v>0</v>
      </c>
      <c r="AJ30" s="103">
        <f t="shared" si="17"/>
        <v>0</v>
      </c>
      <c r="AK30" s="103">
        <f t="shared" si="17"/>
        <v>0</v>
      </c>
      <c r="AL30" s="103">
        <f t="shared" si="17"/>
        <v>0</v>
      </c>
      <c r="AM30" s="103">
        <f t="shared" si="17"/>
        <v>0</v>
      </c>
      <c r="AN30" s="103">
        <f t="shared" si="17"/>
        <v>0</v>
      </c>
      <c r="AO30" s="103">
        <f t="shared" si="17"/>
        <v>0</v>
      </c>
      <c r="AP30" s="103">
        <f t="shared" si="17"/>
        <v>0</v>
      </c>
      <c r="AQ30" s="103">
        <f t="shared" si="17"/>
        <v>0</v>
      </c>
      <c r="AR30" s="103">
        <f t="shared" si="17"/>
        <v>0</v>
      </c>
      <c r="AS30" s="105"/>
      <c r="AT30" s="103">
        <f t="shared" si="18"/>
        <v>0</v>
      </c>
      <c r="AU30" s="103">
        <f t="shared" si="18"/>
        <v>0</v>
      </c>
      <c r="AV30" s="103">
        <f t="shared" si="18"/>
        <v>0</v>
      </c>
      <c r="AW30" s="103">
        <f t="shared" si="18"/>
        <v>0</v>
      </c>
      <c r="AX30" s="103">
        <f t="shared" si="18"/>
        <v>0</v>
      </c>
      <c r="AY30" s="103">
        <f t="shared" si="25"/>
        <v>0</v>
      </c>
      <c r="AZ30" s="132">
        <f t="shared" si="31"/>
        <v>1</v>
      </c>
      <c r="BA30" s="132">
        <f t="shared" si="32"/>
        <v>0</v>
      </c>
      <c r="BB30" s="105"/>
      <c r="BC30" s="138">
        <f t="shared" si="33"/>
        <v>0</v>
      </c>
      <c r="BD30" s="138">
        <f t="shared" si="33"/>
        <v>0</v>
      </c>
      <c r="BE30" s="138">
        <f t="shared" si="33"/>
        <v>0</v>
      </c>
      <c r="BF30" s="138">
        <f t="shared" si="33"/>
        <v>0</v>
      </c>
      <c r="BG30" s="138">
        <f t="shared" si="33"/>
        <v>0</v>
      </c>
      <c r="BH30" s="138">
        <f t="shared" si="33"/>
        <v>0</v>
      </c>
      <c r="BI30" s="138">
        <f t="shared" si="34"/>
        <v>0</v>
      </c>
      <c r="BJ30" s="132">
        <f t="shared" si="35"/>
        <v>0</v>
      </c>
      <c r="BK30" s="113"/>
      <c r="BL30" s="103">
        <f t="shared" si="19"/>
        <v>0</v>
      </c>
      <c r="BM30" s="103">
        <f t="shared" si="20"/>
        <v>0</v>
      </c>
      <c r="BN30" s="103">
        <f t="shared" si="21"/>
        <v>0</v>
      </c>
      <c r="BO30" s="103">
        <f t="shared" si="22"/>
        <v>0</v>
      </c>
      <c r="BP30" s="103">
        <f t="shared" si="23"/>
        <v>0</v>
      </c>
      <c r="BQ30" s="103">
        <f t="shared" si="26"/>
        <v>0</v>
      </c>
      <c r="BR30" s="111">
        <f t="shared" si="36"/>
        <v>1</v>
      </c>
      <c r="BS30" s="111">
        <f t="shared" si="37"/>
        <v>0</v>
      </c>
    </row>
    <row r="31" spans="1:71">
      <c r="A31" s="105" t="str">
        <f t="shared" si="15"/>
        <v xml:space="preserve"> </v>
      </c>
      <c r="B31" s="109">
        <f>Proposed!C67</f>
        <v>13652</v>
      </c>
      <c r="C31" s="103">
        <f t="shared" ref="C31:AA31" si="40">IFERROR(C16/$B31,0)</f>
        <v>0</v>
      </c>
      <c r="D31" s="103">
        <f t="shared" si="40"/>
        <v>0</v>
      </c>
      <c r="E31" s="103">
        <f t="shared" si="40"/>
        <v>0</v>
      </c>
      <c r="F31" s="103">
        <f t="shared" si="40"/>
        <v>0</v>
      </c>
      <c r="G31" s="103">
        <f t="shared" si="40"/>
        <v>0</v>
      </c>
      <c r="H31" s="103">
        <f t="shared" si="40"/>
        <v>0</v>
      </c>
      <c r="I31" s="103">
        <f t="shared" si="40"/>
        <v>0</v>
      </c>
      <c r="J31" s="103">
        <f t="shared" si="40"/>
        <v>0</v>
      </c>
      <c r="K31" s="103">
        <f t="shared" si="40"/>
        <v>0</v>
      </c>
      <c r="L31" s="103">
        <f t="shared" si="40"/>
        <v>0</v>
      </c>
      <c r="M31" s="103">
        <f t="shared" si="40"/>
        <v>0</v>
      </c>
      <c r="N31" s="103">
        <f t="shared" si="40"/>
        <v>0</v>
      </c>
      <c r="O31" s="103">
        <f t="shared" si="40"/>
        <v>0</v>
      </c>
      <c r="P31" s="103">
        <f t="shared" si="40"/>
        <v>0</v>
      </c>
      <c r="Q31" s="103">
        <f t="shared" si="40"/>
        <v>0</v>
      </c>
      <c r="R31" s="103">
        <f t="shared" si="40"/>
        <v>0</v>
      </c>
      <c r="S31" s="103">
        <f t="shared" si="40"/>
        <v>0</v>
      </c>
      <c r="T31" s="103">
        <f t="shared" si="40"/>
        <v>0</v>
      </c>
      <c r="U31" s="103">
        <f t="shared" si="40"/>
        <v>0</v>
      </c>
      <c r="V31" s="103">
        <f t="shared" si="40"/>
        <v>0</v>
      </c>
      <c r="W31" s="103">
        <f t="shared" si="40"/>
        <v>0</v>
      </c>
      <c r="X31" s="103">
        <f t="shared" si="40"/>
        <v>0</v>
      </c>
      <c r="Y31" s="103">
        <f t="shared" si="40"/>
        <v>0</v>
      </c>
      <c r="Z31" s="103">
        <f t="shared" si="40"/>
        <v>0</v>
      </c>
      <c r="AA31" s="103">
        <f t="shared" si="40"/>
        <v>0</v>
      </c>
      <c r="AC31" s="103">
        <f t="shared" si="17"/>
        <v>0</v>
      </c>
      <c r="AD31" s="103">
        <f t="shared" si="17"/>
        <v>0</v>
      </c>
      <c r="AE31" s="103">
        <f t="shared" si="17"/>
        <v>0</v>
      </c>
      <c r="AF31" s="103">
        <f t="shared" si="17"/>
        <v>0</v>
      </c>
      <c r="AG31" s="103">
        <f t="shared" si="17"/>
        <v>0</v>
      </c>
      <c r="AH31" s="103">
        <f t="shared" si="17"/>
        <v>0</v>
      </c>
      <c r="AI31" s="103">
        <f t="shared" si="17"/>
        <v>0</v>
      </c>
      <c r="AJ31" s="103">
        <f t="shared" si="17"/>
        <v>0</v>
      </c>
      <c r="AK31" s="103">
        <f t="shared" si="17"/>
        <v>0</v>
      </c>
      <c r="AL31" s="103">
        <f t="shared" si="17"/>
        <v>0</v>
      </c>
      <c r="AM31" s="103">
        <f t="shared" si="17"/>
        <v>0</v>
      </c>
      <c r="AN31" s="103">
        <f t="shared" si="17"/>
        <v>0</v>
      </c>
      <c r="AO31" s="103">
        <f t="shared" si="17"/>
        <v>0</v>
      </c>
      <c r="AP31" s="103">
        <f t="shared" si="17"/>
        <v>0</v>
      </c>
      <c r="AQ31" s="103">
        <f t="shared" si="17"/>
        <v>0</v>
      </c>
      <c r="AR31" s="103">
        <f t="shared" si="17"/>
        <v>0</v>
      </c>
      <c r="AS31" s="105"/>
      <c r="AT31" s="103">
        <f t="shared" si="18"/>
        <v>0</v>
      </c>
      <c r="AU31" s="103">
        <f t="shared" si="18"/>
        <v>0</v>
      </c>
      <c r="AV31" s="103">
        <f t="shared" si="18"/>
        <v>0</v>
      </c>
      <c r="AW31" s="103">
        <f t="shared" si="18"/>
        <v>0</v>
      </c>
      <c r="AX31" s="103">
        <f t="shared" si="18"/>
        <v>0</v>
      </c>
      <c r="AY31" s="103">
        <f t="shared" si="25"/>
        <v>0</v>
      </c>
      <c r="AZ31" s="132">
        <f t="shared" si="31"/>
        <v>1</v>
      </c>
      <c r="BA31" s="132">
        <f t="shared" si="32"/>
        <v>0</v>
      </c>
      <c r="BB31" s="105"/>
      <c r="BC31" s="138">
        <f t="shared" si="33"/>
        <v>0</v>
      </c>
      <c r="BD31" s="138">
        <f t="shared" si="33"/>
        <v>0</v>
      </c>
      <c r="BE31" s="138">
        <f t="shared" si="33"/>
        <v>0</v>
      </c>
      <c r="BF31" s="138">
        <f t="shared" si="33"/>
        <v>0</v>
      </c>
      <c r="BG31" s="138">
        <f t="shared" si="33"/>
        <v>0</v>
      </c>
      <c r="BH31" s="138">
        <f t="shared" si="33"/>
        <v>0</v>
      </c>
      <c r="BI31" s="138">
        <f t="shared" si="34"/>
        <v>0</v>
      </c>
      <c r="BJ31" s="132">
        <f t="shared" si="35"/>
        <v>0</v>
      </c>
      <c r="BK31" s="113"/>
      <c r="BL31" s="103">
        <f t="shared" si="19"/>
        <v>0</v>
      </c>
      <c r="BM31" s="103">
        <f t="shared" si="20"/>
        <v>0</v>
      </c>
      <c r="BN31" s="103">
        <f t="shared" si="21"/>
        <v>0</v>
      </c>
      <c r="BO31" s="103">
        <f t="shared" si="22"/>
        <v>0</v>
      </c>
      <c r="BP31" s="103">
        <f t="shared" si="23"/>
        <v>0</v>
      </c>
      <c r="BQ31" s="103">
        <f t="shared" si="26"/>
        <v>0</v>
      </c>
      <c r="BR31" s="111">
        <f t="shared" si="36"/>
        <v>1</v>
      </c>
      <c r="BS31" s="111">
        <f t="shared" si="37"/>
        <v>0</v>
      </c>
    </row>
    <row r="32" spans="1:71">
      <c r="A32" s="105" t="str">
        <f t="shared" si="15"/>
        <v xml:space="preserve"> </v>
      </c>
      <c r="B32" s="109">
        <f>Proposed!C81</f>
        <v>13652</v>
      </c>
      <c r="C32" s="103">
        <f t="shared" ref="C32:AA32" si="41">IFERROR(C17/$B32,0)</f>
        <v>0</v>
      </c>
      <c r="D32" s="103">
        <f t="shared" si="41"/>
        <v>0</v>
      </c>
      <c r="E32" s="103">
        <f t="shared" si="41"/>
        <v>0</v>
      </c>
      <c r="F32" s="103">
        <f t="shared" si="41"/>
        <v>0</v>
      </c>
      <c r="G32" s="103">
        <f t="shared" si="41"/>
        <v>0</v>
      </c>
      <c r="H32" s="103">
        <f t="shared" si="41"/>
        <v>0</v>
      </c>
      <c r="I32" s="103">
        <f t="shared" si="41"/>
        <v>0</v>
      </c>
      <c r="J32" s="103">
        <f t="shared" si="41"/>
        <v>0</v>
      </c>
      <c r="K32" s="103">
        <f t="shared" si="41"/>
        <v>0</v>
      </c>
      <c r="L32" s="103">
        <f t="shared" si="41"/>
        <v>0</v>
      </c>
      <c r="M32" s="103">
        <f t="shared" si="41"/>
        <v>0</v>
      </c>
      <c r="N32" s="103">
        <f t="shared" si="41"/>
        <v>0</v>
      </c>
      <c r="O32" s="103">
        <f t="shared" si="41"/>
        <v>0</v>
      </c>
      <c r="P32" s="103">
        <f t="shared" si="41"/>
        <v>0</v>
      </c>
      <c r="Q32" s="103">
        <f t="shared" si="41"/>
        <v>0</v>
      </c>
      <c r="R32" s="103">
        <f t="shared" si="41"/>
        <v>0</v>
      </c>
      <c r="S32" s="103">
        <f t="shared" si="41"/>
        <v>0</v>
      </c>
      <c r="T32" s="103">
        <f t="shared" si="41"/>
        <v>0</v>
      </c>
      <c r="U32" s="103">
        <f t="shared" si="41"/>
        <v>0</v>
      </c>
      <c r="V32" s="103">
        <f t="shared" si="41"/>
        <v>0</v>
      </c>
      <c r="W32" s="103">
        <f t="shared" si="41"/>
        <v>0</v>
      </c>
      <c r="X32" s="103">
        <f t="shared" si="41"/>
        <v>0</v>
      </c>
      <c r="Y32" s="103">
        <f t="shared" si="41"/>
        <v>0</v>
      </c>
      <c r="Z32" s="103">
        <f t="shared" si="41"/>
        <v>0</v>
      </c>
      <c r="AA32" s="103">
        <f t="shared" si="41"/>
        <v>0</v>
      </c>
      <c r="AC32" s="103">
        <f t="shared" si="17"/>
        <v>0</v>
      </c>
      <c r="AD32" s="103">
        <f t="shared" si="17"/>
        <v>0</v>
      </c>
      <c r="AE32" s="103">
        <f t="shared" si="17"/>
        <v>0</v>
      </c>
      <c r="AF32" s="103">
        <f t="shared" si="17"/>
        <v>0</v>
      </c>
      <c r="AG32" s="103">
        <f t="shared" si="17"/>
        <v>0</v>
      </c>
      <c r="AH32" s="103">
        <f t="shared" si="17"/>
        <v>0</v>
      </c>
      <c r="AI32" s="103">
        <f t="shared" si="17"/>
        <v>0</v>
      </c>
      <c r="AJ32" s="103">
        <f t="shared" si="17"/>
        <v>0</v>
      </c>
      <c r="AK32" s="103">
        <f t="shared" si="17"/>
        <v>0</v>
      </c>
      <c r="AL32" s="103">
        <f t="shared" si="17"/>
        <v>0</v>
      </c>
      <c r="AM32" s="103">
        <f t="shared" si="17"/>
        <v>0</v>
      </c>
      <c r="AN32" s="103">
        <f t="shared" si="17"/>
        <v>0</v>
      </c>
      <c r="AO32" s="103">
        <f t="shared" si="17"/>
        <v>0</v>
      </c>
      <c r="AP32" s="103">
        <f t="shared" si="17"/>
        <v>0</v>
      </c>
      <c r="AQ32" s="103">
        <f t="shared" si="17"/>
        <v>0</v>
      </c>
      <c r="AR32" s="103">
        <f t="shared" si="17"/>
        <v>0</v>
      </c>
      <c r="AS32" s="105"/>
      <c r="AT32" s="103">
        <f t="shared" si="18"/>
        <v>0</v>
      </c>
      <c r="AU32" s="103">
        <f t="shared" si="18"/>
        <v>0</v>
      </c>
      <c r="AV32" s="103">
        <f t="shared" si="18"/>
        <v>0</v>
      </c>
      <c r="AW32" s="103">
        <f t="shared" si="18"/>
        <v>0</v>
      </c>
      <c r="AX32" s="103">
        <f t="shared" si="18"/>
        <v>0</v>
      </c>
      <c r="AY32" s="103">
        <f t="shared" si="25"/>
        <v>0</v>
      </c>
      <c r="AZ32" s="132">
        <f t="shared" si="31"/>
        <v>1</v>
      </c>
      <c r="BA32" s="132">
        <f t="shared" si="32"/>
        <v>0</v>
      </c>
      <c r="BB32" s="105"/>
      <c r="BC32" s="138">
        <f t="shared" si="33"/>
        <v>0</v>
      </c>
      <c r="BD32" s="138">
        <f t="shared" si="33"/>
        <v>0</v>
      </c>
      <c r="BE32" s="138">
        <f t="shared" si="33"/>
        <v>0</v>
      </c>
      <c r="BF32" s="138">
        <f t="shared" si="33"/>
        <v>0</v>
      </c>
      <c r="BG32" s="138">
        <f t="shared" si="33"/>
        <v>0</v>
      </c>
      <c r="BH32" s="138">
        <f t="shared" si="33"/>
        <v>0</v>
      </c>
      <c r="BI32" s="138">
        <f t="shared" si="34"/>
        <v>0</v>
      </c>
      <c r="BJ32" s="132">
        <f t="shared" si="35"/>
        <v>0</v>
      </c>
      <c r="BK32" s="113"/>
      <c r="BL32" s="103">
        <f t="shared" si="19"/>
        <v>0</v>
      </c>
      <c r="BM32" s="103">
        <f t="shared" si="20"/>
        <v>0</v>
      </c>
      <c r="BN32" s="103">
        <f t="shared" si="21"/>
        <v>0</v>
      </c>
      <c r="BO32" s="103">
        <f t="shared" si="22"/>
        <v>0</v>
      </c>
      <c r="BP32" s="103">
        <f t="shared" si="23"/>
        <v>0</v>
      </c>
      <c r="BQ32" s="103">
        <f t="shared" si="26"/>
        <v>0</v>
      </c>
      <c r="BR32" s="111">
        <f t="shared" si="36"/>
        <v>1</v>
      </c>
      <c r="BS32" s="111">
        <f t="shared" si="37"/>
        <v>0</v>
      </c>
    </row>
    <row r="33" spans="1:71">
      <c r="A33" s="105" t="str">
        <f t="shared" si="15"/>
        <v xml:space="preserve"> </v>
      </c>
      <c r="B33" s="109">
        <f>Proposed!C95</f>
        <v>13652</v>
      </c>
      <c r="C33" s="103">
        <f t="shared" ref="C33:AA33" si="42">IFERROR(C18/$B33,0)</f>
        <v>0</v>
      </c>
      <c r="D33" s="103">
        <f t="shared" si="42"/>
        <v>0</v>
      </c>
      <c r="E33" s="103">
        <f t="shared" si="42"/>
        <v>0</v>
      </c>
      <c r="F33" s="103">
        <f t="shared" si="42"/>
        <v>0</v>
      </c>
      <c r="G33" s="103">
        <f t="shared" si="42"/>
        <v>0</v>
      </c>
      <c r="H33" s="103">
        <f t="shared" si="42"/>
        <v>0</v>
      </c>
      <c r="I33" s="103">
        <f t="shared" si="42"/>
        <v>0</v>
      </c>
      <c r="J33" s="103">
        <f t="shared" si="42"/>
        <v>0</v>
      </c>
      <c r="K33" s="103">
        <f t="shared" si="42"/>
        <v>0</v>
      </c>
      <c r="L33" s="103">
        <f t="shared" si="42"/>
        <v>0</v>
      </c>
      <c r="M33" s="103">
        <f t="shared" si="42"/>
        <v>0</v>
      </c>
      <c r="N33" s="103">
        <f t="shared" si="42"/>
        <v>0</v>
      </c>
      <c r="O33" s="103">
        <f t="shared" si="42"/>
        <v>0</v>
      </c>
      <c r="P33" s="103">
        <f t="shared" si="42"/>
        <v>0</v>
      </c>
      <c r="Q33" s="103">
        <f t="shared" si="42"/>
        <v>0</v>
      </c>
      <c r="R33" s="103">
        <f t="shared" si="42"/>
        <v>0</v>
      </c>
      <c r="S33" s="103">
        <f t="shared" si="42"/>
        <v>0</v>
      </c>
      <c r="T33" s="103">
        <f t="shared" si="42"/>
        <v>0</v>
      </c>
      <c r="U33" s="103">
        <f t="shared" si="42"/>
        <v>0</v>
      </c>
      <c r="V33" s="103">
        <f t="shared" si="42"/>
        <v>0</v>
      </c>
      <c r="W33" s="103">
        <f t="shared" si="42"/>
        <v>0</v>
      </c>
      <c r="X33" s="103">
        <f t="shared" si="42"/>
        <v>0</v>
      </c>
      <c r="Y33" s="103">
        <f t="shared" si="42"/>
        <v>0</v>
      </c>
      <c r="Z33" s="103">
        <f t="shared" si="42"/>
        <v>0</v>
      </c>
      <c r="AA33" s="103">
        <f t="shared" si="42"/>
        <v>0</v>
      </c>
      <c r="AC33" s="103">
        <f t="shared" si="17"/>
        <v>0</v>
      </c>
      <c r="AD33" s="103">
        <f t="shared" si="17"/>
        <v>0</v>
      </c>
      <c r="AE33" s="103">
        <f t="shared" si="17"/>
        <v>0</v>
      </c>
      <c r="AF33" s="103">
        <f t="shared" si="17"/>
        <v>0</v>
      </c>
      <c r="AG33" s="103">
        <f t="shared" si="17"/>
        <v>0</v>
      </c>
      <c r="AH33" s="103">
        <f t="shared" si="17"/>
        <v>0</v>
      </c>
      <c r="AI33" s="103">
        <f t="shared" si="17"/>
        <v>0</v>
      </c>
      <c r="AJ33" s="103">
        <f t="shared" si="17"/>
        <v>0</v>
      </c>
      <c r="AK33" s="103">
        <f t="shared" si="17"/>
        <v>0</v>
      </c>
      <c r="AL33" s="103">
        <f t="shared" si="17"/>
        <v>0</v>
      </c>
      <c r="AM33" s="103">
        <f t="shared" si="17"/>
        <v>0</v>
      </c>
      <c r="AN33" s="103">
        <f t="shared" si="17"/>
        <v>0</v>
      </c>
      <c r="AO33" s="103">
        <f t="shared" si="17"/>
        <v>0</v>
      </c>
      <c r="AP33" s="103">
        <f t="shared" si="17"/>
        <v>0</v>
      </c>
      <c r="AQ33" s="103">
        <f t="shared" si="17"/>
        <v>0</v>
      </c>
      <c r="AR33" s="103">
        <f t="shared" si="17"/>
        <v>0</v>
      </c>
      <c r="AS33" s="105"/>
      <c r="AT33" s="103">
        <f t="shared" si="18"/>
        <v>0</v>
      </c>
      <c r="AU33" s="103">
        <f t="shared" si="18"/>
        <v>0</v>
      </c>
      <c r="AV33" s="103">
        <f t="shared" si="18"/>
        <v>0</v>
      </c>
      <c r="AW33" s="103">
        <f t="shared" si="18"/>
        <v>0</v>
      </c>
      <c r="AX33" s="103">
        <f t="shared" si="18"/>
        <v>0</v>
      </c>
      <c r="AY33" s="103">
        <f t="shared" si="25"/>
        <v>0</v>
      </c>
      <c r="AZ33" s="132">
        <f t="shared" si="31"/>
        <v>1</v>
      </c>
      <c r="BA33" s="132">
        <f t="shared" si="32"/>
        <v>0</v>
      </c>
      <c r="BB33" s="105"/>
      <c r="BC33" s="138">
        <f t="shared" si="33"/>
        <v>0</v>
      </c>
      <c r="BD33" s="138">
        <f t="shared" si="33"/>
        <v>0</v>
      </c>
      <c r="BE33" s="138">
        <f t="shared" si="33"/>
        <v>0</v>
      </c>
      <c r="BF33" s="138">
        <f t="shared" si="33"/>
        <v>0</v>
      </c>
      <c r="BG33" s="138">
        <f t="shared" si="33"/>
        <v>0</v>
      </c>
      <c r="BH33" s="138">
        <f t="shared" si="33"/>
        <v>0</v>
      </c>
      <c r="BI33" s="138">
        <f t="shared" si="34"/>
        <v>0</v>
      </c>
      <c r="BJ33" s="132">
        <f t="shared" si="35"/>
        <v>0</v>
      </c>
      <c r="BK33" s="113"/>
      <c r="BL33" s="103">
        <f t="shared" si="19"/>
        <v>0</v>
      </c>
      <c r="BM33" s="103">
        <f t="shared" si="20"/>
        <v>0</v>
      </c>
      <c r="BN33" s="103">
        <f t="shared" si="21"/>
        <v>0</v>
      </c>
      <c r="BO33" s="103">
        <f t="shared" si="22"/>
        <v>0</v>
      </c>
      <c r="BP33" s="103">
        <f t="shared" si="23"/>
        <v>0</v>
      </c>
      <c r="BQ33" s="103">
        <f t="shared" si="26"/>
        <v>0</v>
      </c>
      <c r="BR33" s="111">
        <f t="shared" si="36"/>
        <v>1</v>
      </c>
      <c r="BS33" s="111">
        <f t="shared" si="37"/>
        <v>0</v>
      </c>
    </row>
    <row r="34" spans="1:71">
      <c r="A34" s="105" t="str">
        <f t="shared" si="15"/>
        <v xml:space="preserve"> </v>
      </c>
      <c r="B34" s="109">
        <f>Proposed!C109</f>
        <v>13652</v>
      </c>
      <c r="C34" s="103">
        <f t="shared" ref="C34:AA34" si="43">IFERROR(C19/$B34,0)</f>
        <v>0</v>
      </c>
      <c r="D34" s="103">
        <f t="shared" si="43"/>
        <v>0</v>
      </c>
      <c r="E34" s="103">
        <f t="shared" si="43"/>
        <v>0</v>
      </c>
      <c r="F34" s="103">
        <f t="shared" si="43"/>
        <v>0</v>
      </c>
      <c r="G34" s="103">
        <f t="shared" si="43"/>
        <v>0</v>
      </c>
      <c r="H34" s="103">
        <f t="shared" si="43"/>
        <v>0</v>
      </c>
      <c r="I34" s="103">
        <f t="shared" si="43"/>
        <v>0</v>
      </c>
      <c r="J34" s="103">
        <f t="shared" si="43"/>
        <v>0</v>
      </c>
      <c r="K34" s="103">
        <f t="shared" si="43"/>
        <v>0</v>
      </c>
      <c r="L34" s="103">
        <f t="shared" si="43"/>
        <v>0</v>
      </c>
      <c r="M34" s="103">
        <f t="shared" si="43"/>
        <v>0</v>
      </c>
      <c r="N34" s="103">
        <f t="shared" si="43"/>
        <v>0</v>
      </c>
      <c r="O34" s="103">
        <f t="shared" si="43"/>
        <v>0</v>
      </c>
      <c r="P34" s="103">
        <f t="shared" si="43"/>
        <v>0</v>
      </c>
      <c r="Q34" s="103">
        <f t="shared" si="43"/>
        <v>0</v>
      </c>
      <c r="R34" s="103">
        <f t="shared" si="43"/>
        <v>0</v>
      </c>
      <c r="S34" s="103">
        <f t="shared" si="43"/>
        <v>0</v>
      </c>
      <c r="T34" s="103">
        <f t="shared" si="43"/>
        <v>0</v>
      </c>
      <c r="U34" s="103">
        <f t="shared" si="43"/>
        <v>0</v>
      </c>
      <c r="V34" s="103">
        <f t="shared" si="43"/>
        <v>0</v>
      </c>
      <c r="W34" s="103">
        <f t="shared" si="43"/>
        <v>0</v>
      </c>
      <c r="X34" s="103">
        <f t="shared" si="43"/>
        <v>0</v>
      </c>
      <c r="Y34" s="103">
        <f t="shared" si="43"/>
        <v>0</v>
      </c>
      <c r="Z34" s="103">
        <f t="shared" si="43"/>
        <v>0</v>
      </c>
      <c r="AA34" s="103">
        <f t="shared" si="43"/>
        <v>0</v>
      </c>
      <c r="AC34" s="103">
        <f t="shared" si="17"/>
        <v>0</v>
      </c>
      <c r="AD34" s="103">
        <f t="shared" si="17"/>
        <v>0</v>
      </c>
      <c r="AE34" s="103">
        <f t="shared" si="17"/>
        <v>0</v>
      </c>
      <c r="AF34" s="103">
        <f t="shared" si="17"/>
        <v>0</v>
      </c>
      <c r="AG34" s="103">
        <f t="shared" si="17"/>
        <v>0</v>
      </c>
      <c r="AH34" s="103">
        <f t="shared" si="17"/>
        <v>0</v>
      </c>
      <c r="AI34" s="103">
        <f t="shared" si="17"/>
        <v>0</v>
      </c>
      <c r="AJ34" s="103">
        <f t="shared" si="17"/>
        <v>0</v>
      </c>
      <c r="AK34" s="103">
        <f t="shared" si="17"/>
        <v>0</v>
      </c>
      <c r="AL34" s="103">
        <f t="shared" si="17"/>
        <v>0</v>
      </c>
      <c r="AM34" s="103">
        <f t="shared" si="17"/>
        <v>0</v>
      </c>
      <c r="AN34" s="103">
        <f t="shared" si="17"/>
        <v>0</v>
      </c>
      <c r="AO34" s="103">
        <f t="shared" si="17"/>
        <v>0</v>
      </c>
      <c r="AP34" s="103">
        <f t="shared" si="17"/>
        <v>0</v>
      </c>
      <c r="AQ34" s="103">
        <f t="shared" si="17"/>
        <v>0</v>
      </c>
      <c r="AR34" s="103">
        <f t="shared" si="17"/>
        <v>0</v>
      </c>
      <c r="AS34" s="105"/>
      <c r="AT34" s="103">
        <f t="shared" si="18"/>
        <v>0</v>
      </c>
      <c r="AU34" s="103">
        <f t="shared" si="18"/>
        <v>0</v>
      </c>
      <c r="AV34" s="103">
        <f t="shared" si="18"/>
        <v>0</v>
      </c>
      <c r="AW34" s="103">
        <f t="shared" si="18"/>
        <v>0</v>
      </c>
      <c r="AX34" s="103">
        <f t="shared" si="18"/>
        <v>0</v>
      </c>
      <c r="AY34" s="103">
        <f t="shared" si="25"/>
        <v>0</v>
      </c>
      <c r="AZ34" s="132">
        <f t="shared" si="31"/>
        <v>1</v>
      </c>
      <c r="BA34" s="132">
        <f t="shared" si="32"/>
        <v>0</v>
      </c>
      <c r="BB34" s="105"/>
      <c r="BC34" s="138">
        <f t="shared" si="33"/>
        <v>0</v>
      </c>
      <c r="BD34" s="138">
        <f t="shared" si="33"/>
        <v>0</v>
      </c>
      <c r="BE34" s="138">
        <f t="shared" si="33"/>
        <v>0</v>
      </c>
      <c r="BF34" s="138">
        <f t="shared" si="33"/>
        <v>0</v>
      </c>
      <c r="BG34" s="138">
        <f t="shared" si="33"/>
        <v>0</v>
      </c>
      <c r="BH34" s="138">
        <f t="shared" si="33"/>
        <v>0</v>
      </c>
      <c r="BI34" s="138">
        <f t="shared" si="34"/>
        <v>0</v>
      </c>
      <c r="BJ34" s="132">
        <f t="shared" si="35"/>
        <v>0</v>
      </c>
      <c r="BK34" s="113"/>
      <c r="BL34" s="103">
        <f t="shared" si="19"/>
        <v>0</v>
      </c>
      <c r="BM34" s="103">
        <f t="shared" si="20"/>
        <v>0</v>
      </c>
      <c r="BN34" s="103">
        <f t="shared" si="21"/>
        <v>0</v>
      </c>
      <c r="BO34" s="103">
        <f t="shared" si="22"/>
        <v>0</v>
      </c>
      <c r="BP34" s="103">
        <f t="shared" si="23"/>
        <v>0</v>
      </c>
      <c r="BQ34" s="103">
        <f t="shared" si="26"/>
        <v>0</v>
      </c>
      <c r="BR34" s="111">
        <f t="shared" si="36"/>
        <v>1</v>
      </c>
      <c r="BS34" s="111">
        <f t="shared" si="37"/>
        <v>0</v>
      </c>
    </row>
    <row r="35" spans="1:71">
      <c r="A35" s="105" t="str">
        <f t="shared" si="15"/>
        <v xml:space="preserve"> </v>
      </c>
      <c r="B35" s="109">
        <f>Proposed!C123</f>
        <v>13652</v>
      </c>
      <c r="C35" s="103">
        <f t="shared" ref="C35:AA35" si="44">IFERROR(C20/$B35,0)</f>
        <v>0</v>
      </c>
      <c r="D35" s="103">
        <f t="shared" si="44"/>
        <v>0</v>
      </c>
      <c r="E35" s="103">
        <f t="shared" si="44"/>
        <v>0</v>
      </c>
      <c r="F35" s="103">
        <f t="shared" si="44"/>
        <v>0</v>
      </c>
      <c r="G35" s="103">
        <f t="shared" si="44"/>
        <v>0</v>
      </c>
      <c r="H35" s="103">
        <f t="shared" si="44"/>
        <v>0</v>
      </c>
      <c r="I35" s="103">
        <f t="shared" si="44"/>
        <v>0</v>
      </c>
      <c r="J35" s="103">
        <f t="shared" si="44"/>
        <v>0</v>
      </c>
      <c r="K35" s="103">
        <f t="shared" si="44"/>
        <v>0</v>
      </c>
      <c r="L35" s="103">
        <f t="shared" si="44"/>
        <v>0</v>
      </c>
      <c r="M35" s="103">
        <f t="shared" si="44"/>
        <v>0</v>
      </c>
      <c r="N35" s="103">
        <f t="shared" si="44"/>
        <v>0</v>
      </c>
      <c r="O35" s="103">
        <f t="shared" si="44"/>
        <v>0</v>
      </c>
      <c r="P35" s="103">
        <f t="shared" si="44"/>
        <v>0</v>
      </c>
      <c r="Q35" s="103">
        <f t="shared" si="44"/>
        <v>0</v>
      </c>
      <c r="R35" s="103">
        <f t="shared" si="44"/>
        <v>0</v>
      </c>
      <c r="S35" s="103">
        <f t="shared" si="44"/>
        <v>0</v>
      </c>
      <c r="T35" s="103">
        <f t="shared" si="44"/>
        <v>0</v>
      </c>
      <c r="U35" s="103">
        <f t="shared" si="44"/>
        <v>0</v>
      </c>
      <c r="V35" s="103">
        <f t="shared" si="44"/>
        <v>0</v>
      </c>
      <c r="W35" s="103">
        <f t="shared" si="44"/>
        <v>0</v>
      </c>
      <c r="X35" s="103">
        <f t="shared" si="44"/>
        <v>0</v>
      </c>
      <c r="Y35" s="103">
        <f t="shared" si="44"/>
        <v>0</v>
      </c>
      <c r="Z35" s="103">
        <f t="shared" si="44"/>
        <v>0</v>
      </c>
      <c r="AA35" s="103">
        <f t="shared" si="44"/>
        <v>0</v>
      </c>
      <c r="AC35" s="103">
        <f t="shared" si="17"/>
        <v>0</v>
      </c>
      <c r="AD35" s="103">
        <f t="shared" si="17"/>
        <v>0</v>
      </c>
      <c r="AE35" s="103">
        <f t="shared" si="17"/>
        <v>0</v>
      </c>
      <c r="AF35" s="103">
        <f t="shared" si="17"/>
        <v>0</v>
      </c>
      <c r="AG35" s="103">
        <f t="shared" si="17"/>
        <v>0</v>
      </c>
      <c r="AH35" s="103">
        <f t="shared" si="17"/>
        <v>0</v>
      </c>
      <c r="AI35" s="103">
        <f t="shared" si="17"/>
        <v>0</v>
      </c>
      <c r="AJ35" s="103">
        <f t="shared" si="17"/>
        <v>0</v>
      </c>
      <c r="AK35" s="103">
        <f t="shared" si="17"/>
        <v>0</v>
      </c>
      <c r="AL35" s="103">
        <f t="shared" si="17"/>
        <v>0</v>
      </c>
      <c r="AM35" s="103">
        <f t="shared" si="17"/>
        <v>0</v>
      </c>
      <c r="AN35" s="103">
        <f t="shared" si="17"/>
        <v>0</v>
      </c>
      <c r="AO35" s="103">
        <f t="shared" si="17"/>
        <v>0</v>
      </c>
      <c r="AP35" s="103">
        <f t="shared" si="17"/>
        <v>0</v>
      </c>
      <c r="AQ35" s="103">
        <f t="shared" si="17"/>
        <v>0</v>
      </c>
      <c r="AR35" s="103">
        <f t="shared" si="17"/>
        <v>0</v>
      </c>
      <c r="AS35" s="105"/>
      <c r="AT35" s="103">
        <f t="shared" si="18"/>
        <v>0</v>
      </c>
      <c r="AU35" s="103">
        <f t="shared" si="18"/>
        <v>0</v>
      </c>
      <c r="AV35" s="103">
        <f t="shared" si="18"/>
        <v>0</v>
      </c>
      <c r="AW35" s="103">
        <f t="shared" si="18"/>
        <v>0</v>
      </c>
      <c r="AX35" s="103">
        <f t="shared" si="18"/>
        <v>0</v>
      </c>
      <c r="AY35" s="103">
        <f t="shared" si="25"/>
        <v>0</v>
      </c>
      <c r="AZ35" s="132">
        <f t="shared" si="31"/>
        <v>1</v>
      </c>
      <c r="BA35" s="132">
        <f t="shared" si="32"/>
        <v>0</v>
      </c>
      <c r="BB35" s="105"/>
      <c r="BC35" s="138">
        <f t="shared" si="33"/>
        <v>0</v>
      </c>
      <c r="BD35" s="138">
        <f t="shared" si="33"/>
        <v>0</v>
      </c>
      <c r="BE35" s="138">
        <f t="shared" si="33"/>
        <v>0</v>
      </c>
      <c r="BF35" s="138">
        <f t="shared" si="33"/>
        <v>0</v>
      </c>
      <c r="BG35" s="138">
        <f t="shared" si="33"/>
        <v>0</v>
      </c>
      <c r="BH35" s="138">
        <f t="shared" si="33"/>
        <v>0</v>
      </c>
      <c r="BI35" s="138">
        <f t="shared" si="34"/>
        <v>0</v>
      </c>
      <c r="BJ35" s="132">
        <f t="shared" si="35"/>
        <v>0</v>
      </c>
      <c r="BK35" s="113"/>
      <c r="BL35" s="103">
        <f t="shared" si="19"/>
        <v>0</v>
      </c>
      <c r="BM35" s="103">
        <f t="shared" si="20"/>
        <v>0</v>
      </c>
      <c r="BN35" s="103">
        <f t="shared" si="21"/>
        <v>0</v>
      </c>
      <c r="BO35" s="103">
        <f t="shared" si="22"/>
        <v>0</v>
      </c>
      <c r="BP35" s="103">
        <f t="shared" si="23"/>
        <v>0</v>
      </c>
      <c r="BQ35" s="103">
        <f t="shared" si="26"/>
        <v>0</v>
      </c>
      <c r="BR35" s="111">
        <f t="shared" si="36"/>
        <v>1</v>
      </c>
      <c r="BS35" s="111">
        <f t="shared" si="37"/>
        <v>0</v>
      </c>
    </row>
    <row r="36" spans="1:71">
      <c r="A36" s="105" t="str">
        <f t="shared" si="15"/>
        <v xml:space="preserve"> </v>
      </c>
      <c r="B36" s="109">
        <f>Proposed!C137</f>
        <v>13652</v>
      </c>
      <c r="C36" s="103">
        <f t="shared" ref="C36:AA36" si="45">IFERROR(C21/$B36,0)</f>
        <v>0</v>
      </c>
      <c r="D36" s="103">
        <f t="shared" si="45"/>
        <v>0</v>
      </c>
      <c r="E36" s="103">
        <f t="shared" si="45"/>
        <v>0</v>
      </c>
      <c r="F36" s="103">
        <f t="shared" si="45"/>
        <v>0</v>
      </c>
      <c r="G36" s="103">
        <f t="shared" si="45"/>
        <v>0</v>
      </c>
      <c r="H36" s="103">
        <f t="shared" si="45"/>
        <v>0</v>
      </c>
      <c r="I36" s="103">
        <f t="shared" si="45"/>
        <v>0</v>
      </c>
      <c r="J36" s="103">
        <f t="shared" si="45"/>
        <v>0</v>
      </c>
      <c r="K36" s="103">
        <f t="shared" si="45"/>
        <v>0</v>
      </c>
      <c r="L36" s="103">
        <f t="shared" si="45"/>
        <v>0</v>
      </c>
      <c r="M36" s="103">
        <f t="shared" si="45"/>
        <v>0</v>
      </c>
      <c r="N36" s="103">
        <f t="shared" si="45"/>
        <v>0</v>
      </c>
      <c r="O36" s="103">
        <f t="shared" si="45"/>
        <v>0</v>
      </c>
      <c r="P36" s="103">
        <f t="shared" si="45"/>
        <v>0</v>
      </c>
      <c r="Q36" s="103">
        <f t="shared" si="45"/>
        <v>0</v>
      </c>
      <c r="R36" s="103">
        <f t="shared" si="45"/>
        <v>0</v>
      </c>
      <c r="S36" s="103">
        <f t="shared" si="45"/>
        <v>0</v>
      </c>
      <c r="T36" s="103">
        <f t="shared" si="45"/>
        <v>0</v>
      </c>
      <c r="U36" s="103">
        <f t="shared" si="45"/>
        <v>0</v>
      </c>
      <c r="V36" s="103">
        <f t="shared" si="45"/>
        <v>0</v>
      </c>
      <c r="W36" s="103">
        <f t="shared" si="45"/>
        <v>0</v>
      </c>
      <c r="X36" s="103">
        <f t="shared" si="45"/>
        <v>0</v>
      </c>
      <c r="Y36" s="103">
        <f t="shared" si="45"/>
        <v>0</v>
      </c>
      <c r="Z36" s="103">
        <f t="shared" si="45"/>
        <v>0</v>
      </c>
      <c r="AA36" s="103">
        <f t="shared" si="45"/>
        <v>0</v>
      </c>
      <c r="AC36" s="103">
        <f t="shared" si="17"/>
        <v>0</v>
      </c>
      <c r="AD36" s="103">
        <f t="shared" si="17"/>
        <v>0</v>
      </c>
      <c r="AE36" s="103">
        <f t="shared" si="17"/>
        <v>0</v>
      </c>
      <c r="AF36" s="103">
        <f t="shared" si="17"/>
        <v>0</v>
      </c>
      <c r="AG36" s="103">
        <f t="shared" si="17"/>
        <v>0</v>
      </c>
      <c r="AH36" s="103">
        <f t="shared" si="17"/>
        <v>0</v>
      </c>
      <c r="AI36" s="103">
        <f t="shared" si="17"/>
        <v>0</v>
      </c>
      <c r="AJ36" s="103">
        <f t="shared" si="17"/>
        <v>0</v>
      </c>
      <c r="AK36" s="103">
        <f t="shared" si="17"/>
        <v>0</v>
      </c>
      <c r="AL36" s="103">
        <f t="shared" si="17"/>
        <v>0</v>
      </c>
      <c r="AM36" s="103">
        <f t="shared" si="17"/>
        <v>0</v>
      </c>
      <c r="AN36" s="103">
        <f t="shared" si="17"/>
        <v>0</v>
      </c>
      <c r="AO36" s="103">
        <f t="shared" si="17"/>
        <v>0</v>
      </c>
      <c r="AP36" s="103">
        <f t="shared" si="17"/>
        <v>0</v>
      </c>
      <c r="AQ36" s="103">
        <f t="shared" si="17"/>
        <v>0</v>
      </c>
      <c r="AR36" s="103">
        <f t="shared" si="17"/>
        <v>0</v>
      </c>
      <c r="AS36" s="105"/>
      <c r="AT36" s="103">
        <f t="shared" si="18"/>
        <v>0</v>
      </c>
      <c r="AU36" s="103">
        <f t="shared" si="18"/>
        <v>0</v>
      </c>
      <c r="AV36" s="103">
        <f t="shared" si="18"/>
        <v>0</v>
      </c>
      <c r="AW36" s="103">
        <f t="shared" si="18"/>
        <v>0</v>
      </c>
      <c r="AX36" s="103">
        <f t="shared" si="18"/>
        <v>0</v>
      </c>
      <c r="AY36" s="103">
        <f t="shared" si="25"/>
        <v>0</v>
      </c>
      <c r="AZ36" s="132">
        <f t="shared" si="31"/>
        <v>1</v>
      </c>
      <c r="BA36" s="132">
        <f t="shared" si="32"/>
        <v>0</v>
      </c>
      <c r="BB36" s="105"/>
      <c r="BC36" s="138">
        <f t="shared" si="33"/>
        <v>0</v>
      </c>
      <c r="BD36" s="138">
        <f t="shared" si="33"/>
        <v>0</v>
      </c>
      <c r="BE36" s="138">
        <f t="shared" si="33"/>
        <v>0</v>
      </c>
      <c r="BF36" s="138">
        <f t="shared" si="33"/>
        <v>0</v>
      </c>
      <c r="BG36" s="138">
        <f t="shared" si="33"/>
        <v>0</v>
      </c>
      <c r="BH36" s="138">
        <f t="shared" si="33"/>
        <v>0</v>
      </c>
      <c r="BI36" s="138">
        <f t="shared" si="34"/>
        <v>0</v>
      </c>
      <c r="BJ36" s="132">
        <f t="shared" si="35"/>
        <v>0</v>
      </c>
      <c r="BK36" s="113"/>
      <c r="BL36" s="103">
        <f t="shared" si="19"/>
        <v>0</v>
      </c>
      <c r="BM36" s="103">
        <f t="shared" si="20"/>
        <v>0</v>
      </c>
      <c r="BN36" s="103">
        <f t="shared" si="21"/>
        <v>0</v>
      </c>
      <c r="BO36" s="103">
        <f t="shared" si="22"/>
        <v>0</v>
      </c>
      <c r="BP36" s="103">
        <f t="shared" si="23"/>
        <v>0</v>
      </c>
      <c r="BQ36" s="103">
        <f t="shared" si="26"/>
        <v>0</v>
      </c>
      <c r="BR36" s="111">
        <f t="shared" si="36"/>
        <v>1</v>
      </c>
      <c r="BS36" s="111">
        <f t="shared" si="37"/>
        <v>0</v>
      </c>
    </row>
    <row r="37" spans="1:71">
      <c r="A37" s="105"/>
      <c r="B37" s="105"/>
    </row>
    <row r="38" spans="1:71" ht="14.4" thickBot="1">
      <c r="A38" s="194" t="str">
        <f>CONCATENATE(Menus!C25," (",'Project Info'!$I$6,")")</f>
        <v>Source Energy Use (kBtu)</v>
      </c>
      <c r="B38" s="194"/>
      <c r="C38" s="194"/>
      <c r="D38" s="194"/>
      <c r="E38" s="194"/>
      <c r="F38" s="194"/>
      <c r="G38" s="194"/>
      <c r="H38" s="194"/>
      <c r="I38" s="194"/>
      <c r="J38" s="194"/>
      <c r="K38" s="194"/>
      <c r="L38" s="194"/>
      <c r="M38" s="194"/>
      <c r="N38" s="194"/>
      <c r="O38" s="194"/>
      <c r="P38" s="194"/>
      <c r="Q38" s="194"/>
      <c r="R38" s="194"/>
      <c r="S38" s="194"/>
      <c r="T38" s="194"/>
      <c r="U38" s="194"/>
      <c r="V38" s="194"/>
      <c r="W38" s="194"/>
      <c r="X38" s="194"/>
      <c r="Y38" s="194"/>
      <c r="Z38" s="194"/>
      <c r="AA38" s="194"/>
      <c r="AB38" s="105"/>
      <c r="AC38" s="105"/>
      <c r="AD38" s="105"/>
      <c r="AE38" s="105"/>
      <c r="AF38" s="105"/>
      <c r="AG38" s="105"/>
      <c r="AH38" s="105"/>
      <c r="AI38" s="105"/>
      <c r="AJ38" s="105"/>
      <c r="AK38" s="105"/>
      <c r="AL38" s="105"/>
      <c r="AM38" s="105"/>
      <c r="AN38" s="105"/>
      <c r="AO38" s="105"/>
      <c r="AP38" s="105"/>
      <c r="AQ38" s="105"/>
      <c r="AR38" s="105"/>
      <c r="AS38" s="105"/>
      <c r="AT38" s="105"/>
      <c r="AU38" s="105"/>
      <c r="AV38" s="105"/>
      <c r="AW38" s="105"/>
      <c r="AX38" s="105"/>
      <c r="AY38" s="105"/>
      <c r="AZ38" s="105"/>
      <c r="BA38" s="105"/>
      <c r="BB38" s="105"/>
      <c r="BC38" s="105"/>
      <c r="BD38" s="105"/>
      <c r="BE38" s="105"/>
      <c r="BF38" s="105"/>
      <c r="BG38" s="105"/>
      <c r="BH38" s="105"/>
      <c r="BI38" s="105"/>
      <c r="BJ38" s="105"/>
      <c r="BK38" s="105"/>
      <c r="BL38" s="105"/>
      <c r="BM38" s="105"/>
      <c r="BN38" s="105"/>
      <c r="BO38" s="105"/>
      <c r="BP38" s="105"/>
      <c r="BQ38" s="105"/>
      <c r="BR38" s="105"/>
      <c r="BS38" s="105"/>
    </row>
    <row r="39" spans="1:71">
      <c r="A39" s="105" t="str">
        <f>A9</f>
        <v>LEED Baseline</v>
      </c>
      <c r="B39" s="105"/>
      <c r="C39" s="91">
        <f>IFERROR(C9*INDEX('Project Info'!$I$16:$M$16,MATCH(C$5,'Project Info'!$I$15:$M$15,0)),0)</f>
        <v>107344.24959999998</v>
      </c>
      <c r="D39" s="91">
        <f>IFERROR(D9*INDEX('Project Info'!$I$16:$M$16,MATCH(D$5,'Project Info'!$I$15:$M$15,0)),0)</f>
        <v>0</v>
      </c>
      <c r="E39" s="91">
        <f>IFERROR(E9*INDEX('Project Info'!$I$16:$M$16,MATCH(E$5,'Project Info'!$I$15:$M$15,0)),0)</f>
        <v>0</v>
      </c>
      <c r="F39" s="91">
        <f>IFERROR(F9*INDEX('Project Info'!$I$16:$M$16,MATCH(F$5,'Project Info'!$I$15:$M$15,0)),0)</f>
        <v>0</v>
      </c>
      <c r="G39" s="91">
        <f>IFERROR(G9*INDEX('Project Info'!$I$16:$M$16,MATCH(G$5,'Project Info'!$I$15:$M$15,0)),0)</f>
        <v>400071.33040000004</v>
      </c>
      <c r="H39" s="91">
        <f>IFERROR(H9*INDEX('Project Info'!$I$16:$M$16,MATCH(H$5,'Project Info'!$I$15:$M$15,0)),0)</f>
        <v>0</v>
      </c>
      <c r="I39" s="91">
        <f>IFERROR(I9*INDEX('Project Info'!$I$16:$M$16,MATCH(I$5,'Project Info'!$I$15:$M$15,0)),0)</f>
        <v>429443.87359999999</v>
      </c>
      <c r="J39" s="91">
        <f>IFERROR(J9*INDEX('Project Info'!$I$16:$M$16,MATCH(J$5,'Project Info'!$I$15:$M$15,0)),0)</f>
        <v>0</v>
      </c>
      <c r="K39" s="91">
        <f>IFERROR(K9*INDEX('Project Info'!$I$16:$M$16,MATCH(K$5,'Project Info'!$I$15:$M$15,0)),0)</f>
        <v>504229.45439999999</v>
      </c>
      <c r="L39" s="91">
        <f>IFERROR(L9*INDEX('Project Info'!$I$16:$M$16,MATCH(L$5,'Project Info'!$I$15:$M$15,0)),0)</f>
        <v>0</v>
      </c>
      <c r="M39" s="91">
        <f>IFERROR(M9*INDEX('Project Info'!$I$16:$M$16,MATCH(M$5,'Project Info'!$I$15:$M$15,0)),0)</f>
        <v>0</v>
      </c>
      <c r="N39" s="91">
        <f>IFERROR(N9*INDEX('Project Info'!$I$16:$M$16,MATCH(N$5,'Project Info'!$I$15:$M$15,0)),0)</f>
        <v>0</v>
      </c>
      <c r="O39" s="91">
        <f>IFERROR(O9*INDEX('Project Info'!$I$16:$M$16,MATCH(O$5,'Project Info'!$I$15:$M$15,0)),0)</f>
        <v>489428.53959999996</v>
      </c>
      <c r="P39" s="91">
        <f>IFERROR(P9*INDEX('Project Info'!$I$16:$M$16,MATCH(P$5,'Project Info'!$I$15:$M$15,0)),0)</f>
        <v>0</v>
      </c>
      <c r="Q39" s="91">
        <f>IFERROR(Q9*INDEX('Project Info'!$I$16:$M$16,MATCH(Q$5,'Project Info'!$I$15:$M$15,0)),0)</f>
        <v>0</v>
      </c>
      <c r="R39" s="91">
        <f>IFERROR(R9*INDEX('Project Info'!$I$16:$M$16,MATCH(R$5,'Project Info'!$I$15:$M$15,0)),0)</f>
        <v>0</v>
      </c>
      <c r="S39" s="91">
        <f>IFERROR(S9*INDEX('Project Info'!$I$16:$M$16,MATCH(S$5,'Project Info'!$I$15:$M$15,0)),0)</f>
        <v>0</v>
      </c>
      <c r="T39" s="91">
        <f>IFERROR(T9*INDEX('Project Info'!$I$16:$M$16,MATCH(T$5,'Project Info'!$I$15:$M$15,0)),0)</f>
        <v>0</v>
      </c>
      <c r="U39" s="91">
        <f>IFERROR(U9*INDEX('Project Info'!$I$16:$M$16,MATCH(U$5,'Project Info'!$I$15:$M$15,0)),0)</f>
        <v>0</v>
      </c>
      <c r="V39" s="91">
        <f>IFERROR(V9*INDEX('Project Info'!$I$16:$M$16,MATCH(V$5,'Project Info'!$I$15:$M$15,0)),0)</f>
        <v>0</v>
      </c>
      <c r="W39" s="91">
        <f>IFERROR(W9*INDEX('Project Info'!$I$16:$M$16,MATCH(W$5,'Project Info'!$I$15:$M$15,0)),0)</f>
        <v>0</v>
      </c>
      <c r="X39" s="91">
        <f>IFERROR(X9*INDEX('Project Info'!$I$16:$M$16,MATCH(X$5,'Project Info'!$I$15:$M$15,0)),0)</f>
        <v>0</v>
      </c>
      <c r="Y39" s="91">
        <f>IFERROR(Y9*INDEX('Project Info'!$I$16:$M$16,MATCH(Y$5,'Project Info'!$I$15:$M$15,0)),0)</f>
        <v>0</v>
      </c>
      <c r="Z39" s="91">
        <f>IFERROR(Z9*INDEX('Project Info'!$I$16:$M$16,MATCH(Z$5,'Project Info'!$I$15:$M$15,0)),0)</f>
        <v>0</v>
      </c>
      <c r="AA39" s="91">
        <f>IFERROR(AA9*INDEX('Project Info'!$I$16:$M$16,MATCH(AA$5,'Project Info'!$I$15:$M$15,0)),0)</f>
        <v>0</v>
      </c>
      <c r="AB39" s="105"/>
      <c r="AC39" s="91">
        <f t="shared" ref="AC39:AR51" si="46">SUMIF($C$4:$AA$4,AC$4,$C39:$AA39)</f>
        <v>107344.24959999998</v>
      </c>
      <c r="AD39" s="91">
        <f t="shared" si="46"/>
        <v>400071.33040000004</v>
      </c>
      <c r="AE39" s="91">
        <f t="shared" si="46"/>
        <v>429443.87359999999</v>
      </c>
      <c r="AF39" s="91">
        <f t="shared" si="46"/>
        <v>0</v>
      </c>
      <c r="AG39" s="91">
        <f t="shared" si="46"/>
        <v>504229.45439999999</v>
      </c>
      <c r="AH39" s="91">
        <f t="shared" si="46"/>
        <v>0</v>
      </c>
      <c r="AI39" s="91">
        <f t="shared" si="46"/>
        <v>489428.53959999996</v>
      </c>
      <c r="AJ39" s="91">
        <f t="shared" si="46"/>
        <v>0</v>
      </c>
      <c r="AK39" s="91">
        <f t="shared" si="46"/>
        <v>0</v>
      </c>
      <c r="AL39" s="91">
        <f t="shared" si="46"/>
        <v>0</v>
      </c>
      <c r="AM39" s="91">
        <f t="shared" si="46"/>
        <v>0</v>
      </c>
      <c r="AN39" s="91">
        <f t="shared" si="46"/>
        <v>0</v>
      </c>
      <c r="AO39" s="91">
        <f t="shared" si="46"/>
        <v>0</v>
      </c>
      <c r="AP39" s="91">
        <f t="shared" si="46"/>
        <v>0</v>
      </c>
      <c r="AQ39" s="91">
        <f t="shared" si="46"/>
        <v>0</v>
      </c>
      <c r="AR39" s="91">
        <f t="shared" si="46"/>
        <v>0</v>
      </c>
      <c r="AS39" s="105"/>
      <c r="AT39" s="91">
        <f t="shared" ref="AT39:AY51" si="47">SUMIF($C$5:$AA$5,"="&amp;AT$5,$C39:$AA39)</f>
        <v>1930517.4476000001</v>
      </c>
      <c r="AU39" s="91">
        <f t="shared" si="47"/>
        <v>0</v>
      </c>
      <c r="AV39" s="91">
        <f t="shared" si="47"/>
        <v>0</v>
      </c>
      <c r="AW39" s="91">
        <f t="shared" si="47"/>
        <v>0</v>
      </c>
      <c r="AX39" s="91">
        <f t="shared" si="47"/>
        <v>0</v>
      </c>
      <c r="AY39" s="91">
        <f t="shared" si="47"/>
        <v>0</v>
      </c>
      <c r="AZ39" s="110"/>
      <c r="BA39" s="110"/>
      <c r="BB39" s="105"/>
      <c r="BC39" s="110"/>
      <c r="BD39" s="110"/>
      <c r="BE39" s="110"/>
      <c r="BF39" s="110"/>
      <c r="BG39" s="110"/>
      <c r="BH39" s="110"/>
      <c r="BI39" s="110"/>
      <c r="BJ39" s="110"/>
      <c r="BK39" s="105"/>
      <c r="BL39" s="91">
        <f>AT39-(SUMIF($BC$5:$BH$5,"="&amp;BL$5,$BC39:$BH39))</f>
        <v>1930517.4476000001</v>
      </c>
      <c r="BM39" s="91">
        <f>AU39-(SUMIF($BC$5:$BH$5,"="&amp;BM$5,$BC39:$BH39))</f>
        <v>0</v>
      </c>
      <c r="BN39" s="91">
        <f>AV39-(SUMIF($BC$5:$BH$5,"="&amp;BN$5,$BC39:$BH39))</f>
        <v>0</v>
      </c>
      <c r="BO39" s="91">
        <f>AW39-(SUMIF($BC$5:$BH$5,"="&amp;BO$5,$BC39:$BH39))</f>
        <v>0</v>
      </c>
      <c r="BP39" s="91">
        <f>AX39-(SUMIF($BC$5:$BH$5,"="&amp;BP$5,$BC39:$BH39))</f>
        <v>0</v>
      </c>
      <c r="BQ39" s="91">
        <f>SUM(BL39:BP39)</f>
        <v>1930517.4476000001</v>
      </c>
      <c r="BR39" s="110"/>
      <c r="BS39" s="110"/>
    </row>
    <row r="40" spans="1:71">
      <c r="A40" s="105" t="str">
        <f t="shared" ref="A40:A51" si="48">A10</f>
        <v>Code Baseline</v>
      </c>
      <c r="B40" s="105"/>
      <c r="C40" s="91">
        <f>IFERROR(C10*INDEX('Project Info'!$I$16:$M$16,MATCH(C$5,'Project Info'!$I$15:$M$15,0)),0)</f>
        <v>0</v>
      </c>
      <c r="D40" s="91">
        <f>IFERROR(D10*INDEX('Project Info'!$I$16:$M$16,MATCH(D$5,'Project Info'!$I$15:$M$15,0)),0)</f>
        <v>0</v>
      </c>
      <c r="E40" s="91">
        <f>IFERROR(E10*INDEX('Project Info'!$I$16:$M$16,MATCH(E$5,'Project Info'!$I$15:$M$15,0)),0)</f>
        <v>0</v>
      </c>
      <c r="F40" s="91">
        <f>IFERROR(F10*INDEX('Project Info'!$I$16:$M$16,MATCH(F$5,'Project Info'!$I$15:$M$15,0)),0)</f>
        <v>0</v>
      </c>
      <c r="G40" s="91">
        <f>IFERROR(G10*INDEX('Project Info'!$I$16:$M$16,MATCH(G$5,'Project Info'!$I$15:$M$15,0)),0)</f>
        <v>0</v>
      </c>
      <c r="H40" s="91">
        <f>IFERROR(H10*INDEX('Project Info'!$I$16:$M$16,MATCH(H$5,'Project Info'!$I$15:$M$15,0)),0)</f>
        <v>0</v>
      </c>
      <c r="I40" s="91">
        <f>IFERROR(I10*INDEX('Project Info'!$I$16:$M$16,MATCH(I$5,'Project Info'!$I$15:$M$15,0)),0)</f>
        <v>0</v>
      </c>
      <c r="J40" s="91">
        <f>IFERROR(J10*INDEX('Project Info'!$I$16:$M$16,MATCH(J$5,'Project Info'!$I$15:$M$15,0)),0)</f>
        <v>0</v>
      </c>
      <c r="K40" s="91">
        <f>IFERROR(K10*INDEX('Project Info'!$I$16:$M$16,MATCH(K$5,'Project Info'!$I$15:$M$15,0)),0)</f>
        <v>0</v>
      </c>
      <c r="L40" s="91">
        <f>IFERROR(L10*INDEX('Project Info'!$I$16:$M$16,MATCH(L$5,'Project Info'!$I$15:$M$15,0)),0)</f>
        <v>0</v>
      </c>
      <c r="M40" s="91">
        <f>IFERROR(M10*INDEX('Project Info'!$I$16:$M$16,MATCH(M$5,'Project Info'!$I$15:$M$15,0)),0)</f>
        <v>0</v>
      </c>
      <c r="N40" s="91">
        <f>IFERROR(N10*INDEX('Project Info'!$I$16:$M$16,MATCH(N$5,'Project Info'!$I$15:$M$15,0)),0)</f>
        <v>0</v>
      </c>
      <c r="O40" s="91">
        <f>IFERROR(O10*INDEX('Project Info'!$I$16:$M$16,MATCH(O$5,'Project Info'!$I$15:$M$15,0)),0)</f>
        <v>0</v>
      </c>
      <c r="P40" s="91">
        <f>IFERROR(P10*INDEX('Project Info'!$I$16:$M$16,MATCH(P$5,'Project Info'!$I$15:$M$15,0)),0)</f>
        <v>0</v>
      </c>
      <c r="Q40" s="91">
        <f>IFERROR(Q10*INDEX('Project Info'!$I$16:$M$16,MATCH(Q$5,'Project Info'!$I$15:$M$15,0)),0)</f>
        <v>0</v>
      </c>
      <c r="R40" s="91">
        <f>IFERROR(R10*INDEX('Project Info'!$I$16:$M$16,MATCH(R$5,'Project Info'!$I$15:$M$15,0)),0)</f>
        <v>0</v>
      </c>
      <c r="S40" s="91">
        <f>IFERROR(S10*INDEX('Project Info'!$I$16:$M$16,MATCH(S$5,'Project Info'!$I$15:$M$15,0)),0)</f>
        <v>0</v>
      </c>
      <c r="T40" s="91">
        <f>IFERROR(T10*INDEX('Project Info'!$I$16:$M$16,MATCH(T$5,'Project Info'!$I$15:$M$15,0)),0)</f>
        <v>0</v>
      </c>
      <c r="U40" s="91">
        <f>IFERROR(U10*INDEX('Project Info'!$I$16:$M$16,MATCH(U$5,'Project Info'!$I$15:$M$15,0)),0)</f>
        <v>0</v>
      </c>
      <c r="V40" s="91">
        <f>IFERROR(V10*INDEX('Project Info'!$I$16:$M$16,MATCH(V$5,'Project Info'!$I$15:$M$15,0)),0)</f>
        <v>0</v>
      </c>
      <c r="W40" s="91">
        <f>IFERROR(W10*INDEX('Project Info'!$I$16:$M$16,MATCH(W$5,'Project Info'!$I$15:$M$15,0)),0)</f>
        <v>0</v>
      </c>
      <c r="X40" s="91">
        <f>IFERROR(X10*INDEX('Project Info'!$I$16:$M$16,MATCH(X$5,'Project Info'!$I$15:$M$15,0)),0)</f>
        <v>0</v>
      </c>
      <c r="Y40" s="91">
        <f>IFERROR(Y10*INDEX('Project Info'!$I$16:$M$16,MATCH(Y$5,'Project Info'!$I$15:$M$15,0)),0)</f>
        <v>0</v>
      </c>
      <c r="Z40" s="91">
        <f>IFERROR(Z10*INDEX('Project Info'!$I$16:$M$16,MATCH(Z$5,'Project Info'!$I$15:$M$15,0)),0)</f>
        <v>0</v>
      </c>
      <c r="AA40" s="91">
        <f>IFERROR(AA10*INDEX('Project Info'!$I$16:$M$16,MATCH(AA$5,'Project Info'!$I$15:$M$15,0)),0)</f>
        <v>0</v>
      </c>
      <c r="AB40" s="105"/>
      <c r="AC40" s="91">
        <f t="shared" si="46"/>
        <v>0</v>
      </c>
      <c r="AD40" s="91">
        <f t="shared" si="46"/>
        <v>0</v>
      </c>
      <c r="AE40" s="91">
        <f t="shared" si="46"/>
        <v>0</v>
      </c>
      <c r="AF40" s="91">
        <f t="shared" si="46"/>
        <v>0</v>
      </c>
      <c r="AG40" s="91">
        <f t="shared" si="46"/>
        <v>0</v>
      </c>
      <c r="AH40" s="91">
        <f t="shared" si="46"/>
        <v>0</v>
      </c>
      <c r="AI40" s="91">
        <f t="shared" si="46"/>
        <v>0</v>
      </c>
      <c r="AJ40" s="91">
        <f t="shared" si="46"/>
        <v>0</v>
      </c>
      <c r="AK40" s="91">
        <f t="shared" si="46"/>
        <v>0</v>
      </c>
      <c r="AL40" s="91">
        <f t="shared" si="46"/>
        <v>0</v>
      </c>
      <c r="AM40" s="91">
        <f t="shared" si="46"/>
        <v>0</v>
      </c>
      <c r="AN40" s="91">
        <f t="shared" si="46"/>
        <v>0</v>
      </c>
      <c r="AO40" s="91">
        <f t="shared" si="46"/>
        <v>0</v>
      </c>
      <c r="AP40" s="91">
        <f t="shared" si="46"/>
        <v>0</v>
      </c>
      <c r="AQ40" s="91">
        <f t="shared" si="46"/>
        <v>0</v>
      </c>
      <c r="AR40" s="91">
        <f t="shared" si="46"/>
        <v>0</v>
      </c>
      <c r="AS40" s="105"/>
      <c r="AT40" s="91">
        <f t="shared" si="47"/>
        <v>0</v>
      </c>
      <c r="AU40" s="91">
        <f t="shared" si="47"/>
        <v>0</v>
      </c>
      <c r="AV40" s="91">
        <f t="shared" si="47"/>
        <v>0</v>
      </c>
      <c r="AW40" s="91">
        <f t="shared" si="47"/>
        <v>0</v>
      </c>
      <c r="AX40" s="91">
        <f t="shared" si="47"/>
        <v>0</v>
      </c>
      <c r="AY40" s="91">
        <f t="shared" si="47"/>
        <v>0</v>
      </c>
      <c r="AZ40" s="110"/>
      <c r="BA40" s="110"/>
      <c r="BB40" s="105"/>
      <c r="BC40" s="110"/>
      <c r="BD40" s="110"/>
      <c r="BE40" s="110"/>
      <c r="BF40" s="110"/>
      <c r="BG40" s="110"/>
      <c r="BH40" s="110"/>
      <c r="BI40" s="110"/>
      <c r="BJ40" s="110"/>
      <c r="BK40" s="105"/>
      <c r="BL40" s="91">
        <f t="shared" ref="BL40" si="49">AT40-(SUMIF($BC$5:$BH$5,"="&amp;BL$5,$BC40:$BH40))</f>
        <v>0</v>
      </c>
      <c r="BM40" s="91">
        <f t="shared" ref="BM40:BM51" si="50">AU40-(SUMIF($BC$5:$BH$5,"="&amp;BM$5,$BC40:$BH40))</f>
        <v>0</v>
      </c>
      <c r="BN40" s="91">
        <f t="shared" ref="BN40:BN51" si="51">AV40-(SUMIF($BC$5:$BH$5,"="&amp;BN$5,$BC40:$BH40))</f>
        <v>0</v>
      </c>
      <c r="BO40" s="91">
        <f t="shared" ref="BO40:BO51" si="52">AW40-(SUMIF($BC$5:$BH$5,"="&amp;BO$5,$BC40:$BH40))</f>
        <v>0</v>
      </c>
      <c r="BP40" s="91">
        <f t="shared" ref="BP40:BP51" si="53">AX40-(SUMIF($BC$5:$BH$5,"="&amp;BP$5,$BC40:$BH40))</f>
        <v>0</v>
      </c>
      <c r="BQ40" s="91">
        <f t="shared" ref="BQ40" si="54">SUM(BL40:BP40)</f>
        <v>0</v>
      </c>
      <c r="BR40" s="110"/>
      <c r="BS40" s="110"/>
    </row>
    <row r="41" spans="1:71" s="136" customFormat="1">
      <c r="A41" s="134" t="str">
        <f t="shared" si="48"/>
        <v xml:space="preserve"> </v>
      </c>
      <c r="B41" s="134"/>
      <c r="C41" s="135">
        <f>IFERROR(C11*INDEX('Project Info'!$I$16:$M$16,MATCH(C$5,'Project Info'!$I$15:$M$15,0)),0)</f>
        <v>0</v>
      </c>
      <c r="D41" s="135">
        <f>IFERROR(D11*INDEX('Project Info'!$I$16:$M$16,MATCH(D$5,'Project Info'!$I$15:$M$15,0)),0)</f>
        <v>0</v>
      </c>
      <c r="E41" s="135">
        <f>IFERROR(E11*INDEX('Project Info'!$I$16:$M$16,MATCH(E$5,'Project Info'!$I$15:$M$15,0)),0)</f>
        <v>0</v>
      </c>
      <c r="F41" s="135">
        <f>IFERROR(F11*INDEX('Project Info'!$I$16:$M$16,MATCH(F$5,'Project Info'!$I$15:$M$15,0)),0)</f>
        <v>0</v>
      </c>
      <c r="G41" s="135">
        <f>IFERROR(G11*INDEX('Project Info'!$I$16:$M$16,MATCH(G$5,'Project Info'!$I$15:$M$15,0)),0)</f>
        <v>0</v>
      </c>
      <c r="H41" s="135">
        <f>IFERROR(H11*INDEX('Project Info'!$I$16:$M$16,MATCH(H$5,'Project Info'!$I$15:$M$15,0)),0)</f>
        <v>0</v>
      </c>
      <c r="I41" s="135">
        <f>IFERROR(I11*INDEX('Project Info'!$I$16:$M$16,MATCH(I$5,'Project Info'!$I$15:$M$15,0)),0)</f>
        <v>0</v>
      </c>
      <c r="J41" s="135">
        <f>IFERROR(J11*INDEX('Project Info'!$I$16:$M$16,MATCH(J$5,'Project Info'!$I$15:$M$15,0)),0)</f>
        <v>0</v>
      </c>
      <c r="K41" s="135">
        <f>IFERROR(K11*INDEX('Project Info'!$I$16:$M$16,MATCH(K$5,'Project Info'!$I$15:$M$15,0)),0)</f>
        <v>0</v>
      </c>
      <c r="L41" s="135">
        <f>IFERROR(L11*INDEX('Project Info'!$I$16:$M$16,MATCH(L$5,'Project Info'!$I$15:$M$15,0)),0)</f>
        <v>0</v>
      </c>
      <c r="M41" s="135">
        <f>IFERROR(M11*INDEX('Project Info'!$I$16:$M$16,MATCH(M$5,'Project Info'!$I$15:$M$15,0)),0)</f>
        <v>0</v>
      </c>
      <c r="N41" s="135">
        <f>IFERROR(N11*INDEX('Project Info'!$I$16:$M$16,MATCH(N$5,'Project Info'!$I$15:$M$15,0)),0)</f>
        <v>0</v>
      </c>
      <c r="O41" s="135">
        <f>IFERROR(O11*INDEX('Project Info'!$I$16:$M$16,MATCH(O$5,'Project Info'!$I$15:$M$15,0)),0)</f>
        <v>0</v>
      </c>
      <c r="P41" s="135">
        <f>IFERROR(P11*INDEX('Project Info'!$I$16:$M$16,MATCH(P$5,'Project Info'!$I$15:$M$15,0)),0)</f>
        <v>0</v>
      </c>
      <c r="Q41" s="135">
        <f>IFERROR(Q11*INDEX('Project Info'!$I$16:$M$16,MATCH(Q$5,'Project Info'!$I$15:$M$15,0)),0)</f>
        <v>0</v>
      </c>
      <c r="R41" s="135">
        <f>IFERROR(R11*INDEX('Project Info'!$I$16:$M$16,MATCH(R$5,'Project Info'!$I$15:$M$15,0)),0)</f>
        <v>0</v>
      </c>
      <c r="S41" s="135">
        <f>IFERROR(S11*INDEX('Project Info'!$I$16:$M$16,MATCH(S$5,'Project Info'!$I$15:$M$15,0)),0)</f>
        <v>0</v>
      </c>
      <c r="T41" s="135">
        <f>IFERROR(T11*INDEX('Project Info'!$I$16:$M$16,MATCH(T$5,'Project Info'!$I$15:$M$15,0)),0)</f>
        <v>0</v>
      </c>
      <c r="U41" s="135">
        <f>IFERROR(U11*INDEX('Project Info'!$I$16:$M$16,MATCH(U$5,'Project Info'!$I$15:$M$15,0)),0)</f>
        <v>0</v>
      </c>
      <c r="V41" s="135">
        <f>IFERROR(V11*INDEX('Project Info'!$I$16:$M$16,MATCH(V$5,'Project Info'!$I$15:$M$15,0)),0)</f>
        <v>0</v>
      </c>
      <c r="W41" s="135">
        <f>IFERROR(W11*INDEX('Project Info'!$I$16:$M$16,MATCH(W$5,'Project Info'!$I$15:$M$15,0)),0)</f>
        <v>0</v>
      </c>
      <c r="X41" s="135">
        <f>IFERROR(X11*INDEX('Project Info'!$I$16:$M$16,MATCH(X$5,'Project Info'!$I$15:$M$15,0)),0)</f>
        <v>0</v>
      </c>
      <c r="Y41" s="135">
        <f>IFERROR(Y11*INDEX('Project Info'!$I$16:$M$16,MATCH(Y$5,'Project Info'!$I$15:$M$15,0)),0)</f>
        <v>0</v>
      </c>
      <c r="Z41" s="135">
        <f>IFERROR(Z11*INDEX('Project Info'!$I$16:$M$16,MATCH(Z$5,'Project Info'!$I$15:$M$15,0)),0)</f>
        <v>0</v>
      </c>
      <c r="AA41" s="135">
        <f>IFERROR(AA11*INDEX('Project Info'!$I$16:$M$16,MATCH(AA$5,'Project Info'!$I$15:$M$15,0)),0)</f>
        <v>0</v>
      </c>
      <c r="AB41" s="134"/>
      <c r="AC41" s="135">
        <f t="shared" si="46"/>
        <v>0</v>
      </c>
      <c r="AD41" s="135">
        <f t="shared" si="46"/>
        <v>0</v>
      </c>
      <c r="AE41" s="135">
        <f t="shared" si="46"/>
        <v>0</v>
      </c>
      <c r="AF41" s="135">
        <f t="shared" si="46"/>
        <v>0</v>
      </c>
      <c r="AG41" s="135">
        <f t="shared" si="46"/>
        <v>0</v>
      </c>
      <c r="AH41" s="135">
        <f t="shared" si="46"/>
        <v>0</v>
      </c>
      <c r="AI41" s="135">
        <f t="shared" si="46"/>
        <v>0</v>
      </c>
      <c r="AJ41" s="135">
        <f t="shared" si="46"/>
        <v>0</v>
      </c>
      <c r="AK41" s="135">
        <f t="shared" si="46"/>
        <v>0</v>
      </c>
      <c r="AL41" s="135">
        <f t="shared" si="46"/>
        <v>0</v>
      </c>
      <c r="AM41" s="135">
        <f t="shared" si="46"/>
        <v>0</v>
      </c>
      <c r="AN41" s="135">
        <f t="shared" si="46"/>
        <v>0</v>
      </c>
      <c r="AO41" s="135">
        <f t="shared" si="46"/>
        <v>0</v>
      </c>
      <c r="AP41" s="135">
        <f t="shared" si="46"/>
        <v>0</v>
      </c>
      <c r="AQ41" s="135">
        <f t="shared" si="46"/>
        <v>0</v>
      </c>
      <c r="AR41" s="135">
        <f t="shared" si="46"/>
        <v>0</v>
      </c>
      <c r="AS41" s="134"/>
      <c r="AT41" s="135">
        <f t="shared" si="47"/>
        <v>0</v>
      </c>
      <c r="AU41" s="135">
        <f t="shared" si="47"/>
        <v>0</v>
      </c>
      <c r="AV41" s="135">
        <f t="shared" si="47"/>
        <v>0</v>
      </c>
      <c r="AW41" s="135">
        <f t="shared" si="47"/>
        <v>0</v>
      </c>
      <c r="AX41" s="135">
        <f t="shared" si="47"/>
        <v>0</v>
      </c>
      <c r="AY41" s="135">
        <f t="shared" si="47"/>
        <v>0</v>
      </c>
      <c r="AZ41" s="137"/>
      <c r="BA41" s="137"/>
      <c r="BB41" s="134"/>
      <c r="BC41" s="137"/>
      <c r="BD41" s="137"/>
      <c r="BE41" s="137"/>
      <c r="BF41" s="137"/>
      <c r="BG41" s="137"/>
      <c r="BH41" s="137"/>
      <c r="BI41" s="137"/>
      <c r="BJ41" s="137"/>
      <c r="BK41" s="134"/>
      <c r="BL41" s="135">
        <f>AT41-(SUMIF($BC$5:$BH$5,"="&amp;BL$5,$BC41:$BH41))</f>
        <v>0</v>
      </c>
      <c r="BM41" s="135">
        <f t="shared" si="50"/>
        <v>0</v>
      </c>
      <c r="BN41" s="135">
        <f t="shared" si="51"/>
        <v>0</v>
      </c>
      <c r="BO41" s="135">
        <f t="shared" si="52"/>
        <v>0</v>
      </c>
      <c r="BP41" s="135">
        <f t="shared" si="53"/>
        <v>0</v>
      </c>
      <c r="BQ41" s="135">
        <f>SUM(BL41:BP41)</f>
        <v>0</v>
      </c>
      <c r="BR41" s="137"/>
      <c r="BS41" s="137"/>
    </row>
    <row r="42" spans="1:71">
      <c r="A42" s="105" t="str">
        <f t="shared" si="48"/>
        <v>Proposed Design</v>
      </c>
      <c r="B42" s="105"/>
      <c r="C42" s="131">
        <f>IFERROR(C12*INDEX('Project Info'!$I$16:$M$16,MATCH(C$5,'Project Info'!$I$15:$M$15,0)),0)</f>
        <v>107344.24959999998</v>
      </c>
      <c r="D42" s="131">
        <f>IFERROR(D12*INDEX('Project Info'!$I$16:$M$16,MATCH(D$5,'Project Info'!$I$15:$M$15,0)),0)</f>
        <v>0</v>
      </c>
      <c r="E42" s="131">
        <f>IFERROR(E12*INDEX('Project Info'!$I$16:$M$16,MATCH(E$5,'Project Info'!$I$15:$M$15,0)),0)</f>
        <v>0</v>
      </c>
      <c r="F42" s="131">
        <f>IFERROR(F12*INDEX('Project Info'!$I$16:$M$16,MATCH(F$5,'Project Info'!$I$15:$M$15,0)),0)</f>
        <v>0</v>
      </c>
      <c r="G42" s="131">
        <f>IFERROR(G12*INDEX('Project Info'!$I$16:$M$16,MATCH(G$5,'Project Info'!$I$15:$M$15,0)),0)</f>
        <v>400071.33040000004</v>
      </c>
      <c r="H42" s="131">
        <f>IFERROR(H12*INDEX('Project Info'!$I$16:$M$16,MATCH(H$5,'Project Info'!$I$15:$M$15,0)),0)</f>
        <v>0</v>
      </c>
      <c r="I42" s="131">
        <f>IFERROR(I12*INDEX('Project Info'!$I$16:$M$16,MATCH(I$5,'Project Info'!$I$15:$M$15,0)),0)</f>
        <v>429443.87359999999</v>
      </c>
      <c r="J42" s="131">
        <f>IFERROR(J12*INDEX('Project Info'!$I$16:$M$16,MATCH(J$5,'Project Info'!$I$15:$M$15,0)),0)</f>
        <v>0</v>
      </c>
      <c r="K42" s="131">
        <f>IFERROR(K12*INDEX('Project Info'!$I$16:$M$16,MATCH(K$5,'Project Info'!$I$15:$M$15,0)),0)</f>
        <v>504229.45439999999</v>
      </c>
      <c r="L42" s="131">
        <f>IFERROR(L12*INDEX('Project Info'!$I$16:$M$16,MATCH(L$5,'Project Info'!$I$15:$M$15,0)),0)</f>
        <v>0</v>
      </c>
      <c r="M42" s="131">
        <f>IFERROR(M12*INDEX('Project Info'!$I$16:$M$16,MATCH(M$5,'Project Info'!$I$15:$M$15,0)),0)</f>
        <v>0</v>
      </c>
      <c r="N42" s="131">
        <f>IFERROR(N12*INDEX('Project Info'!$I$16:$M$16,MATCH(N$5,'Project Info'!$I$15:$M$15,0)),0)</f>
        <v>0</v>
      </c>
      <c r="O42" s="131">
        <f>IFERROR(O12*INDEX('Project Info'!$I$16:$M$16,MATCH(O$5,'Project Info'!$I$15:$M$15,0)),0)</f>
        <v>489428.53959999996</v>
      </c>
      <c r="P42" s="131">
        <f>IFERROR(P12*INDEX('Project Info'!$I$16:$M$16,MATCH(P$5,'Project Info'!$I$15:$M$15,0)),0)</f>
        <v>0</v>
      </c>
      <c r="Q42" s="131">
        <f>IFERROR(Q12*INDEX('Project Info'!$I$16:$M$16,MATCH(Q$5,'Project Info'!$I$15:$M$15,0)),0)</f>
        <v>0</v>
      </c>
      <c r="R42" s="131">
        <f>IFERROR(R12*INDEX('Project Info'!$I$16:$M$16,MATCH(R$5,'Project Info'!$I$15:$M$15,0)),0)</f>
        <v>0</v>
      </c>
      <c r="S42" s="131">
        <f>IFERROR(S12*INDEX('Project Info'!$I$16:$M$16,MATCH(S$5,'Project Info'!$I$15:$M$15,0)),0)</f>
        <v>0</v>
      </c>
      <c r="T42" s="131">
        <f>IFERROR(T12*INDEX('Project Info'!$I$16:$M$16,MATCH(T$5,'Project Info'!$I$15:$M$15,0)),0)</f>
        <v>0</v>
      </c>
      <c r="U42" s="131">
        <f>IFERROR(U12*INDEX('Project Info'!$I$16:$M$16,MATCH(U$5,'Project Info'!$I$15:$M$15,0)),0)</f>
        <v>0</v>
      </c>
      <c r="V42" s="131">
        <f>IFERROR(V12*INDEX('Project Info'!$I$16:$M$16,MATCH(V$5,'Project Info'!$I$15:$M$15,0)),0)</f>
        <v>0</v>
      </c>
      <c r="W42" s="131">
        <f>IFERROR(W12*INDEX('Project Info'!$I$16:$M$16,MATCH(W$5,'Project Info'!$I$15:$M$15,0)),0)</f>
        <v>0</v>
      </c>
      <c r="X42" s="131">
        <f>IFERROR(X12*INDEX('Project Info'!$I$16:$M$16,MATCH(X$5,'Project Info'!$I$15:$M$15,0)),0)</f>
        <v>0</v>
      </c>
      <c r="Y42" s="131">
        <f>IFERROR(Y12*INDEX('Project Info'!$I$16:$M$16,MATCH(Y$5,'Project Info'!$I$15:$M$15,0)),0)</f>
        <v>0</v>
      </c>
      <c r="Z42" s="131">
        <f>IFERROR(Z12*INDEX('Project Info'!$I$16:$M$16,MATCH(Z$5,'Project Info'!$I$15:$M$15,0)),0)</f>
        <v>0</v>
      </c>
      <c r="AA42" s="131">
        <f>IFERROR(AA12*INDEX('Project Info'!$I$16:$M$16,MATCH(AA$5,'Project Info'!$I$15:$M$15,0)),0)</f>
        <v>0</v>
      </c>
      <c r="AB42" s="105"/>
      <c r="AC42" s="97">
        <f t="shared" si="46"/>
        <v>107344.24959999998</v>
      </c>
      <c r="AD42" s="97">
        <f t="shared" si="46"/>
        <v>400071.33040000004</v>
      </c>
      <c r="AE42" s="97">
        <f t="shared" si="46"/>
        <v>429443.87359999999</v>
      </c>
      <c r="AF42" s="97">
        <f t="shared" si="46"/>
        <v>0</v>
      </c>
      <c r="AG42" s="97">
        <f t="shared" si="46"/>
        <v>504229.45439999999</v>
      </c>
      <c r="AH42" s="97">
        <f t="shared" si="46"/>
        <v>0</v>
      </c>
      <c r="AI42" s="97">
        <f t="shared" si="46"/>
        <v>489428.53959999996</v>
      </c>
      <c r="AJ42" s="97">
        <f t="shared" si="46"/>
        <v>0</v>
      </c>
      <c r="AK42" s="97">
        <f t="shared" si="46"/>
        <v>0</v>
      </c>
      <c r="AL42" s="97">
        <f t="shared" si="46"/>
        <v>0</v>
      </c>
      <c r="AM42" s="97">
        <f t="shared" si="46"/>
        <v>0</v>
      </c>
      <c r="AN42" s="97">
        <f t="shared" si="46"/>
        <v>0</v>
      </c>
      <c r="AO42" s="97">
        <f t="shared" si="46"/>
        <v>0</v>
      </c>
      <c r="AP42" s="97">
        <f t="shared" si="46"/>
        <v>0</v>
      </c>
      <c r="AQ42" s="97">
        <f t="shared" si="46"/>
        <v>0</v>
      </c>
      <c r="AR42" s="97">
        <f t="shared" si="46"/>
        <v>0</v>
      </c>
      <c r="AS42" s="105"/>
      <c r="AT42" s="97">
        <f t="shared" si="47"/>
        <v>1930517.4476000001</v>
      </c>
      <c r="AU42" s="97">
        <f t="shared" si="47"/>
        <v>0</v>
      </c>
      <c r="AV42" s="97">
        <f t="shared" si="47"/>
        <v>0</v>
      </c>
      <c r="AW42" s="97">
        <f t="shared" si="47"/>
        <v>0</v>
      </c>
      <c r="AX42" s="97">
        <f t="shared" si="47"/>
        <v>0</v>
      </c>
      <c r="AY42" s="97">
        <f t="shared" si="47"/>
        <v>0</v>
      </c>
      <c r="AZ42" s="132">
        <f>IFERROR(1-($AY42/$AY$40),0)</f>
        <v>0</v>
      </c>
      <c r="BA42" s="132">
        <f>IFERROR(1-($BQ42/$AY$40),0)</f>
        <v>0</v>
      </c>
      <c r="BB42" s="105"/>
      <c r="BC42" s="91">
        <f>IFERROR(BC12*INDEX('Project Info'!$I$16:$M$16,MATCH(BC$5,'Project Info'!$I$15:$M$15,0)),0)</f>
        <v>0</v>
      </c>
      <c r="BD42" s="91">
        <f>IFERROR(BD12*INDEX('Project Info'!$I$16:$M$16,MATCH(BD$5,'Project Info'!$I$15:$M$15,0)),0)</f>
        <v>0</v>
      </c>
      <c r="BE42" s="91">
        <f>IFERROR(BE12*INDEX('Project Info'!$I$16:$M$16,MATCH(BE$5,'Project Info'!$I$15:$M$15,0)),0)</f>
        <v>0</v>
      </c>
      <c r="BF42" s="91">
        <f>IFERROR(BF12*INDEX('Project Info'!$I$16:$M$16,MATCH(BF$5,'Project Info'!$I$15:$M$15,0)),0)</f>
        <v>0</v>
      </c>
      <c r="BG42" s="91">
        <f>IFERROR(BG12*INDEX('Project Info'!$I$16:$M$16,MATCH(BG$5,'Project Info'!$I$15:$M$15,0)),0)</f>
        <v>0</v>
      </c>
      <c r="BH42" s="91">
        <f>IFERROR(BH12*INDEX('Project Info'!$I$16:$M$16,MATCH(BH$5,'Project Info'!$I$15:$M$15,0)),0)</f>
        <v>0</v>
      </c>
      <c r="BI42" s="91">
        <f>IFERROR(BI12*INDEX('Project Info'!$I$16:$M$16,MATCH(BI$5,'Project Info'!$I$15:$M$15,0)),0)</f>
        <v>0</v>
      </c>
      <c r="BJ42" s="132">
        <f>IFERROR(BI42/AY42,0)</f>
        <v>0</v>
      </c>
      <c r="BK42" s="105"/>
      <c r="BL42" s="97">
        <f t="shared" ref="BL42:BL51" si="55">AT42-(SUMIF($BC$5:$BH$5,"="&amp;BL$5,$BC42:$BH42))</f>
        <v>1930517.4476000001</v>
      </c>
      <c r="BM42" s="97">
        <f t="shared" si="50"/>
        <v>0</v>
      </c>
      <c r="BN42" s="97">
        <f t="shared" si="51"/>
        <v>0</v>
      </c>
      <c r="BO42" s="97">
        <f t="shared" si="52"/>
        <v>0</v>
      </c>
      <c r="BP42" s="97">
        <f t="shared" si="53"/>
        <v>0</v>
      </c>
      <c r="BQ42" s="97">
        <f t="shared" ref="BQ42:BQ51" si="56">SUM(BL42:BP42)</f>
        <v>1930517.4476000001</v>
      </c>
      <c r="BR42" s="132">
        <f>IFERROR(1-($BQ42/$BQ$39),0)</f>
        <v>0</v>
      </c>
      <c r="BS42" s="132">
        <f>IFERROR(1-($BQ42/$BQ$40),0)</f>
        <v>0</v>
      </c>
    </row>
    <row r="43" spans="1:71">
      <c r="A43" s="105" t="str">
        <f t="shared" si="48"/>
        <v xml:space="preserve"> </v>
      </c>
      <c r="B43" s="105"/>
      <c r="C43" s="91">
        <f>IFERROR(C13*INDEX('Project Info'!$I$16:$M$16,MATCH(C$5,'Project Info'!$I$15:$M$15,0)),0)</f>
        <v>0</v>
      </c>
      <c r="D43" s="91">
        <f>IFERROR(D13*INDEX('Project Info'!$I$16:$M$16,MATCH(D$5,'Project Info'!$I$15:$M$15,0)),0)</f>
        <v>0</v>
      </c>
      <c r="E43" s="91">
        <f>IFERROR(E13*INDEX('Project Info'!$I$16:$M$16,MATCH(E$5,'Project Info'!$I$15:$M$15,0)),0)</f>
        <v>0</v>
      </c>
      <c r="F43" s="91">
        <f>IFERROR(F13*INDEX('Project Info'!$I$16:$M$16,MATCH(F$5,'Project Info'!$I$15:$M$15,0)),0)</f>
        <v>0</v>
      </c>
      <c r="G43" s="91">
        <f>IFERROR(G13*INDEX('Project Info'!$I$16:$M$16,MATCH(G$5,'Project Info'!$I$15:$M$15,0)),0)</f>
        <v>0</v>
      </c>
      <c r="H43" s="91">
        <f>IFERROR(H13*INDEX('Project Info'!$I$16:$M$16,MATCH(H$5,'Project Info'!$I$15:$M$15,0)),0)</f>
        <v>0</v>
      </c>
      <c r="I43" s="91">
        <f>IFERROR(I13*INDEX('Project Info'!$I$16:$M$16,MATCH(I$5,'Project Info'!$I$15:$M$15,0)),0)</f>
        <v>0</v>
      </c>
      <c r="J43" s="91">
        <f>IFERROR(J13*INDEX('Project Info'!$I$16:$M$16,MATCH(J$5,'Project Info'!$I$15:$M$15,0)),0)</f>
        <v>0</v>
      </c>
      <c r="K43" s="91">
        <f>IFERROR(K13*INDEX('Project Info'!$I$16:$M$16,MATCH(K$5,'Project Info'!$I$15:$M$15,0)),0)</f>
        <v>0</v>
      </c>
      <c r="L43" s="91">
        <f>IFERROR(L13*INDEX('Project Info'!$I$16:$M$16,MATCH(L$5,'Project Info'!$I$15:$M$15,0)),0)</f>
        <v>0</v>
      </c>
      <c r="M43" s="91">
        <f>IFERROR(M13*INDEX('Project Info'!$I$16:$M$16,MATCH(M$5,'Project Info'!$I$15:$M$15,0)),0)</f>
        <v>0</v>
      </c>
      <c r="N43" s="91">
        <f>IFERROR(N13*INDEX('Project Info'!$I$16:$M$16,MATCH(N$5,'Project Info'!$I$15:$M$15,0)),0)</f>
        <v>0</v>
      </c>
      <c r="O43" s="91">
        <f>IFERROR(O13*INDEX('Project Info'!$I$16:$M$16,MATCH(O$5,'Project Info'!$I$15:$M$15,0)),0)</f>
        <v>0</v>
      </c>
      <c r="P43" s="91">
        <f>IFERROR(P13*INDEX('Project Info'!$I$16:$M$16,MATCH(P$5,'Project Info'!$I$15:$M$15,0)),0)</f>
        <v>0</v>
      </c>
      <c r="Q43" s="91">
        <f>IFERROR(Q13*INDEX('Project Info'!$I$16:$M$16,MATCH(Q$5,'Project Info'!$I$15:$M$15,0)),0)</f>
        <v>0</v>
      </c>
      <c r="R43" s="91">
        <f>IFERROR(R13*INDEX('Project Info'!$I$16:$M$16,MATCH(R$5,'Project Info'!$I$15:$M$15,0)),0)</f>
        <v>0</v>
      </c>
      <c r="S43" s="91">
        <f>IFERROR(S13*INDEX('Project Info'!$I$16:$M$16,MATCH(S$5,'Project Info'!$I$15:$M$15,0)),0)</f>
        <v>0</v>
      </c>
      <c r="T43" s="91">
        <f>IFERROR(T13*INDEX('Project Info'!$I$16:$M$16,MATCH(T$5,'Project Info'!$I$15:$M$15,0)),0)</f>
        <v>0</v>
      </c>
      <c r="U43" s="91">
        <f>IFERROR(U13*INDEX('Project Info'!$I$16:$M$16,MATCH(U$5,'Project Info'!$I$15:$M$15,0)),0)</f>
        <v>0</v>
      </c>
      <c r="V43" s="91">
        <f>IFERROR(V13*INDEX('Project Info'!$I$16:$M$16,MATCH(V$5,'Project Info'!$I$15:$M$15,0)),0)</f>
        <v>0</v>
      </c>
      <c r="W43" s="91">
        <f>IFERROR(W13*INDEX('Project Info'!$I$16:$M$16,MATCH(W$5,'Project Info'!$I$15:$M$15,0)),0)</f>
        <v>0</v>
      </c>
      <c r="X43" s="91">
        <f>IFERROR(X13*INDEX('Project Info'!$I$16:$M$16,MATCH(X$5,'Project Info'!$I$15:$M$15,0)),0)</f>
        <v>0</v>
      </c>
      <c r="Y43" s="91">
        <f>IFERROR(Y13*INDEX('Project Info'!$I$16:$M$16,MATCH(Y$5,'Project Info'!$I$15:$M$15,0)),0)</f>
        <v>0</v>
      </c>
      <c r="Z43" s="91">
        <f>IFERROR(Z13*INDEX('Project Info'!$I$16:$M$16,MATCH(Z$5,'Project Info'!$I$15:$M$15,0)),0)</f>
        <v>0</v>
      </c>
      <c r="AA43" s="91">
        <f>IFERROR(AA13*INDEX('Project Info'!$I$16:$M$16,MATCH(AA$5,'Project Info'!$I$15:$M$15,0)),0)</f>
        <v>0</v>
      </c>
      <c r="AB43" s="105"/>
      <c r="AC43" s="131">
        <f t="shared" si="46"/>
        <v>0</v>
      </c>
      <c r="AD43" s="131">
        <f t="shared" si="46"/>
        <v>0</v>
      </c>
      <c r="AE43" s="131">
        <f t="shared" si="46"/>
        <v>0</v>
      </c>
      <c r="AF43" s="131">
        <f t="shared" si="46"/>
        <v>0</v>
      </c>
      <c r="AG43" s="131">
        <f t="shared" si="46"/>
        <v>0</v>
      </c>
      <c r="AH43" s="131">
        <f t="shared" si="46"/>
        <v>0</v>
      </c>
      <c r="AI43" s="131">
        <f t="shared" si="46"/>
        <v>0</v>
      </c>
      <c r="AJ43" s="131">
        <f t="shared" si="46"/>
        <v>0</v>
      </c>
      <c r="AK43" s="131">
        <f t="shared" si="46"/>
        <v>0</v>
      </c>
      <c r="AL43" s="131">
        <f t="shared" si="46"/>
        <v>0</v>
      </c>
      <c r="AM43" s="131">
        <f t="shared" si="46"/>
        <v>0</v>
      </c>
      <c r="AN43" s="131">
        <f t="shared" si="46"/>
        <v>0</v>
      </c>
      <c r="AO43" s="131">
        <f t="shared" si="46"/>
        <v>0</v>
      </c>
      <c r="AP43" s="131">
        <f t="shared" si="46"/>
        <v>0</v>
      </c>
      <c r="AQ43" s="131">
        <f t="shared" si="46"/>
        <v>0</v>
      </c>
      <c r="AR43" s="131">
        <f t="shared" si="46"/>
        <v>0</v>
      </c>
      <c r="AS43" s="105"/>
      <c r="AT43" s="131">
        <f t="shared" si="47"/>
        <v>0</v>
      </c>
      <c r="AU43" s="131">
        <f t="shared" si="47"/>
        <v>0</v>
      </c>
      <c r="AV43" s="131">
        <f t="shared" si="47"/>
        <v>0</v>
      </c>
      <c r="AW43" s="131">
        <f t="shared" si="47"/>
        <v>0</v>
      </c>
      <c r="AX43" s="131">
        <f t="shared" si="47"/>
        <v>0</v>
      </c>
      <c r="AY43" s="131">
        <f t="shared" si="47"/>
        <v>0</v>
      </c>
      <c r="AZ43" s="132">
        <f t="shared" ref="AZ43:AZ51" si="57">IFERROR(1-($AY43/$AY$40),0)</f>
        <v>0</v>
      </c>
      <c r="BA43" s="132">
        <f t="shared" ref="BA43:BA51" si="58">IFERROR(1-($BQ43/$AY$40),0)</f>
        <v>0</v>
      </c>
      <c r="BB43" s="105"/>
      <c r="BC43" s="91">
        <f>IFERROR(BC13*INDEX('Project Info'!$I$16:$M$16,MATCH(BC$5,'Project Info'!$I$15:$M$15,0)),0)</f>
        <v>0</v>
      </c>
      <c r="BD43" s="91">
        <f>IFERROR(BD13*INDEX('Project Info'!$I$16:$M$16,MATCH(BD$5,'Project Info'!$I$15:$M$15,0)),0)</f>
        <v>0</v>
      </c>
      <c r="BE43" s="91">
        <f>IFERROR(BE13*INDEX('Project Info'!$I$16:$M$16,MATCH(BE$5,'Project Info'!$I$15:$M$15,0)),0)</f>
        <v>0</v>
      </c>
      <c r="BF43" s="91">
        <f>IFERROR(BF13*INDEX('Project Info'!$I$16:$M$16,MATCH(BF$5,'Project Info'!$I$15:$M$15,0)),0)</f>
        <v>0</v>
      </c>
      <c r="BG43" s="91">
        <f>IFERROR(BG13*INDEX('Project Info'!$I$16:$M$16,MATCH(BG$5,'Project Info'!$I$15:$M$15,0)),0)</f>
        <v>0</v>
      </c>
      <c r="BH43" s="91">
        <f>IFERROR(BH13*INDEX('Project Info'!$I$16:$M$16,MATCH(BH$5,'Project Info'!$I$15:$M$15,0)),0)</f>
        <v>0</v>
      </c>
      <c r="BI43" s="91">
        <f>IFERROR(BI13*INDEX('Project Info'!$I$16:$M$16,MATCH(BI$5,'Project Info'!$I$15:$M$15,0)),0)</f>
        <v>0</v>
      </c>
      <c r="BJ43" s="132">
        <f t="shared" ref="BJ43:BJ51" si="59">IFERROR(BI43/AY43,0)</f>
        <v>0</v>
      </c>
      <c r="BK43" s="105"/>
      <c r="BL43" s="131">
        <f t="shared" si="55"/>
        <v>0</v>
      </c>
      <c r="BM43" s="131">
        <f t="shared" si="50"/>
        <v>0</v>
      </c>
      <c r="BN43" s="131">
        <f t="shared" si="51"/>
        <v>0</v>
      </c>
      <c r="BO43" s="131">
        <f t="shared" si="52"/>
        <v>0</v>
      </c>
      <c r="BP43" s="131">
        <f t="shared" si="53"/>
        <v>0</v>
      </c>
      <c r="BQ43" s="131">
        <f t="shared" si="56"/>
        <v>0</v>
      </c>
      <c r="BR43" s="132">
        <f t="shared" ref="BR43:BR51" si="60">IFERROR(1-($BQ43/$BQ$39),0)</f>
        <v>1</v>
      </c>
      <c r="BS43" s="132">
        <f t="shared" ref="BS43:BS51" si="61">IFERROR(1-($BQ43/$BQ$40),0)</f>
        <v>0</v>
      </c>
    </row>
    <row r="44" spans="1:71">
      <c r="A44" s="105" t="str">
        <f t="shared" si="48"/>
        <v xml:space="preserve"> </v>
      </c>
      <c r="B44" s="105"/>
      <c r="C44" s="91">
        <f>IFERROR(C14*INDEX('Project Info'!$I$16:$M$16,MATCH(C$5,'Project Info'!$I$15:$M$15,0)),0)</f>
        <v>0</v>
      </c>
      <c r="D44" s="91">
        <f>IFERROR(D14*INDEX('Project Info'!$I$16:$M$16,MATCH(D$5,'Project Info'!$I$15:$M$15,0)),0)</f>
        <v>0</v>
      </c>
      <c r="E44" s="91">
        <f>IFERROR(E14*INDEX('Project Info'!$I$16:$M$16,MATCH(E$5,'Project Info'!$I$15:$M$15,0)),0)</f>
        <v>0</v>
      </c>
      <c r="F44" s="91">
        <f>IFERROR(F14*INDEX('Project Info'!$I$16:$M$16,MATCH(F$5,'Project Info'!$I$15:$M$15,0)),0)</f>
        <v>0</v>
      </c>
      <c r="G44" s="91">
        <f>IFERROR(G14*INDEX('Project Info'!$I$16:$M$16,MATCH(G$5,'Project Info'!$I$15:$M$15,0)),0)</f>
        <v>0</v>
      </c>
      <c r="H44" s="91">
        <f>IFERROR(H14*INDEX('Project Info'!$I$16:$M$16,MATCH(H$5,'Project Info'!$I$15:$M$15,0)),0)</f>
        <v>0</v>
      </c>
      <c r="I44" s="91">
        <f>IFERROR(I14*INDEX('Project Info'!$I$16:$M$16,MATCH(I$5,'Project Info'!$I$15:$M$15,0)),0)</f>
        <v>0</v>
      </c>
      <c r="J44" s="91">
        <f>IFERROR(J14*INDEX('Project Info'!$I$16:$M$16,MATCH(J$5,'Project Info'!$I$15:$M$15,0)),0)</f>
        <v>0</v>
      </c>
      <c r="K44" s="91">
        <f>IFERROR(K14*INDEX('Project Info'!$I$16:$M$16,MATCH(K$5,'Project Info'!$I$15:$M$15,0)),0)</f>
        <v>0</v>
      </c>
      <c r="L44" s="91">
        <f>IFERROR(L14*INDEX('Project Info'!$I$16:$M$16,MATCH(L$5,'Project Info'!$I$15:$M$15,0)),0)</f>
        <v>0</v>
      </c>
      <c r="M44" s="91">
        <f>IFERROR(M14*INDEX('Project Info'!$I$16:$M$16,MATCH(M$5,'Project Info'!$I$15:$M$15,0)),0)</f>
        <v>0</v>
      </c>
      <c r="N44" s="91">
        <f>IFERROR(N14*INDEX('Project Info'!$I$16:$M$16,MATCH(N$5,'Project Info'!$I$15:$M$15,0)),0)</f>
        <v>0</v>
      </c>
      <c r="O44" s="91">
        <f>IFERROR(O14*INDEX('Project Info'!$I$16:$M$16,MATCH(O$5,'Project Info'!$I$15:$M$15,0)),0)</f>
        <v>0</v>
      </c>
      <c r="P44" s="91">
        <f>IFERROR(P14*INDEX('Project Info'!$I$16:$M$16,MATCH(P$5,'Project Info'!$I$15:$M$15,0)),0)</f>
        <v>0</v>
      </c>
      <c r="Q44" s="91">
        <f>IFERROR(Q14*INDEX('Project Info'!$I$16:$M$16,MATCH(Q$5,'Project Info'!$I$15:$M$15,0)),0)</f>
        <v>0</v>
      </c>
      <c r="R44" s="91">
        <f>IFERROR(R14*INDEX('Project Info'!$I$16:$M$16,MATCH(R$5,'Project Info'!$I$15:$M$15,0)),0)</f>
        <v>0</v>
      </c>
      <c r="S44" s="91">
        <f>IFERROR(S14*INDEX('Project Info'!$I$16:$M$16,MATCH(S$5,'Project Info'!$I$15:$M$15,0)),0)</f>
        <v>0</v>
      </c>
      <c r="T44" s="91">
        <f>IFERROR(T14*INDEX('Project Info'!$I$16:$M$16,MATCH(T$5,'Project Info'!$I$15:$M$15,0)),0)</f>
        <v>0</v>
      </c>
      <c r="U44" s="91">
        <f>IFERROR(U14*INDEX('Project Info'!$I$16:$M$16,MATCH(U$5,'Project Info'!$I$15:$M$15,0)),0)</f>
        <v>0</v>
      </c>
      <c r="V44" s="91">
        <f>IFERROR(V14*INDEX('Project Info'!$I$16:$M$16,MATCH(V$5,'Project Info'!$I$15:$M$15,0)),0)</f>
        <v>0</v>
      </c>
      <c r="W44" s="91">
        <f>IFERROR(W14*INDEX('Project Info'!$I$16:$M$16,MATCH(W$5,'Project Info'!$I$15:$M$15,0)),0)</f>
        <v>0</v>
      </c>
      <c r="X44" s="91">
        <f>IFERROR(X14*INDEX('Project Info'!$I$16:$M$16,MATCH(X$5,'Project Info'!$I$15:$M$15,0)),0)</f>
        <v>0</v>
      </c>
      <c r="Y44" s="91">
        <f>IFERROR(Y14*INDEX('Project Info'!$I$16:$M$16,MATCH(Y$5,'Project Info'!$I$15:$M$15,0)),0)</f>
        <v>0</v>
      </c>
      <c r="Z44" s="91">
        <f>IFERROR(Z14*INDEX('Project Info'!$I$16:$M$16,MATCH(Z$5,'Project Info'!$I$15:$M$15,0)),0)</f>
        <v>0</v>
      </c>
      <c r="AA44" s="91">
        <f>IFERROR(AA14*INDEX('Project Info'!$I$16:$M$16,MATCH(AA$5,'Project Info'!$I$15:$M$15,0)),0)</f>
        <v>0</v>
      </c>
      <c r="AB44" s="105"/>
      <c r="AC44" s="91">
        <f t="shared" si="46"/>
        <v>0</v>
      </c>
      <c r="AD44" s="91">
        <f t="shared" si="46"/>
        <v>0</v>
      </c>
      <c r="AE44" s="91">
        <f t="shared" si="46"/>
        <v>0</v>
      </c>
      <c r="AF44" s="91">
        <f t="shared" si="46"/>
        <v>0</v>
      </c>
      <c r="AG44" s="91">
        <f t="shared" si="46"/>
        <v>0</v>
      </c>
      <c r="AH44" s="91">
        <f t="shared" si="46"/>
        <v>0</v>
      </c>
      <c r="AI44" s="91">
        <f t="shared" si="46"/>
        <v>0</v>
      </c>
      <c r="AJ44" s="91">
        <f t="shared" si="46"/>
        <v>0</v>
      </c>
      <c r="AK44" s="91">
        <f t="shared" si="46"/>
        <v>0</v>
      </c>
      <c r="AL44" s="91">
        <f t="shared" si="46"/>
        <v>0</v>
      </c>
      <c r="AM44" s="91">
        <f t="shared" si="46"/>
        <v>0</v>
      </c>
      <c r="AN44" s="91">
        <f t="shared" si="46"/>
        <v>0</v>
      </c>
      <c r="AO44" s="91">
        <f t="shared" si="46"/>
        <v>0</v>
      </c>
      <c r="AP44" s="91">
        <f t="shared" si="46"/>
        <v>0</v>
      </c>
      <c r="AQ44" s="91">
        <f t="shared" si="46"/>
        <v>0</v>
      </c>
      <c r="AR44" s="91">
        <f t="shared" si="46"/>
        <v>0</v>
      </c>
      <c r="AS44" s="105"/>
      <c r="AT44" s="91">
        <f t="shared" si="47"/>
        <v>0</v>
      </c>
      <c r="AU44" s="91">
        <f t="shared" si="47"/>
        <v>0</v>
      </c>
      <c r="AV44" s="91">
        <f t="shared" si="47"/>
        <v>0</v>
      </c>
      <c r="AW44" s="91">
        <f t="shared" si="47"/>
        <v>0</v>
      </c>
      <c r="AX44" s="91">
        <f t="shared" si="47"/>
        <v>0</v>
      </c>
      <c r="AY44" s="91">
        <f t="shared" si="47"/>
        <v>0</v>
      </c>
      <c r="AZ44" s="132">
        <f t="shared" si="57"/>
        <v>0</v>
      </c>
      <c r="BA44" s="132">
        <f t="shared" si="58"/>
        <v>0</v>
      </c>
      <c r="BB44" s="105"/>
      <c r="BC44" s="91">
        <f>IFERROR(BC14*INDEX('Project Info'!$I$16:$M$16,MATCH(BC$5,'Project Info'!$I$15:$M$15,0)),0)</f>
        <v>0</v>
      </c>
      <c r="BD44" s="91">
        <f>IFERROR(BD14*INDEX('Project Info'!$I$16:$M$16,MATCH(BD$5,'Project Info'!$I$15:$M$15,0)),0)</f>
        <v>0</v>
      </c>
      <c r="BE44" s="91">
        <f>IFERROR(BE14*INDEX('Project Info'!$I$16:$M$16,MATCH(BE$5,'Project Info'!$I$15:$M$15,0)),0)</f>
        <v>0</v>
      </c>
      <c r="BF44" s="91">
        <f>IFERROR(BF14*INDEX('Project Info'!$I$16:$M$16,MATCH(BF$5,'Project Info'!$I$15:$M$15,0)),0)</f>
        <v>0</v>
      </c>
      <c r="BG44" s="91">
        <f>IFERROR(BG14*INDEX('Project Info'!$I$16:$M$16,MATCH(BG$5,'Project Info'!$I$15:$M$15,0)),0)</f>
        <v>0</v>
      </c>
      <c r="BH44" s="91">
        <f>IFERROR(BH14*INDEX('Project Info'!$I$16:$M$16,MATCH(BH$5,'Project Info'!$I$15:$M$15,0)),0)</f>
        <v>0</v>
      </c>
      <c r="BI44" s="91">
        <f>IFERROR(BI14*INDEX('Project Info'!$I$16:$M$16,MATCH(BI$5,'Project Info'!$I$15:$M$15,0)),0)</f>
        <v>0</v>
      </c>
      <c r="BJ44" s="132">
        <f t="shared" si="59"/>
        <v>0</v>
      </c>
      <c r="BK44" s="105"/>
      <c r="BL44" s="91">
        <f t="shared" si="55"/>
        <v>0</v>
      </c>
      <c r="BM44" s="91">
        <f t="shared" si="50"/>
        <v>0</v>
      </c>
      <c r="BN44" s="91">
        <f t="shared" si="51"/>
        <v>0</v>
      </c>
      <c r="BO44" s="91">
        <f t="shared" si="52"/>
        <v>0</v>
      </c>
      <c r="BP44" s="91">
        <f t="shared" si="53"/>
        <v>0</v>
      </c>
      <c r="BQ44" s="91">
        <f t="shared" si="56"/>
        <v>0</v>
      </c>
      <c r="BR44" s="132">
        <f t="shared" si="60"/>
        <v>1</v>
      </c>
      <c r="BS44" s="132">
        <f t="shared" si="61"/>
        <v>0</v>
      </c>
    </row>
    <row r="45" spans="1:71">
      <c r="A45" s="105" t="str">
        <f t="shared" si="48"/>
        <v xml:space="preserve"> </v>
      </c>
      <c r="B45" s="105"/>
      <c r="C45" s="91">
        <f>IFERROR(C15*INDEX('Project Info'!$I$16:$M$16,MATCH(C$5,'Project Info'!$I$15:$M$15,0)),0)</f>
        <v>0</v>
      </c>
      <c r="D45" s="91">
        <f>IFERROR(D15*INDEX('Project Info'!$I$16:$M$16,MATCH(D$5,'Project Info'!$I$15:$M$15,0)),0)</f>
        <v>0</v>
      </c>
      <c r="E45" s="91">
        <f>IFERROR(E15*INDEX('Project Info'!$I$16:$M$16,MATCH(E$5,'Project Info'!$I$15:$M$15,0)),0)</f>
        <v>0</v>
      </c>
      <c r="F45" s="91">
        <f>IFERROR(F15*INDEX('Project Info'!$I$16:$M$16,MATCH(F$5,'Project Info'!$I$15:$M$15,0)),0)</f>
        <v>0</v>
      </c>
      <c r="G45" s="91">
        <f>IFERROR(G15*INDEX('Project Info'!$I$16:$M$16,MATCH(G$5,'Project Info'!$I$15:$M$15,0)),0)</f>
        <v>0</v>
      </c>
      <c r="H45" s="91">
        <f>IFERROR(H15*INDEX('Project Info'!$I$16:$M$16,MATCH(H$5,'Project Info'!$I$15:$M$15,0)),0)</f>
        <v>0</v>
      </c>
      <c r="I45" s="91">
        <f>IFERROR(I15*INDEX('Project Info'!$I$16:$M$16,MATCH(I$5,'Project Info'!$I$15:$M$15,0)),0)</f>
        <v>0</v>
      </c>
      <c r="J45" s="91">
        <f>IFERROR(J15*INDEX('Project Info'!$I$16:$M$16,MATCH(J$5,'Project Info'!$I$15:$M$15,0)),0)</f>
        <v>0</v>
      </c>
      <c r="K45" s="91">
        <f>IFERROR(K15*INDEX('Project Info'!$I$16:$M$16,MATCH(K$5,'Project Info'!$I$15:$M$15,0)),0)</f>
        <v>0</v>
      </c>
      <c r="L45" s="91">
        <f>IFERROR(L15*INDEX('Project Info'!$I$16:$M$16,MATCH(L$5,'Project Info'!$I$15:$M$15,0)),0)</f>
        <v>0</v>
      </c>
      <c r="M45" s="91">
        <f>IFERROR(M15*INDEX('Project Info'!$I$16:$M$16,MATCH(M$5,'Project Info'!$I$15:$M$15,0)),0)</f>
        <v>0</v>
      </c>
      <c r="N45" s="91">
        <f>IFERROR(N15*INDEX('Project Info'!$I$16:$M$16,MATCH(N$5,'Project Info'!$I$15:$M$15,0)),0)</f>
        <v>0</v>
      </c>
      <c r="O45" s="91">
        <f>IFERROR(O15*INDEX('Project Info'!$I$16:$M$16,MATCH(O$5,'Project Info'!$I$15:$M$15,0)),0)</f>
        <v>0</v>
      </c>
      <c r="P45" s="91">
        <f>IFERROR(P15*INDEX('Project Info'!$I$16:$M$16,MATCH(P$5,'Project Info'!$I$15:$M$15,0)),0)</f>
        <v>0</v>
      </c>
      <c r="Q45" s="91">
        <f>IFERROR(Q15*INDEX('Project Info'!$I$16:$M$16,MATCH(Q$5,'Project Info'!$I$15:$M$15,0)),0)</f>
        <v>0</v>
      </c>
      <c r="R45" s="91">
        <f>IFERROR(R15*INDEX('Project Info'!$I$16:$M$16,MATCH(R$5,'Project Info'!$I$15:$M$15,0)),0)</f>
        <v>0</v>
      </c>
      <c r="S45" s="91">
        <f>IFERROR(S15*INDEX('Project Info'!$I$16:$M$16,MATCH(S$5,'Project Info'!$I$15:$M$15,0)),0)</f>
        <v>0</v>
      </c>
      <c r="T45" s="91">
        <f>IFERROR(T15*INDEX('Project Info'!$I$16:$M$16,MATCH(T$5,'Project Info'!$I$15:$M$15,0)),0)</f>
        <v>0</v>
      </c>
      <c r="U45" s="91">
        <f>IFERROR(U15*INDEX('Project Info'!$I$16:$M$16,MATCH(U$5,'Project Info'!$I$15:$M$15,0)),0)</f>
        <v>0</v>
      </c>
      <c r="V45" s="91">
        <f>IFERROR(V15*INDEX('Project Info'!$I$16:$M$16,MATCH(V$5,'Project Info'!$I$15:$M$15,0)),0)</f>
        <v>0</v>
      </c>
      <c r="W45" s="91">
        <f>IFERROR(W15*INDEX('Project Info'!$I$16:$M$16,MATCH(W$5,'Project Info'!$I$15:$M$15,0)),0)</f>
        <v>0</v>
      </c>
      <c r="X45" s="91">
        <f>IFERROR(X15*INDEX('Project Info'!$I$16:$M$16,MATCH(X$5,'Project Info'!$I$15:$M$15,0)),0)</f>
        <v>0</v>
      </c>
      <c r="Y45" s="91">
        <f>IFERROR(Y15*INDEX('Project Info'!$I$16:$M$16,MATCH(Y$5,'Project Info'!$I$15:$M$15,0)),0)</f>
        <v>0</v>
      </c>
      <c r="Z45" s="91">
        <f>IFERROR(Z15*INDEX('Project Info'!$I$16:$M$16,MATCH(Z$5,'Project Info'!$I$15:$M$15,0)),0)</f>
        <v>0</v>
      </c>
      <c r="AA45" s="91">
        <f>IFERROR(AA15*INDEX('Project Info'!$I$16:$M$16,MATCH(AA$5,'Project Info'!$I$15:$M$15,0)),0)</f>
        <v>0</v>
      </c>
      <c r="AB45" s="105"/>
      <c r="AC45" s="91">
        <f t="shared" si="46"/>
        <v>0</v>
      </c>
      <c r="AD45" s="91">
        <f t="shared" si="46"/>
        <v>0</v>
      </c>
      <c r="AE45" s="91">
        <f t="shared" si="46"/>
        <v>0</v>
      </c>
      <c r="AF45" s="91">
        <f t="shared" si="46"/>
        <v>0</v>
      </c>
      <c r="AG45" s="91">
        <f t="shared" si="46"/>
        <v>0</v>
      </c>
      <c r="AH45" s="91">
        <f t="shared" si="46"/>
        <v>0</v>
      </c>
      <c r="AI45" s="91">
        <f t="shared" si="46"/>
        <v>0</v>
      </c>
      <c r="AJ45" s="91">
        <f t="shared" si="46"/>
        <v>0</v>
      </c>
      <c r="AK45" s="91">
        <f t="shared" si="46"/>
        <v>0</v>
      </c>
      <c r="AL45" s="91">
        <f t="shared" si="46"/>
        <v>0</v>
      </c>
      <c r="AM45" s="91">
        <f t="shared" si="46"/>
        <v>0</v>
      </c>
      <c r="AN45" s="91">
        <f t="shared" si="46"/>
        <v>0</v>
      </c>
      <c r="AO45" s="91">
        <f t="shared" si="46"/>
        <v>0</v>
      </c>
      <c r="AP45" s="91">
        <f t="shared" si="46"/>
        <v>0</v>
      </c>
      <c r="AQ45" s="91">
        <f t="shared" si="46"/>
        <v>0</v>
      </c>
      <c r="AR45" s="91">
        <f t="shared" si="46"/>
        <v>0</v>
      </c>
      <c r="AS45" s="105"/>
      <c r="AT45" s="91">
        <f t="shared" si="47"/>
        <v>0</v>
      </c>
      <c r="AU45" s="91">
        <f t="shared" si="47"/>
        <v>0</v>
      </c>
      <c r="AV45" s="91">
        <f t="shared" si="47"/>
        <v>0</v>
      </c>
      <c r="AW45" s="91">
        <f t="shared" si="47"/>
        <v>0</v>
      </c>
      <c r="AX45" s="91">
        <f t="shared" si="47"/>
        <v>0</v>
      </c>
      <c r="AY45" s="91">
        <f t="shared" si="47"/>
        <v>0</v>
      </c>
      <c r="AZ45" s="132">
        <f t="shared" si="57"/>
        <v>0</v>
      </c>
      <c r="BA45" s="132">
        <f t="shared" si="58"/>
        <v>0</v>
      </c>
      <c r="BB45" s="105"/>
      <c r="BC45" s="91">
        <f>IFERROR(BC15*INDEX('Project Info'!$I$16:$M$16,MATCH(BC$5,'Project Info'!$I$15:$M$15,0)),0)</f>
        <v>0</v>
      </c>
      <c r="BD45" s="91">
        <f>IFERROR(BD15*INDEX('Project Info'!$I$16:$M$16,MATCH(BD$5,'Project Info'!$I$15:$M$15,0)),0)</f>
        <v>0</v>
      </c>
      <c r="BE45" s="91">
        <f>IFERROR(BE15*INDEX('Project Info'!$I$16:$M$16,MATCH(BE$5,'Project Info'!$I$15:$M$15,0)),0)</f>
        <v>0</v>
      </c>
      <c r="BF45" s="91">
        <f>IFERROR(BF15*INDEX('Project Info'!$I$16:$M$16,MATCH(BF$5,'Project Info'!$I$15:$M$15,0)),0)</f>
        <v>0</v>
      </c>
      <c r="BG45" s="91">
        <f>IFERROR(BG15*INDEX('Project Info'!$I$16:$M$16,MATCH(BG$5,'Project Info'!$I$15:$M$15,0)),0)</f>
        <v>0</v>
      </c>
      <c r="BH45" s="91">
        <f>IFERROR(BH15*INDEX('Project Info'!$I$16:$M$16,MATCH(BH$5,'Project Info'!$I$15:$M$15,0)),0)</f>
        <v>0</v>
      </c>
      <c r="BI45" s="91">
        <f>IFERROR(BI15*INDEX('Project Info'!$I$16:$M$16,MATCH(BI$5,'Project Info'!$I$15:$M$15,0)),0)</f>
        <v>0</v>
      </c>
      <c r="BJ45" s="132">
        <f t="shared" si="59"/>
        <v>0</v>
      </c>
      <c r="BK45" s="105"/>
      <c r="BL45" s="91">
        <f t="shared" si="55"/>
        <v>0</v>
      </c>
      <c r="BM45" s="91">
        <f t="shared" si="50"/>
        <v>0</v>
      </c>
      <c r="BN45" s="91">
        <f t="shared" si="51"/>
        <v>0</v>
      </c>
      <c r="BO45" s="91">
        <f t="shared" si="52"/>
        <v>0</v>
      </c>
      <c r="BP45" s="91">
        <f t="shared" si="53"/>
        <v>0</v>
      </c>
      <c r="BQ45" s="91">
        <f t="shared" si="56"/>
        <v>0</v>
      </c>
      <c r="BR45" s="132">
        <f t="shared" si="60"/>
        <v>1</v>
      </c>
      <c r="BS45" s="132">
        <f t="shared" si="61"/>
        <v>0</v>
      </c>
    </row>
    <row r="46" spans="1:71">
      <c r="A46" s="105" t="str">
        <f t="shared" si="48"/>
        <v xml:space="preserve"> </v>
      </c>
      <c r="B46" s="105"/>
      <c r="C46" s="91">
        <f>IFERROR(C16*INDEX('Project Info'!$I$16:$M$16,MATCH(C$5,'Project Info'!$I$15:$M$15,0)),0)</f>
        <v>0</v>
      </c>
      <c r="D46" s="91">
        <f>IFERROR(D16*INDEX('Project Info'!$I$16:$M$16,MATCH(D$5,'Project Info'!$I$15:$M$15,0)),0)</f>
        <v>0</v>
      </c>
      <c r="E46" s="91">
        <f>IFERROR(E16*INDEX('Project Info'!$I$16:$M$16,MATCH(E$5,'Project Info'!$I$15:$M$15,0)),0)</f>
        <v>0</v>
      </c>
      <c r="F46" s="91">
        <f>IFERROR(F16*INDEX('Project Info'!$I$16:$M$16,MATCH(F$5,'Project Info'!$I$15:$M$15,0)),0)</f>
        <v>0</v>
      </c>
      <c r="G46" s="91">
        <f>IFERROR(G16*INDEX('Project Info'!$I$16:$M$16,MATCH(G$5,'Project Info'!$I$15:$M$15,0)),0)</f>
        <v>0</v>
      </c>
      <c r="H46" s="91">
        <f>IFERROR(H16*INDEX('Project Info'!$I$16:$M$16,MATCH(H$5,'Project Info'!$I$15:$M$15,0)),0)</f>
        <v>0</v>
      </c>
      <c r="I46" s="91">
        <f>IFERROR(I16*INDEX('Project Info'!$I$16:$M$16,MATCH(I$5,'Project Info'!$I$15:$M$15,0)),0)</f>
        <v>0</v>
      </c>
      <c r="J46" s="91">
        <f>IFERROR(J16*INDEX('Project Info'!$I$16:$M$16,MATCH(J$5,'Project Info'!$I$15:$M$15,0)),0)</f>
        <v>0</v>
      </c>
      <c r="K46" s="91">
        <f>IFERROR(K16*INDEX('Project Info'!$I$16:$M$16,MATCH(K$5,'Project Info'!$I$15:$M$15,0)),0)</f>
        <v>0</v>
      </c>
      <c r="L46" s="91">
        <f>IFERROR(L16*INDEX('Project Info'!$I$16:$M$16,MATCH(L$5,'Project Info'!$I$15:$M$15,0)),0)</f>
        <v>0</v>
      </c>
      <c r="M46" s="91">
        <f>IFERROR(M16*INDEX('Project Info'!$I$16:$M$16,MATCH(M$5,'Project Info'!$I$15:$M$15,0)),0)</f>
        <v>0</v>
      </c>
      <c r="N46" s="91">
        <f>IFERROR(N16*INDEX('Project Info'!$I$16:$M$16,MATCH(N$5,'Project Info'!$I$15:$M$15,0)),0)</f>
        <v>0</v>
      </c>
      <c r="O46" s="91">
        <f>IFERROR(O16*INDEX('Project Info'!$I$16:$M$16,MATCH(O$5,'Project Info'!$I$15:$M$15,0)),0)</f>
        <v>0</v>
      </c>
      <c r="P46" s="91">
        <f>IFERROR(P16*INDEX('Project Info'!$I$16:$M$16,MATCH(P$5,'Project Info'!$I$15:$M$15,0)),0)</f>
        <v>0</v>
      </c>
      <c r="Q46" s="91">
        <f>IFERROR(Q16*INDEX('Project Info'!$I$16:$M$16,MATCH(Q$5,'Project Info'!$I$15:$M$15,0)),0)</f>
        <v>0</v>
      </c>
      <c r="R46" s="91">
        <f>IFERROR(R16*INDEX('Project Info'!$I$16:$M$16,MATCH(R$5,'Project Info'!$I$15:$M$15,0)),0)</f>
        <v>0</v>
      </c>
      <c r="S46" s="91">
        <f>IFERROR(S16*INDEX('Project Info'!$I$16:$M$16,MATCH(S$5,'Project Info'!$I$15:$M$15,0)),0)</f>
        <v>0</v>
      </c>
      <c r="T46" s="91">
        <f>IFERROR(T16*INDEX('Project Info'!$I$16:$M$16,MATCH(T$5,'Project Info'!$I$15:$M$15,0)),0)</f>
        <v>0</v>
      </c>
      <c r="U46" s="91">
        <f>IFERROR(U16*INDEX('Project Info'!$I$16:$M$16,MATCH(U$5,'Project Info'!$I$15:$M$15,0)),0)</f>
        <v>0</v>
      </c>
      <c r="V46" s="91">
        <f>IFERROR(V16*INDEX('Project Info'!$I$16:$M$16,MATCH(V$5,'Project Info'!$I$15:$M$15,0)),0)</f>
        <v>0</v>
      </c>
      <c r="W46" s="91">
        <f>IFERROR(W16*INDEX('Project Info'!$I$16:$M$16,MATCH(W$5,'Project Info'!$I$15:$M$15,0)),0)</f>
        <v>0</v>
      </c>
      <c r="X46" s="91">
        <f>IFERROR(X16*INDEX('Project Info'!$I$16:$M$16,MATCH(X$5,'Project Info'!$I$15:$M$15,0)),0)</f>
        <v>0</v>
      </c>
      <c r="Y46" s="91">
        <f>IFERROR(Y16*INDEX('Project Info'!$I$16:$M$16,MATCH(Y$5,'Project Info'!$I$15:$M$15,0)),0)</f>
        <v>0</v>
      </c>
      <c r="Z46" s="91">
        <f>IFERROR(Z16*INDEX('Project Info'!$I$16:$M$16,MATCH(Z$5,'Project Info'!$I$15:$M$15,0)),0)</f>
        <v>0</v>
      </c>
      <c r="AA46" s="91">
        <f>IFERROR(AA16*INDEX('Project Info'!$I$16:$M$16,MATCH(AA$5,'Project Info'!$I$15:$M$15,0)),0)</f>
        <v>0</v>
      </c>
      <c r="AB46" s="105"/>
      <c r="AC46" s="91">
        <f t="shared" si="46"/>
        <v>0</v>
      </c>
      <c r="AD46" s="91">
        <f t="shared" si="46"/>
        <v>0</v>
      </c>
      <c r="AE46" s="91">
        <f t="shared" si="46"/>
        <v>0</v>
      </c>
      <c r="AF46" s="91">
        <f t="shared" si="46"/>
        <v>0</v>
      </c>
      <c r="AG46" s="91">
        <f t="shared" si="46"/>
        <v>0</v>
      </c>
      <c r="AH46" s="91">
        <f t="shared" si="46"/>
        <v>0</v>
      </c>
      <c r="AI46" s="91">
        <f t="shared" si="46"/>
        <v>0</v>
      </c>
      <c r="AJ46" s="91">
        <f t="shared" si="46"/>
        <v>0</v>
      </c>
      <c r="AK46" s="91">
        <f t="shared" si="46"/>
        <v>0</v>
      </c>
      <c r="AL46" s="91">
        <f t="shared" si="46"/>
        <v>0</v>
      </c>
      <c r="AM46" s="91">
        <f t="shared" si="46"/>
        <v>0</v>
      </c>
      <c r="AN46" s="91">
        <f t="shared" si="46"/>
        <v>0</v>
      </c>
      <c r="AO46" s="91">
        <f t="shared" si="46"/>
        <v>0</v>
      </c>
      <c r="AP46" s="91">
        <f t="shared" si="46"/>
        <v>0</v>
      </c>
      <c r="AQ46" s="91">
        <f t="shared" si="46"/>
        <v>0</v>
      </c>
      <c r="AR46" s="91">
        <f t="shared" si="46"/>
        <v>0</v>
      </c>
      <c r="AS46" s="105"/>
      <c r="AT46" s="91">
        <f t="shared" si="47"/>
        <v>0</v>
      </c>
      <c r="AU46" s="91">
        <f t="shared" si="47"/>
        <v>0</v>
      </c>
      <c r="AV46" s="91">
        <f t="shared" si="47"/>
        <v>0</v>
      </c>
      <c r="AW46" s="91">
        <f t="shared" si="47"/>
        <v>0</v>
      </c>
      <c r="AX46" s="91">
        <f t="shared" si="47"/>
        <v>0</v>
      </c>
      <c r="AY46" s="91">
        <f t="shared" si="47"/>
        <v>0</v>
      </c>
      <c r="AZ46" s="132">
        <f t="shared" si="57"/>
        <v>0</v>
      </c>
      <c r="BA46" s="132">
        <f t="shared" si="58"/>
        <v>0</v>
      </c>
      <c r="BB46" s="105"/>
      <c r="BC46" s="91">
        <f>IFERROR(BC16*INDEX('Project Info'!$I$16:$M$16,MATCH(BC$5,'Project Info'!$I$15:$M$15,0)),0)</f>
        <v>0</v>
      </c>
      <c r="BD46" s="91">
        <f>IFERROR(BD16*INDEX('Project Info'!$I$16:$M$16,MATCH(BD$5,'Project Info'!$I$15:$M$15,0)),0)</f>
        <v>0</v>
      </c>
      <c r="BE46" s="91">
        <f>IFERROR(BE16*INDEX('Project Info'!$I$16:$M$16,MATCH(BE$5,'Project Info'!$I$15:$M$15,0)),0)</f>
        <v>0</v>
      </c>
      <c r="BF46" s="91">
        <f>IFERROR(BF16*INDEX('Project Info'!$I$16:$M$16,MATCH(BF$5,'Project Info'!$I$15:$M$15,0)),0)</f>
        <v>0</v>
      </c>
      <c r="BG46" s="91">
        <f>IFERROR(BG16*INDEX('Project Info'!$I$16:$M$16,MATCH(BG$5,'Project Info'!$I$15:$M$15,0)),0)</f>
        <v>0</v>
      </c>
      <c r="BH46" s="91">
        <f>IFERROR(BH16*INDEX('Project Info'!$I$16:$M$16,MATCH(BH$5,'Project Info'!$I$15:$M$15,0)),0)</f>
        <v>0</v>
      </c>
      <c r="BI46" s="91">
        <f>IFERROR(BI16*INDEX('Project Info'!$I$16:$M$16,MATCH(BI$5,'Project Info'!$I$15:$M$15,0)),0)</f>
        <v>0</v>
      </c>
      <c r="BJ46" s="132">
        <f t="shared" si="59"/>
        <v>0</v>
      </c>
      <c r="BK46" s="105"/>
      <c r="BL46" s="91">
        <f t="shared" si="55"/>
        <v>0</v>
      </c>
      <c r="BM46" s="91">
        <f t="shared" si="50"/>
        <v>0</v>
      </c>
      <c r="BN46" s="91">
        <f t="shared" si="51"/>
        <v>0</v>
      </c>
      <c r="BO46" s="91">
        <f t="shared" si="52"/>
        <v>0</v>
      </c>
      <c r="BP46" s="91">
        <f t="shared" si="53"/>
        <v>0</v>
      </c>
      <c r="BQ46" s="91">
        <f t="shared" si="56"/>
        <v>0</v>
      </c>
      <c r="BR46" s="132">
        <f t="shared" si="60"/>
        <v>1</v>
      </c>
      <c r="BS46" s="132">
        <f t="shared" si="61"/>
        <v>0</v>
      </c>
    </row>
    <row r="47" spans="1:71">
      <c r="A47" s="105" t="str">
        <f t="shared" si="48"/>
        <v xml:space="preserve"> </v>
      </c>
      <c r="B47" s="105"/>
      <c r="C47" s="91">
        <f>IFERROR(C17*INDEX('Project Info'!$I$16:$M$16,MATCH(C$5,'Project Info'!$I$15:$M$15,0)),0)</f>
        <v>0</v>
      </c>
      <c r="D47" s="91">
        <f>IFERROR(D17*INDEX('Project Info'!$I$16:$M$16,MATCH(D$5,'Project Info'!$I$15:$M$15,0)),0)</f>
        <v>0</v>
      </c>
      <c r="E47" s="91">
        <f>IFERROR(E17*INDEX('Project Info'!$I$16:$M$16,MATCH(E$5,'Project Info'!$I$15:$M$15,0)),0)</f>
        <v>0</v>
      </c>
      <c r="F47" s="91">
        <f>IFERROR(F17*INDEX('Project Info'!$I$16:$M$16,MATCH(F$5,'Project Info'!$I$15:$M$15,0)),0)</f>
        <v>0</v>
      </c>
      <c r="G47" s="91">
        <f>IFERROR(G17*INDEX('Project Info'!$I$16:$M$16,MATCH(G$5,'Project Info'!$I$15:$M$15,0)),0)</f>
        <v>0</v>
      </c>
      <c r="H47" s="91">
        <f>IFERROR(H17*INDEX('Project Info'!$I$16:$M$16,MATCH(H$5,'Project Info'!$I$15:$M$15,0)),0)</f>
        <v>0</v>
      </c>
      <c r="I47" s="91">
        <f>IFERROR(I17*INDEX('Project Info'!$I$16:$M$16,MATCH(I$5,'Project Info'!$I$15:$M$15,0)),0)</f>
        <v>0</v>
      </c>
      <c r="J47" s="91">
        <f>IFERROR(J17*INDEX('Project Info'!$I$16:$M$16,MATCH(J$5,'Project Info'!$I$15:$M$15,0)),0)</f>
        <v>0</v>
      </c>
      <c r="K47" s="91">
        <f>IFERROR(K17*INDEX('Project Info'!$I$16:$M$16,MATCH(K$5,'Project Info'!$I$15:$M$15,0)),0)</f>
        <v>0</v>
      </c>
      <c r="L47" s="91">
        <f>IFERROR(L17*INDEX('Project Info'!$I$16:$M$16,MATCH(L$5,'Project Info'!$I$15:$M$15,0)),0)</f>
        <v>0</v>
      </c>
      <c r="M47" s="91">
        <f>IFERROR(M17*INDEX('Project Info'!$I$16:$M$16,MATCH(M$5,'Project Info'!$I$15:$M$15,0)),0)</f>
        <v>0</v>
      </c>
      <c r="N47" s="91">
        <f>IFERROR(N17*INDEX('Project Info'!$I$16:$M$16,MATCH(N$5,'Project Info'!$I$15:$M$15,0)),0)</f>
        <v>0</v>
      </c>
      <c r="O47" s="91">
        <f>IFERROR(O17*INDEX('Project Info'!$I$16:$M$16,MATCH(O$5,'Project Info'!$I$15:$M$15,0)),0)</f>
        <v>0</v>
      </c>
      <c r="P47" s="91">
        <f>IFERROR(P17*INDEX('Project Info'!$I$16:$M$16,MATCH(P$5,'Project Info'!$I$15:$M$15,0)),0)</f>
        <v>0</v>
      </c>
      <c r="Q47" s="91">
        <f>IFERROR(Q17*INDEX('Project Info'!$I$16:$M$16,MATCH(Q$5,'Project Info'!$I$15:$M$15,0)),0)</f>
        <v>0</v>
      </c>
      <c r="R47" s="91">
        <f>IFERROR(R17*INDEX('Project Info'!$I$16:$M$16,MATCH(R$5,'Project Info'!$I$15:$M$15,0)),0)</f>
        <v>0</v>
      </c>
      <c r="S47" s="91">
        <f>IFERROR(S17*INDEX('Project Info'!$I$16:$M$16,MATCH(S$5,'Project Info'!$I$15:$M$15,0)),0)</f>
        <v>0</v>
      </c>
      <c r="T47" s="91">
        <f>IFERROR(T17*INDEX('Project Info'!$I$16:$M$16,MATCH(T$5,'Project Info'!$I$15:$M$15,0)),0)</f>
        <v>0</v>
      </c>
      <c r="U47" s="91">
        <f>IFERROR(U17*INDEX('Project Info'!$I$16:$M$16,MATCH(U$5,'Project Info'!$I$15:$M$15,0)),0)</f>
        <v>0</v>
      </c>
      <c r="V47" s="91">
        <f>IFERROR(V17*INDEX('Project Info'!$I$16:$M$16,MATCH(V$5,'Project Info'!$I$15:$M$15,0)),0)</f>
        <v>0</v>
      </c>
      <c r="W47" s="91">
        <f>IFERROR(W17*INDEX('Project Info'!$I$16:$M$16,MATCH(W$5,'Project Info'!$I$15:$M$15,0)),0)</f>
        <v>0</v>
      </c>
      <c r="X47" s="91">
        <f>IFERROR(X17*INDEX('Project Info'!$I$16:$M$16,MATCH(X$5,'Project Info'!$I$15:$M$15,0)),0)</f>
        <v>0</v>
      </c>
      <c r="Y47" s="91">
        <f>IFERROR(Y17*INDEX('Project Info'!$I$16:$M$16,MATCH(Y$5,'Project Info'!$I$15:$M$15,0)),0)</f>
        <v>0</v>
      </c>
      <c r="Z47" s="91">
        <f>IFERROR(Z17*INDEX('Project Info'!$I$16:$M$16,MATCH(Z$5,'Project Info'!$I$15:$M$15,0)),0)</f>
        <v>0</v>
      </c>
      <c r="AA47" s="91">
        <f>IFERROR(AA17*INDEX('Project Info'!$I$16:$M$16,MATCH(AA$5,'Project Info'!$I$15:$M$15,0)),0)</f>
        <v>0</v>
      </c>
      <c r="AB47" s="105"/>
      <c r="AC47" s="91">
        <f t="shared" si="46"/>
        <v>0</v>
      </c>
      <c r="AD47" s="91">
        <f t="shared" si="46"/>
        <v>0</v>
      </c>
      <c r="AE47" s="91">
        <f t="shared" si="46"/>
        <v>0</v>
      </c>
      <c r="AF47" s="91">
        <f t="shared" si="46"/>
        <v>0</v>
      </c>
      <c r="AG47" s="91">
        <f t="shared" si="46"/>
        <v>0</v>
      </c>
      <c r="AH47" s="91">
        <f t="shared" si="46"/>
        <v>0</v>
      </c>
      <c r="AI47" s="91">
        <f t="shared" si="46"/>
        <v>0</v>
      </c>
      <c r="AJ47" s="91">
        <f t="shared" si="46"/>
        <v>0</v>
      </c>
      <c r="AK47" s="91">
        <f t="shared" si="46"/>
        <v>0</v>
      </c>
      <c r="AL47" s="91">
        <f t="shared" si="46"/>
        <v>0</v>
      </c>
      <c r="AM47" s="91">
        <f t="shared" si="46"/>
        <v>0</v>
      </c>
      <c r="AN47" s="91">
        <f t="shared" si="46"/>
        <v>0</v>
      </c>
      <c r="AO47" s="91">
        <f t="shared" si="46"/>
        <v>0</v>
      </c>
      <c r="AP47" s="91">
        <f t="shared" si="46"/>
        <v>0</v>
      </c>
      <c r="AQ47" s="91">
        <f t="shared" si="46"/>
        <v>0</v>
      </c>
      <c r="AR47" s="91">
        <f t="shared" si="46"/>
        <v>0</v>
      </c>
      <c r="AS47" s="105"/>
      <c r="AT47" s="91">
        <f t="shared" si="47"/>
        <v>0</v>
      </c>
      <c r="AU47" s="91">
        <f t="shared" si="47"/>
        <v>0</v>
      </c>
      <c r="AV47" s="91">
        <f t="shared" si="47"/>
        <v>0</v>
      </c>
      <c r="AW47" s="91">
        <f t="shared" si="47"/>
        <v>0</v>
      </c>
      <c r="AX47" s="91">
        <f t="shared" si="47"/>
        <v>0</v>
      </c>
      <c r="AY47" s="91">
        <f t="shared" si="47"/>
        <v>0</v>
      </c>
      <c r="AZ47" s="132">
        <f t="shared" si="57"/>
        <v>0</v>
      </c>
      <c r="BA47" s="132">
        <f t="shared" si="58"/>
        <v>0</v>
      </c>
      <c r="BB47" s="105"/>
      <c r="BC47" s="91">
        <f>IFERROR(BC17*INDEX('Project Info'!$I$16:$M$16,MATCH(BC$5,'Project Info'!$I$15:$M$15,0)),0)</f>
        <v>0</v>
      </c>
      <c r="BD47" s="91">
        <f>IFERROR(BD17*INDEX('Project Info'!$I$16:$M$16,MATCH(BD$5,'Project Info'!$I$15:$M$15,0)),0)</f>
        <v>0</v>
      </c>
      <c r="BE47" s="91">
        <f>IFERROR(BE17*INDEX('Project Info'!$I$16:$M$16,MATCH(BE$5,'Project Info'!$I$15:$M$15,0)),0)</f>
        <v>0</v>
      </c>
      <c r="BF47" s="91">
        <f>IFERROR(BF17*INDEX('Project Info'!$I$16:$M$16,MATCH(BF$5,'Project Info'!$I$15:$M$15,0)),0)</f>
        <v>0</v>
      </c>
      <c r="BG47" s="91">
        <f>IFERROR(BG17*INDEX('Project Info'!$I$16:$M$16,MATCH(BG$5,'Project Info'!$I$15:$M$15,0)),0)</f>
        <v>0</v>
      </c>
      <c r="BH47" s="91">
        <f>IFERROR(BH17*INDEX('Project Info'!$I$16:$M$16,MATCH(BH$5,'Project Info'!$I$15:$M$15,0)),0)</f>
        <v>0</v>
      </c>
      <c r="BI47" s="91">
        <f>IFERROR(BI17*INDEX('Project Info'!$I$16:$M$16,MATCH(BI$5,'Project Info'!$I$15:$M$15,0)),0)</f>
        <v>0</v>
      </c>
      <c r="BJ47" s="132">
        <f t="shared" si="59"/>
        <v>0</v>
      </c>
      <c r="BK47" s="105"/>
      <c r="BL47" s="91">
        <f t="shared" si="55"/>
        <v>0</v>
      </c>
      <c r="BM47" s="91">
        <f t="shared" si="50"/>
        <v>0</v>
      </c>
      <c r="BN47" s="91">
        <f t="shared" si="51"/>
        <v>0</v>
      </c>
      <c r="BO47" s="91">
        <f t="shared" si="52"/>
        <v>0</v>
      </c>
      <c r="BP47" s="91">
        <f t="shared" si="53"/>
        <v>0</v>
      </c>
      <c r="BQ47" s="91">
        <f t="shared" si="56"/>
        <v>0</v>
      </c>
      <c r="BR47" s="132">
        <f t="shared" si="60"/>
        <v>1</v>
      </c>
      <c r="BS47" s="132">
        <f t="shared" si="61"/>
        <v>0</v>
      </c>
    </row>
    <row r="48" spans="1:71">
      <c r="A48" s="105" t="str">
        <f t="shared" si="48"/>
        <v xml:space="preserve"> </v>
      </c>
      <c r="B48" s="105"/>
      <c r="C48" s="91">
        <f>IFERROR(C18*INDEX('Project Info'!$I$16:$M$16,MATCH(C$5,'Project Info'!$I$15:$M$15,0)),0)</f>
        <v>0</v>
      </c>
      <c r="D48" s="91">
        <f>IFERROR(D18*INDEX('Project Info'!$I$16:$M$16,MATCH(D$5,'Project Info'!$I$15:$M$15,0)),0)</f>
        <v>0</v>
      </c>
      <c r="E48" s="91">
        <f>IFERROR(E18*INDEX('Project Info'!$I$16:$M$16,MATCH(E$5,'Project Info'!$I$15:$M$15,0)),0)</f>
        <v>0</v>
      </c>
      <c r="F48" s="91">
        <f>IFERROR(F18*INDEX('Project Info'!$I$16:$M$16,MATCH(F$5,'Project Info'!$I$15:$M$15,0)),0)</f>
        <v>0</v>
      </c>
      <c r="G48" s="91">
        <f>IFERROR(G18*INDEX('Project Info'!$I$16:$M$16,MATCH(G$5,'Project Info'!$I$15:$M$15,0)),0)</f>
        <v>0</v>
      </c>
      <c r="H48" s="91">
        <f>IFERROR(H18*INDEX('Project Info'!$I$16:$M$16,MATCH(H$5,'Project Info'!$I$15:$M$15,0)),0)</f>
        <v>0</v>
      </c>
      <c r="I48" s="91">
        <f>IFERROR(I18*INDEX('Project Info'!$I$16:$M$16,MATCH(I$5,'Project Info'!$I$15:$M$15,0)),0)</f>
        <v>0</v>
      </c>
      <c r="J48" s="91">
        <f>IFERROR(J18*INDEX('Project Info'!$I$16:$M$16,MATCH(J$5,'Project Info'!$I$15:$M$15,0)),0)</f>
        <v>0</v>
      </c>
      <c r="K48" s="91">
        <f>IFERROR(K18*INDEX('Project Info'!$I$16:$M$16,MATCH(K$5,'Project Info'!$I$15:$M$15,0)),0)</f>
        <v>0</v>
      </c>
      <c r="L48" s="91">
        <f>IFERROR(L18*INDEX('Project Info'!$I$16:$M$16,MATCH(L$5,'Project Info'!$I$15:$M$15,0)),0)</f>
        <v>0</v>
      </c>
      <c r="M48" s="91">
        <f>IFERROR(M18*INDEX('Project Info'!$I$16:$M$16,MATCH(M$5,'Project Info'!$I$15:$M$15,0)),0)</f>
        <v>0</v>
      </c>
      <c r="N48" s="91">
        <f>IFERROR(N18*INDEX('Project Info'!$I$16:$M$16,MATCH(N$5,'Project Info'!$I$15:$M$15,0)),0)</f>
        <v>0</v>
      </c>
      <c r="O48" s="91">
        <f>IFERROR(O18*INDEX('Project Info'!$I$16:$M$16,MATCH(O$5,'Project Info'!$I$15:$M$15,0)),0)</f>
        <v>0</v>
      </c>
      <c r="P48" s="91">
        <f>IFERROR(P18*INDEX('Project Info'!$I$16:$M$16,MATCH(P$5,'Project Info'!$I$15:$M$15,0)),0)</f>
        <v>0</v>
      </c>
      <c r="Q48" s="91">
        <f>IFERROR(Q18*INDEX('Project Info'!$I$16:$M$16,MATCH(Q$5,'Project Info'!$I$15:$M$15,0)),0)</f>
        <v>0</v>
      </c>
      <c r="R48" s="91">
        <f>IFERROR(R18*INDEX('Project Info'!$I$16:$M$16,MATCH(R$5,'Project Info'!$I$15:$M$15,0)),0)</f>
        <v>0</v>
      </c>
      <c r="S48" s="91">
        <f>IFERROR(S18*INDEX('Project Info'!$I$16:$M$16,MATCH(S$5,'Project Info'!$I$15:$M$15,0)),0)</f>
        <v>0</v>
      </c>
      <c r="T48" s="91">
        <f>IFERROR(T18*INDEX('Project Info'!$I$16:$M$16,MATCH(T$5,'Project Info'!$I$15:$M$15,0)),0)</f>
        <v>0</v>
      </c>
      <c r="U48" s="91">
        <f>IFERROR(U18*INDEX('Project Info'!$I$16:$M$16,MATCH(U$5,'Project Info'!$I$15:$M$15,0)),0)</f>
        <v>0</v>
      </c>
      <c r="V48" s="91">
        <f>IFERROR(V18*INDEX('Project Info'!$I$16:$M$16,MATCH(V$5,'Project Info'!$I$15:$M$15,0)),0)</f>
        <v>0</v>
      </c>
      <c r="W48" s="91">
        <f>IFERROR(W18*INDEX('Project Info'!$I$16:$M$16,MATCH(W$5,'Project Info'!$I$15:$M$15,0)),0)</f>
        <v>0</v>
      </c>
      <c r="X48" s="91">
        <f>IFERROR(X18*INDEX('Project Info'!$I$16:$M$16,MATCH(X$5,'Project Info'!$I$15:$M$15,0)),0)</f>
        <v>0</v>
      </c>
      <c r="Y48" s="91">
        <f>IFERROR(Y18*INDEX('Project Info'!$I$16:$M$16,MATCH(Y$5,'Project Info'!$I$15:$M$15,0)),0)</f>
        <v>0</v>
      </c>
      <c r="Z48" s="91">
        <f>IFERROR(Z18*INDEX('Project Info'!$I$16:$M$16,MATCH(Z$5,'Project Info'!$I$15:$M$15,0)),0)</f>
        <v>0</v>
      </c>
      <c r="AA48" s="91">
        <f>IFERROR(AA18*INDEX('Project Info'!$I$16:$M$16,MATCH(AA$5,'Project Info'!$I$15:$M$15,0)),0)</f>
        <v>0</v>
      </c>
      <c r="AB48" s="105"/>
      <c r="AC48" s="91">
        <f t="shared" si="46"/>
        <v>0</v>
      </c>
      <c r="AD48" s="91">
        <f t="shared" si="46"/>
        <v>0</v>
      </c>
      <c r="AE48" s="91">
        <f t="shared" si="46"/>
        <v>0</v>
      </c>
      <c r="AF48" s="91">
        <f t="shared" si="46"/>
        <v>0</v>
      </c>
      <c r="AG48" s="91">
        <f t="shared" si="46"/>
        <v>0</v>
      </c>
      <c r="AH48" s="91">
        <f t="shared" si="46"/>
        <v>0</v>
      </c>
      <c r="AI48" s="91">
        <f t="shared" si="46"/>
        <v>0</v>
      </c>
      <c r="AJ48" s="91">
        <f t="shared" si="46"/>
        <v>0</v>
      </c>
      <c r="AK48" s="91">
        <f t="shared" si="46"/>
        <v>0</v>
      </c>
      <c r="AL48" s="91">
        <f t="shared" si="46"/>
        <v>0</v>
      </c>
      <c r="AM48" s="91">
        <f t="shared" si="46"/>
        <v>0</v>
      </c>
      <c r="AN48" s="91">
        <f t="shared" si="46"/>
        <v>0</v>
      </c>
      <c r="AO48" s="91">
        <f t="shared" si="46"/>
        <v>0</v>
      </c>
      <c r="AP48" s="91">
        <f t="shared" si="46"/>
        <v>0</v>
      </c>
      <c r="AQ48" s="91">
        <f t="shared" si="46"/>
        <v>0</v>
      </c>
      <c r="AR48" s="91">
        <f t="shared" si="46"/>
        <v>0</v>
      </c>
      <c r="AS48" s="105"/>
      <c r="AT48" s="91">
        <f t="shared" si="47"/>
        <v>0</v>
      </c>
      <c r="AU48" s="91">
        <f t="shared" si="47"/>
        <v>0</v>
      </c>
      <c r="AV48" s="91">
        <f t="shared" si="47"/>
        <v>0</v>
      </c>
      <c r="AW48" s="91">
        <f t="shared" si="47"/>
        <v>0</v>
      </c>
      <c r="AX48" s="91">
        <f t="shared" si="47"/>
        <v>0</v>
      </c>
      <c r="AY48" s="91">
        <f t="shared" si="47"/>
        <v>0</v>
      </c>
      <c r="AZ48" s="132">
        <f t="shared" si="57"/>
        <v>0</v>
      </c>
      <c r="BA48" s="132">
        <f t="shared" si="58"/>
        <v>0</v>
      </c>
      <c r="BB48" s="105"/>
      <c r="BC48" s="91">
        <f>IFERROR(BC18*INDEX('Project Info'!$I$16:$M$16,MATCH(BC$5,'Project Info'!$I$15:$M$15,0)),0)</f>
        <v>0</v>
      </c>
      <c r="BD48" s="91">
        <f>IFERROR(BD18*INDEX('Project Info'!$I$16:$M$16,MATCH(BD$5,'Project Info'!$I$15:$M$15,0)),0)</f>
        <v>0</v>
      </c>
      <c r="BE48" s="91">
        <f>IFERROR(BE18*INDEX('Project Info'!$I$16:$M$16,MATCH(BE$5,'Project Info'!$I$15:$M$15,0)),0)</f>
        <v>0</v>
      </c>
      <c r="BF48" s="91">
        <f>IFERROR(BF18*INDEX('Project Info'!$I$16:$M$16,MATCH(BF$5,'Project Info'!$I$15:$M$15,0)),0)</f>
        <v>0</v>
      </c>
      <c r="BG48" s="91">
        <f>IFERROR(BG18*INDEX('Project Info'!$I$16:$M$16,MATCH(BG$5,'Project Info'!$I$15:$M$15,0)),0)</f>
        <v>0</v>
      </c>
      <c r="BH48" s="91">
        <f>IFERROR(BH18*INDEX('Project Info'!$I$16:$M$16,MATCH(BH$5,'Project Info'!$I$15:$M$15,0)),0)</f>
        <v>0</v>
      </c>
      <c r="BI48" s="91">
        <f>IFERROR(BI18*INDEX('Project Info'!$I$16:$M$16,MATCH(BI$5,'Project Info'!$I$15:$M$15,0)),0)</f>
        <v>0</v>
      </c>
      <c r="BJ48" s="132">
        <f t="shared" si="59"/>
        <v>0</v>
      </c>
      <c r="BK48" s="105"/>
      <c r="BL48" s="91">
        <f t="shared" si="55"/>
        <v>0</v>
      </c>
      <c r="BM48" s="91">
        <f t="shared" si="50"/>
        <v>0</v>
      </c>
      <c r="BN48" s="91">
        <f t="shared" si="51"/>
        <v>0</v>
      </c>
      <c r="BO48" s="91">
        <f t="shared" si="52"/>
        <v>0</v>
      </c>
      <c r="BP48" s="91">
        <f t="shared" si="53"/>
        <v>0</v>
      </c>
      <c r="BQ48" s="91">
        <f t="shared" si="56"/>
        <v>0</v>
      </c>
      <c r="BR48" s="132">
        <f t="shared" si="60"/>
        <v>1</v>
      </c>
      <c r="BS48" s="132">
        <f t="shared" si="61"/>
        <v>0</v>
      </c>
    </row>
    <row r="49" spans="1:94">
      <c r="A49" s="105" t="str">
        <f t="shared" si="48"/>
        <v xml:space="preserve"> </v>
      </c>
      <c r="B49" s="105"/>
      <c r="C49" s="91">
        <f>IFERROR(C19*INDEX('Project Info'!$I$16:$M$16,MATCH(C$5,'Project Info'!$I$15:$M$15,0)),0)</f>
        <v>0</v>
      </c>
      <c r="D49" s="91">
        <f>IFERROR(D19*INDEX('Project Info'!$I$16:$M$16,MATCH(D$5,'Project Info'!$I$15:$M$15,0)),0)</f>
        <v>0</v>
      </c>
      <c r="E49" s="91">
        <f>IFERROR(E19*INDEX('Project Info'!$I$16:$M$16,MATCH(E$5,'Project Info'!$I$15:$M$15,0)),0)</f>
        <v>0</v>
      </c>
      <c r="F49" s="91">
        <f>IFERROR(F19*INDEX('Project Info'!$I$16:$M$16,MATCH(F$5,'Project Info'!$I$15:$M$15,0)),0)</f>
        <v>0</v>
      </c>
      <c r="G49" s="91">
        <f>IFERROR(G19*INDEX('Project Info'!$I$16:$M$16,MATCH(G$5,'Project Info'!$I$15:$M$15,0)),0)</f>
        <v>0</v>
      </c>
      <c r="H49" s="91">
        <f>IFERROR(H19*INDEX('Project Info'!$I$16:$M$16,MATCH(H$5,'Project Info'!$I$15:$M$15,0)),0)</f>
        <v>0</v>
      </c>
      <c r="I49" s="91">
        <f>IFERROR(I19*INDEX('Project Info'!$I$16:$M$16,MATCH(I$5,'Project Info'!$I$15:$M$15,0)),0)</f>
        <v>0</v>
      </c>
      <c r="J49" s="91">
        <f>IFERROR(J19*INDEX('Project Info'!$I$16:$M$16,MATCH(J$5,'Project Info'!$I$15:$M$15,0)),0)</f>
        <v>0</v>
      </c>
      <c r="K49" s="91">
        <f>IFERROR(K19*INDEX('Project Info'!$I$16:$M$16,MATCH(K$5,'Project Info'!$I$15:$M$15,0)),0)</f>
        <v>0</v>
      </c>
      <c r="L49" s="91">
        <f>IFERROR(L19*INDEX('Project Info'!$I$16:$M$16,MATCH(L$5,'Project Info'!$I$15:$M$15,0)),0)</f>
        <v>0</v>
      </c>
      <c r="M49" s="91">
        <f>IFERROR(M19*INDEX('Project Info'!$I$16:$M$16,MATCH(M$5,'Project Info'!$I$15:$M$15,0)),0)</f>
        <v>0</v>
      </c>
      <c r="N49" s="91">
        <f>IFERROR(N19*INDEX('Project Info'!$I$16:$M$16,MATCH(N$5,'Project Info'!$I$15:$M$15,0)),0)</f>
        <v>0</v>
      </c>
      <c r="O49" s="91">
        <f>IFERROR(O19*INDEX('Project Info'!$I$16:$M$16,MATCH(O$5,'Project Info'!$I$15:$M$15,0)),0)</f>
        <v>0</v>
      </c>
      <c r="P49" s="91">
        <f>IFERROR(P19*INDEX('Project Info'!$I$16:$M$16,MATCH(P$5,'Project Info'!$I$15:$M$15,0)),0)</f>
        <v>0</v>
      </c>
      <c r="Q49" s="91">
        <f>IFERROR(Q19*INDEX('Project Info'!$I$16:$M$16,MATCH(Q$5,'Project Info'!$I$15:$M$15,0)),0)</f>
        <v>0</v>
      </c>
      <c r="R49" s="91">
        <f>IFERROR(R19*INDEX('Project Info'!$I$16:$M$16,MATCH(R$5,'Project Info'!$I$15:$M$15,0)),0)</f>
        <v>0</v>
      </c>
      <c r="S49" s="91">
        <f>IFERROR(S19*INDEX('Project Info'!$I$16:$M$16,MATCH(S$5,'Project Info'!$I$15:$M$15,0)),0)</f>
        <v>0</v>
      </c>
      <c r="T49" s="91">
        <f>IFERROR(T19*INDEX('Project Info'!$I$16:$M$16,MATCH(T$5,'Project Info'!$I$15:$M$15,0)),0)</f>
        <v>0</v>
      </c>
      <c r="U49" s="91">
        <f>IFERROR(U19*INDEX('Project Info'!$I$16:$M$16,MATCH(U$5,'Project Info'!$I$15:$M$15,0)),0)</f>
        <v>0</v>
      </c>
      <c r="V49" s="91">
        <f>IFERROR(V19*INDEX('Project Info'!$I$16:$M$16,MATCH(V$5,'Project Info'!$I$15:$M$15,0)),0)</f>
        <v>0</v>
      </c>
      <c r="W49" s="91">
        <f>IFERROR(W19*INDEX('Project Info'!$I$16:$M$16,MATCH(W$5,'Project Info'!$I$15:$M$15,0)),0)</f>
        <v>0</v>
      </c>
      <c r="X49" s="91">
        <f>IFERROR(X19*INDEX('Project Info'!$I$16:$M$16,MATCH(X$5,'Project Info'!$I$15:$M$15,0)),0)</f>
        <v>0</v>
      </c>
      <c r="Y49" s="91">
        <f>IFERROR(Y19*INDEX('Project Info'!$I$16:$M$16,MATCH(Y$5,'Project Info'!$I$15:$M$15,0)),0)</f>
        <v>0</v>
      </c>
      <c r="Z49" s="91">
        <f>IFERROR(Z19*INDEX('Project Info'!$I$16:$M$16,MATCH(Z$5,'Project Info'!$I$15:$M$15,0)),0)</f>
        <v>0</v>
      </c>
      <c r="AA49" s="91">
        <f>IFERROR(AA19*INDEX('Project Info'!$I$16:$M$16,MATCH(AA$5,'Project Info'!$I$15:$M$15,0)),0)</f>
        <v>0</v>
      </c>
      <c r="AB49" s="105"/>
      <c r="AC49" s="91">
        <f t="shared" si="46"/>
        <v>0</v>
      </c>
      <c r="AD49" s="91">
        <f t="shared" si="46"/>
        <v>0</v>
      </c>
      <c r="AE49" s="91">
        <f t="shared" si="46"/>
        <v>0</v>
      </c>
      <c r="AF49" s="91">
        <f t="shared" si="46"/>
        <v>0</v>
      </c>
      <c r="AG49" s="91">
        <f t="shared" si="46"/>
        <v>0</v>
      </c>
      <c r="AH49" s="91">
        <f t="shared" si="46"/>
        <v>0</v>
      </c>
      <c r="AI49" s="91">
        <f t="shared" si="46"/>
        <v>0</v>
      </c>
      <c r="AJ49" s="91">
        <f t="shared" si="46"/>
        <v>0</v>
      </c>
      <c r="AK49" s="91">
        <f t="shared" si="46"/>
        <v>0</v>
      </c>
      <c r="AL49" s="91">
        <f t="shared" si="46"/>
        <v>0</v>
      </c>
      <c r="AM49" s="91">
        <f t="shared" si="46"/>
        <v>0</v>
      </c>
      <c r="AN49" s="91">
        <f t="shared" si="46"/>
        <v>0</v>
      </c>
      <c r="AO49" s="91">
        <f t="shared" si="46"/>
        <v>0</v>
      </c>
      <c r="AP49" s="91">
        <f t="shared" si="46"/>
        <v>0</v>
      </c>
      <c r="AQ49" s="91">
        <f t="shared" si="46"/>
        <v>0</v>
      </c>
      <c r="AR49" s="91">
        <f t="shared" si="46"/>
        <v>0</v>
      </c>
      <c r="AS49" s="105"/>
      <c r="AT49" s="91">
        <f t="shared" si="47"/>
        <v>0</v>
      </c>
      <c r="AU49" s="91">
        <f t="shared" si="47"/>
        <v>0</v>
      </c>
      <c r="AV49" s="91">
        <f t="shared" si="47"/>
        <v>0</v>
      </c>
      <c r="AW49" s="91">
        <f t="shared" si="47"/>
        <v>0</v>
      </c>
      <c r="AX49" s="91">
        <f t="shared" si="47"/>
        <v>0</v>
      </c>
      <c r="AY49" s="91">
        <f t="shared" si="47"/>
        <v>0</v>
      </c>
      <c r="AZ49" s="132">
        <f t="shared" si="57"/>
        <v>0</v>
      </c>
      <c r="BA49" s="132">
        <f t="shared" si="58"/>
        <v>0</v>
      </c>
      <c r="BB49" s="105"/>
      <c r="BC49" s="91">
        <f>IFERROR(BC19*INDEX('Project Info'!$I$16:$M$16,MATCH(BC$5,'Project Info'!$I$15:$M$15,0)),0)</f>
        <v>0</v>
      </c>
      <c r="BD49" s="91">
        <f>IFERROR(BD19*INDEX('Project Info'!$I$16:$M$16,MATCH(BD$5,'Project Info'!$I$15:$M$15,0)),0)</f>
        <v>0</v>
      </c>
      <c r="BE49" s="91">
        <f>IFERROR(BE19*INDEX('Project Info'!$I$16:$M$16,MATCH(BE$5,'Project Info'!$I$15:$M$15,0)),0)</f>
        <v>0</v>
      </c>
      <c r="BF49" s="91">
        <f>IFERROR(BF19*INDEX('Project Info'!$I$16:$M$16,MATCH(BF$5,'Project Info'!$I$15:$M$15,0)),0)</f>
        <v>0</v>
      </c>
      <c r="BG49" s="91">
        <f>IFERROR(BG19*INDEX('Project Info'!$I$16:$M$16,MATCH(BG$5,'Project Info'!$I$15:$M$15,0)),0)</f>
        <v>0</v>
      </c>
      <c r="BH49" s="91">
        <f>IFERROR(BH19*INDEX('Project Info'!$I$16:$M$16,MATCH(BH$5,'Project Info'!$I$15:$M$15,0)),0)</f>
        <v>0</v>
      </c>
      <c r="BI49" s="91">
        <f>IFERROR(BI19*INDEX('Project Info'!$I$16:$M$16,MATCH(BI$5,'Project Info'!$I$15:$M$15,0)),0)</f>
        <v>0</v>
      </c>
      <c r="BJ49" s="132">
        <f t="shared" si="59"/>
        <v>0</v>
      </c>
      <c r="BK49" s="105"/>
      <c r="BL49" s="91">
        <f t="shared" si="55"/>
        <v>0</v>
      </c>
      <c r="BM49" s="91">
        <f t="shared" si="50"/>
        <v>0</v>
      </c>
      <c r="BN49" s="91">
        <f t="shared" si="51"/>
        <v>0</v>
      </c>
      <c r="BO49" s="91">
        <f t="shared" si="52"/>
        <v>0</v>
      </c>
      <c r="BP49" s="91">
        <f t="shared" si="53"/>
        <v>0</v>
      </c>
      <c r="BQ49" s="91">
        <f t="shared" si="56"/>
        <v>0</v>
      </c>
      <c r="BR49" s="132">
        <f t="shared" si="60"/>
        <v>1</v>
      </c>
      <c r="BS49" s="132">
        <f t="shared" si="61"/>
        <v>0</v>
      </c>
    </row>
    <row r="50" spans="1:94">
      <c r="A50" s="105" t="str">
        <f t="shared" si="48"/>
        <v xml:space="preserve"> </v>
      </c>
      <c r="B50" s="105"/>
      <c r="C50" s="91">
        <f>IFERROR(C20*INDEX('Project Info'!$I$16:$M$16,MATCH(C$5,'Project Info'!$I$15:$M$15,0)),0)</f>
        <v>0</v>
      </c>
      <c r="D50" s="91">
        <f>IFERROR(D20*INDEX('Project Info'!$I$16:$M$16,MATCH(D$5,'Project Info'!$I$15:$M$15,0)),0)</f>
        <v>0</v>
      </c>
      <c r="E50" s="91">
        <f>IFERROR(E20*INDEX('Project Info'!$I$16:$M$16,MATCH(E$5,'Project Info'!$I$15:$M$15,0)),0)</f>
        <v>0</v>
      </c>
      <c r="F50" s="91">
        <f>IFERROR(F20*INDEX('Project Info'!$I$16:$M$16,MATCH(F$5,'Project Info'!$I$15:$M$15,0)),0)</f>
        <v>0</v>
      </c>
      <c r="G50" s="91">
        <f>IFERROR(G20*INDEX('Project Info'!$I$16:$M$16,MATCH(G$5,'Project Info'!$I$15:$M$15,0)),0)</f>
        <v>0</v>
      </c>
      <c r="H50" s="91">
        <f>IFERROR(H20*INDEX('Project Info'!$I$16:$M$16,MATCH(H$5,'Project Info'!$I$15:$M$15,0)),0)</f>
        <v>0</v>
      </c>
      <c r="I50" s="91">
        <f>IFERROR(I20*INDEX('Project Info'!$I$16:$M$16,MATCH(I$5,'Project Info'!$I$15:$M$15,0)),0)</f>
        <v>0</v>
      </c>
      <c r="J50" s="91">
        <f>IFERROR(J20*INDEX('Project Info'!$I$16:$M$16,MATCH(J$5,'Project Info'!$I$15:$M$15,0)),0)</f>
        <v>0</v>
      </c>
      <c r="K50" s="91">
        <f>IFERROR(K20*INDEX('Project Info'!$I$16:$M$16,MATCH(K$5,'Project Info'!$I$15:$M$15,0)),0)</f>
        <v>0</v>
      </c>
      <c r="L50" s="91">
        <f>IFERROR(L20*INDEX('Project Info'!$I$16:$M$16,MATCH(L$5,'Project Info'!$I$15:$M$15,0)),0)</f>
        <v>0</v>
      </c>
      <c r="M50" s="91">
        <f>IFERROR(M20*INDEX('Project Info'!$I$16:$M$16,MATCH(M$5,'Project Info'!$I$15:$M$15,0)),0)</f>
        <v>0</v>
      </c>
      <c r="N50" s="91">
        <f>IFERROR(N20*INDEX('Project Info'!$I$16:$M$16,MATCH(N$5,'Project Info'!$I$15:$M$15,0)),0)</f>
        <v>0</v>
      </c>
      <c r="O50" s="91">
        <f>IFERROR(O20*INDEX('Project Info'!$I$16:$M$16,MATCH(O$5,'Project Info'!$I$15:$M$15,0)),0)</f>
        <v>0</v>
      </c>
      <c r="P50" s="91">
        <f>IFERROR(P20*INDEX('Project Info'!$I$16:$M$16,MATCH(P$5,'Project Info'!$I$15:$M$15,0)),0)</f>
        <v>0</v>
      </c>
      <c r="Q50" s="91">
        <f>IFERROR(Q20*INDEX('Project Info'!$I$16:$M$16,MATCH(Q$5,'Project Info'!$I$15:$M$15,0)),0)</f>
        <v>0</v>
      </c>
      <c r="R50" s="91">
        <f>IFERROR(R20*INDEX('Project Info'!$I$16:$M$16,MATCH(R$5,'Project Info'!$I$15:$M$15,0)),0)</f>
        <v>0</v>
      </c>
      <c r="S50" s="91">
        <f>IFERROR(S20*INDEX('Project Info'!$I$16:$M$16,MATCH(S$5,'Project Info'!$I$15:$M$15,0)),0)</f>
        <v>0</v>
      </c>
      <c r="T50" s="91">
        <f>IFERROR(T20*INDEX('Project Info'!$I$16:$M$16,MATCH(T$5,'Project Info'!$I$15:$M$15,0)),0)</f>
        <v>0</v>
      </c>
      <c r="U50" s="91">
        <f>IFERROR(U20*INDEX('Project Info'!$I$16:$M$16,MATCH(U$5,'Project Info'!$I$15:$M$15,0)),0)</f>
        <v>0</v>
      </c>
      <c r="V50" s="91">
        <f>IFERROR(V20*INDEX('Project Info'!$I$16:$M$16,MATCH(V$5,'Project Info'!$I$15:$M$15,0)),0)</f>
        <v>0</v>
      </c>
      <c r="W50" s="91">
        <f>IFERROR(W20*INDEX('Project Info'!$I$16:$M$16,MATCH(W$5,'Project Info'!$I$15:$M$15,0)),0)</f>
        <v>0</v>
      </c>
      <c r="X50" s="91">
        <f>IFERROR(X20*INDEX('Project Info'!$I$16:$M$16,MATCH(X$5,'Project Info'!$I$15:$M$15,0)),0)</f>
        <v>0</v>
      </c>
      <c r="Y50" s="91">
        <f>IFERROR(Y20*INDEX('Project Info'!$I$16:$M$16,MATCH(Y$5,'Project Info'!$I$15:$M$15,0)),0)</f>
        <v>0</v>
      </c>
      <c r="Z50" s="91">
        <f>IFERROR(Z20*INDEX('Project Info'!$I$16:$M$16,MATCH(Z$5,'Project Info'!$I$15:$M$15,0)),0)</f>
        <v>0</v>
      </c>
      <c r="AA50" s="91">
        <f>IFERROR(AA20*INDEX('Project Info'!$I$16:$M$16,MATCH(AA$5,'Project Info'!$I$15:$M$15,0)),0)</f>
        <v>0</v>
      </c>
      <c r="AB50" s="105"/>
      <c r="AC50" s="91">
        <f t="shared" si="46"/>
        <v>0</v>
      </c>
      <c r="AD50" s="91">
        <f t="shared" si="46"/>
        <v>0</v>
      </c>
      <c r="AE50" s="91">
        <f t="shared" si="46"/>
        <v>0</v>
      </c>
      <c r="AF50" s="91">
        <f t="shared" si="46"/>
        <v>0</v>
      </c>
      <c r="AG50" s="91">
        <f t="shared" si="46"/>
        <v>0</v>
      </c>
      <c r="AH50" s="91">
        <f t="shared" si="46"/>
        <v>0</v>
      </c>
      <c r="AI50" s="91">
        <f t="shared" si="46"/>
        <v>0</v>
      </c>
      <c r="AJ50" s="91">
        <f t="shared" si="46"/>
        <v>0</v>
      </c>
      <c r="AK50" s="91">
        <f t="shared" si="46"/>
        <v>0</v>
      </c>
      <c r="AL50" s="91">
        <f t="shared" si="46"/>
        <v>0</v>
      </c>
      <c r="AM50" s="91">
        <f t="shared" si="46"/>
        <v>0</v>
      </c>
      <c r="AN50" s="91">
        <f t="shared" si="46"/>
        <v>0</v>
      </c>
      <c r="AO50" s="91">
        <f t="shared" si="46"/>
        <v>0</v>
      </c>
      <c r="AP50" s="91">
        <f t="shared" si="46"/>
        <v>0</v>
      </c>
      <c r="AQ50" s="91">
        <f t="shared" si="46"/>
        <v>0</v>
      </c>
      <c r="AR50" s="91">
        <f t="shared" si="46"/>
        <v>0</v>
      </c>
      <c r="AS50" s="105"/>
      <c r="AT50" s="91">
        <f t="shared" si="47"/>
        <v>0</v>
      </c>
      <c r="AU50" s="91">
        <f t="shared" si="47"/>
        <v>0</v>
      </c>
      <c r="AV50" s="91">
        <f t="shared" si="47"/>
        <v>0</v>
      </c>
      <c r="AW50" s="91">
        <f t="shared" si="47"/>
        <v>0</v>
      </c>
      <c r="AX50" s="91">
        <f t="shared" si="47"/>
        <v>0</v>
      </c>
      <c r="AY50" s="91">
        <f t="shared" si="47"/>
        <v>0</v>
      </c>
      <c r="AZ50" s="132">
        <f t="shared" si="57"/>
        <v>0</v>
      </c>
      <c r="BA50" s="132">
        <f t="shared" si="58"/>
        <v>0</v>
      </c>
      <c r="BB50" s="105"/>
      <c r="BC50" s="91">
        <f>IFERROR(BC20*INDEX('Project Info'!$I$16:$M$16,MATCH(BC$5,'Project Info'!$I$15:$M$15,0)),0)</f>
        <v>0</v>
      </c>
      <c r="BD50" s="91">
        <f>IFERROR(BD20*INDEX('Project Info'!$I$16:$M$16,MATCH(BD$5,'Project Info'!$I$15:$M$15,0)),0)</f>
        <v>0</v>
      </c>
      <c r="BE50" s="91">
        <f>IFERROR(BE20*INDEX('Project Info'!$I$16:$M$16,MATCH(BE$5,'Project Info'!$I$15:$M$15,0)),0)</f>
        <v>0</v>
      </c>
      <c r="BF50" s="91">
        <f>IFERROR(BF20*INDEX('Project Info'!$I$16:$M$16,MATCH(BF$5,'Project Info'!$I$15:$M$15,0)),0)</f>
        <v>0</v>
      </c>
      <c r="BG50" s="91">
        <f>IFERROR(BG20*INDEX('Project Info'!$I$16:$M$16,MATCH(BG$5,'Project Info'!$I$15:$M$15,0)),0)</f>
        <v>0</v>
      </c>
      <c r="BH50" s="91">
        <f>IFERROR(BH20*INDEX('Project Info'!$I$16:$M$16,MATCH(BH$5,'Project Info'!$I$15:$M$15,0)),0)</f>
        <v>0</v>
      </c>
      <c r="BI50" s="91">
        <f>IFERROR(BI20*INDEX('Project Info'!$I$16:$M$16,MATCH(BI$5,'Project Info'!$I$15:$M$15,0)),0)</f>
        <v>0</v>
      </c>
      <c r="BJ50" s="132">
        <f t="shared" si="59"/>
        <v>0</v>
      </c>
      <c r="BK50" s="105"/>
      <c r="BL50" s="91">
        <f t="shared" si="55"/>
        <v>0</v>
      </c>
      <c r="BM50" s="91">
        <f t="shared" si="50"/>
        <v>0</v>
      </c>
      <c r="BN50" s="91">
        <f t="shared" si="51"/>
        <v>0</v>
      </c>
      <c r="BO50" s="91">
        <f t="shared" si="52"/>
        <v>0</v>
      </c>
      <c r="BP50" s="91">
        <f t="shared" si="53"/>
        <v>0</v>
      </c>
      <c r="BQ50" s="91">
        <f t="shared" si="56"/>
        <v>0</v>
      </c>
      <c r="BR50" s="132">
        <f t="shared" si="60"/>
        <v>1</v>
      </c>
      <c r="BS50" s="132">
        <f t="shared" si="61"/>
        <v>0</v>
      </c>
    </row>
    <row r="51" spans="1:94">
      <c r="A51" s="105" t="str">
        <f t="shared" si="48"/>
        <v xml:space="preserve"> </v>
      </c>
      <c r="B51" s="105"/>
      <c r="C51" s="91">
        <f>IFERROR(C21*INDEX('Project Info'!$I$16:$M$16,MATCH(C$5,'Project Info'!$I$15:$M$15,0)),0)</f>
        <v>0</v>
      </c>
      <c r="D51" s="91">
        <f>IFERROR(D21*INDEX('Project Info'!$I$16:$M$16,MATCH(D$5,'Project Info'!$I$15:$M$15,0)),0)</f>
        <v>0</v>
      </c>
      <c r="E51" s="91">
        <f>IFERROR(E21*INDEX('Project Info'!$I$16:$M$16,MATCH(E$5,'Project Info'!$I$15:$M$15,0)),0)</f>
        <v>0</v>
      </c>
      <c r="F51" s="91">
        <f>IFERROR(F21*INDEX('Project Info'!$I$16:$M$16,MATCH(F$5,'Project Info'!$I$15:$M$15,0)),0)</f>
        <v>0</v>
      </c>
      <c r="G51" s="91">
        <f>IFERROR(G21*INDEX('Project Info'!$I$16:$M$16,MATCH(G$5,'Project Info'!$I$15:$M$15,0)),0)</f>
        <v>0</v>
      </c>
      <c r="H51" s="91">
        <f>IFERROR(H21*INDEX('Project Info'!$I$16:$M$16,MATCH(H$5,'Project Info'!$I$15:$M$15,0)),0)</f>
        <v>0</v>
      </c>
      <c r="I51" s="91">
        <f>IFERROR(I21*INDEX('Project Info'!$I$16:$M$16,MATCH(I$5,'Project Info'!$I$15:$M$15,0)),0)</f>
        <v>0</v>
      </c>
      <c r="J51" s="91">
        <f>IFERROR(J21*INDEX('Project Info'!$I$16:$M$16,MATCH(J$5,'Project Info'!$I$15:$M$15,0)),0)</f>
        <v>0</v>
      </c>
      <c r="K51" s="91">
        <f>IFERROR(K21*INDEX('Project Info'!$I$16:$M$16,MATCH(K$5,'Project Info'!$I$15:$M$15,0)),0)</f>
        <v>0</v>
      </c>
      <c r="L51" s="91">
        <f>IFERROR(L21*INDEX('Project Info'!$I$16:$M$16,MATCH(L$5,'Project Info'!$I$15:$M$15,0)),0)</f>
        <v>0</v>
      </c>
      <c r="M51" s="91">
        <f>IFERROR(M21*INDEX('Project Info'!$I$16:$M$16,MATCH(M$5,'Project Info'!$I$15:$M$15,0)),0)</f>
        <v>0</v>
      </c>
      <c r="N51" s="91">
        <f>IFERROR(N21*INDEX('Project Info'!$I$16:$M$16,MATCH(N$5,'Project Info'!$I$15:$M$15,0)),0)</f>
        <v>0</v>
      </c>
      <c r="O51" s="91">
        <f>IFERROR(O21*INDEX('Project Info'!$I$16:$M$16,MATCH(O$5,'Project Info'!$I$15:$M$15,0)),0)</f>
        <v>0</v>
      </c>
      <c r="P51" s="91">
        <f>IFERROR(P21*INDEX('Project Info'!$I$16:$M$16,MATCH(P$5,'Project Info'!$I$15:$M$15,0)),0)</f>
        <v>0</v>
      </c>
      <c r="Q51" s="91">
        <f>IFERROR(Q21*INDEX('Project Info'!$I$16:$M$16,MATCH(Q$5,'Project Info'!$I$15:$M$15,0)),0)</f>
        <v>0</v>
      </c>
      <c r="R51" s="91">
        <f>IFERROR(R21*INDEX('Project Info'!$I$16:$M$16,MATCH(R$5,'Project Info'!$I$15:$M$15,0)),0)</f>
        <v>0</v>
      </c>
      <c r="S51" s="91">
        <f>IFERROR(S21*INDEX('Project Info'!$I$16:$M$16,MATCH(S$5,'Project Info'!$I$15:$M$15,0)),0)</f>
        <v>0</v>
      </c>
      <c r="T51" s="91">
        <f>IFERROR(T21*INDEX('Project Info'!$I$16:$M$16,MATCH(T$5,'Project Info'!$I$15:$M$15,0)),0)</f>
        <v>0</v>
      </c>
      <c r="U51" s="91">
        <f>IFERROR(U21*INDEX('Project Info'!$I$16:$M$16,MATCH(U$5,'Project Info'!$I$15:$M$15,0)),0)</f>
        <v>0</v>
      </c>
      <c r="V51" s="91">
        <f>IFERROR(V21*INDEX('Project Info'!$I$16:$M$16,MATCH(V$5,'Project Info'!$I$15:$M$15,0)),0)</f>
        <v>0</v>
      </c>
      <c r="W51" s="91">
        <f>IFERROR(W21*INDEX('Project Info'!$I$16:$M$16,MATCH(W$5,'Project Info'!$I$15:$M$15,0)),0)</f>
        <v>0</v>
      </c>
      <c r="X51" s="91">
        <f>IFERROR(X21*INDEX('Project Info'!$I$16:$M$16,MATCH(X$5,'Project Info'!$I$15:$M$15,0)),0)</f>
        <v>0</v>
      </c>
      <c r="Y51" s="91">
        <f>IFERROR(Y21*INDEX('Project Info'!$I$16:$M$16,MATCH(Y$5,'Project Info'!$I$15:$M$15,0)),0)</f>
        <v>0</v>
      </c>
      <c r="Z51" s="91">
        <f>IFERROR(Z21*INDEX('Project Info'!$I$16:$M$16,MATCH(Z$5,'Project Info'!$I$15:$M$15,0)),0)</f>
        <v>0</v>
      </c>
      <c r="AA51" s="91">
        <f>IFERROR(AA21*INDEX('Project Info'!$I$16:$M$16,MATCH(AA$5,'Project Info'!$I$15:$M$15,0)),0)</f>
        <v>0</v>
      </c>
      <c r="AB51" s="105"/>
      <c r="AC51" s="91">
        <f t="shared" si="46"/>
        <v>0</v>
      </c>
      <c r="AD51" s="91">
        <f t="shared" si="46"/>
        <v>0</v>
      </c>
      <c r="AE51" s="91">
        <f t="shared" si="46"/>
        <v>0</v>
      </c>
      <c r="AF51" s="91">
        <f t="shared" si="46"/>
        <v>0</v>
      </c>
      <c r="AG51" s="91">
        <f t="shared" si="46"/>
        <v>0</v>
      </c>
      <c r="AH51" s="91">
        <f t="shared" si="46"/>
        <v>0</v>
      </c>
      <c r="AI51" s="91">
        <f t="shared" si="46"/>
        <v>0</v>
      </c>
      <c r="AJ51" s="91">
        <f t="shared" si="46"/>
        <v>0</v>
      </c>
      <c r="AK51" s="91">
        <f t="shared" si="46"/>
        <v>0</v>
      </c>
      <c r="AL51" s="91">
        <f t="shared" si="46"/>
        <v>0</v>
      </c>
      <c r="AM51" s="91">
        <f t="shared" si="46"/>
        <v>0</v>
      </c>
      <c r="AN51" s="91">
        <f t="shared" si="46"/>
        <v>0</v>
      </c>
      <c r="AO51" s="91">
        <f t="shared" si="46"/>
        <v>0</v>
      </c>
      <c r="AP51" s="91">
        <f t="shared" si="46"/>
        <v>0</v>
      </c>
      <c r="AQ51" s="91">
        <f t="shared" si="46"/>
        <v>0</v>
      </c>
      <c r="AR51" s="91">
        <f t="shared" si="46"/>
        <v>0</v>
      </c>
      <c r="AS51" s="105"/>
      <c r="AT51" s="91">
        <f t="shared" si="47"/>
        <v>0</v>
      </c>
      <c r="AU51" s="91">
        <f t="shared" si="47"/>
        <v>0</v>
      </c>
      <c r="AV51" s="91">
        <f t="shared" si="47"/>
        <v>0</v>
      </c>
      <c r="AW51" s="91">
        <f t="shared" si="47"/>
        <v>0</v>
      </c>
      <c r="AX51" s="91">
        <f t="shared" si="47"/>
        <v>0</v>
      </c>
      <c r="AY51" s="91">
        <f t="shared" si="47"/>
        <v>0</v>
      </c>
      <c r="AZ51" s="132">
        <f t="shared" si="57"/>
        <v>0</v>
      </c>
      <c r="BA51" s="132">
        <f t="shared" si="58"/>
        <v>0</v>
      </c>
      <c r="BB51" s="105"/>
      <c r="BC51" s="91">
        <f>IFERROR(BC21*INDEX('Project Info'!$I$16:$M$16,MATCH(BC$5,'Project Info'!$I$15:$M$15,0)),0)</f>
        <v>0</v>
      </c>
      <c r="BD51" s="91">
        <f>IFERROR(BD21*INDEX('Project Info'!$I$16:$M$16,MATCH(BD$5,'Project Info'!$I$15:$M$15,0)),0)</f>
        <v>0</v>
      </c>
      <c r="BE51" s="91">
        <f>IFERROR(BE21*INDEX('Project Info'!$I$16:$M$16,MATCH(BE$5,'Project Info'!$I$15:$M$15,0)),0)</f>
        <v>0</v>
      </c>
      <c r="BF51" s="91">
        <f>IFERROR(BF21*INDEX('Project Info'!$I$16:$M$16,MATCH(BF$5,'Project Info'!$I$15:$M$15,0)),0)</f>
        <v>0</v>
      </c>
      <c r="BG51" s="91">
        <f>IFERROR(BG21*INDEX('Project Info'!$I$16:$M$16,MATCH(BG$5,'Project Info'!$I$15:$M$15,0)),0)</f>
        <v>0</v>
      </c>
      <c r="BH51" s="91">
        <f>IFERROR(BH21*INDEX('Project Info'!$I$16:$M$16,MATCH(BH$5,'Project Info'!$I$15:$M$15,0)),0)</f>
        <v>0</v>
      </c>
      <c r="BI51" s="91">
        <f>IFERROR(BI21*INDEX('Project Info'!$I$16:$M$16,MATCH(BI$5,'Project Info'!$I$15:$M$15,0)),0)</f>
        <v>0</v>
      </c>
      <c r="BJ51" s="132">
        <f t="shared" si="59"/>
        <v>0</v>
      </c>
      <c r="BK51" s="105"/>
      <c r="BL51" s="91">
        <f t="shared" si="55"/>
        <v>0</v>
      </c>
      <c r="BM51" s="91">
        <f t="shared" si="50"/>
        <v>0</v>
      </c>
      <c r="BN51" s="91">
        <f t="shared" si="51"/>
        <v>0</v>
      </c>
      <c r="BO51" s="91">
        <f t="shared" si="52"/>
        <v>0</v>
      </c>
      <c r="BP51" s="91">
        <f t="shared" si="53"/>
        <v>0</v>
      </c>
      <c r="BQ51" s="91">
        <f t="shared" si="56"/>
        <v>0</v>
      </c>
      <c r="BR51" s="132">
        <f t="shared" si="60"/>
        <v>1</v>
      </c>
      <c r="BS51" s="132">
        <f t="shared" si="61"/>
        <v>0</v>
      </c>
    </row>
    <row r="52" spans="1:94">
      <c r="A52" s="105"/>
      <c r="B52" s="105"/>
      <c r="C52" s="105"/>
      <c r="D52" s="105"/>
      <c r="E52" s="105"/>
      <c r="F52" s="105"/>
      <c r="G52" s="105"/>
      <c r="H52" s="105"/>
      <c r="I52" s="105"/>
      <c r="J52" s="105"/>
      <c r="K52" s="105"/>
      <c r="L52" s="105"/>
      <c r="M52" s="105"/>
      <c r="N52" s="105"/>
      <c r="O52" s="105"/>
      <c r="P52" s="105"/>
      <c r="Q52" s="105"/>
      <c r="R52" s="105"/>
      <c r="S52" s="105"/>
      <c r="T52" s="105"/>
      <c r="U52" s="105"/>
      <c r="V52" s="105"/>
      <c r="W52" s="105"/>
      <c r="X52" s="105"/>
      <c r="Y52" s="105"/>
      <c r="Z52" s="105"/>
      <c r="AA52" s="105"/>
      <c r="AB52" s="105"/>
      <c r="AC52" s="105"/>
      <c r="AD52" s="105"/>
      <c r="AE52" s="105"/>
      <c r="AF52" s="105"/>
      <c r="AG52" s="105"/>
      <c r="AH52" s="105"/>
      <c r="AI52" s="105"/>
      <c r="AJ52" s="105"/>
      <c r="AK52" s="105"/>
      <c r="AL52" s="105"/>
      <c r="AM52" s="105"/>
      <c r="AN52" s="105"/>
      <c r="AO52" s="105"/>
      <c r="AP52" s="105"/>
      <c r="AQ52" s="105"/>
      <c r="AR52" s="105"/>
      <c r="AS52" s="105"/>
      <c r="AT52" s="105"/>
      <c r="AU52" s="105"/>
      <c r="AV52" s="105"/>
      <c r="AW52" s="105"/>
      <c r="AX52" s="105"/>
      <c r="AY52" s="105"/>
      <c r="AZ52" s="105"/>
      <c r="BA52" s="105"/>
      <c r="BB52" s="105"/>
      <c r="BC52" s="105"/>
      <c r="BD52" s="105"/>
      <c r="BE52" s="105"/>
      <c r="BF52" s="105"/>
      <c r="BG52" s="105"/>
      <c r="BH52" s="105"/>
      <c r="BI52" s="105"/>
      <c r="BJ52" s="105"/>
      <c r="BK52" s="105"/>
      <c r="BL52" s="105"/>
      <c r="BM52" s="105"/>
      <c r="BN52" s="105"/>
      <c r="BO52" s="105"/>
      <c r="BP52" s="105"/>
      <c r="BQ52" s="105"/>
      <c r="BR52" s="105"/>
      <c r="BS52" s="105"/>
      <c r="BT52" s="105"/>
      <c r="BU52" s="105"/>
      <c r="BV52" s="105"/>
      <c r="BW52" s="105"/>
      <c r="BX52" s="105"/>
      <c r="BY52" s="105"/>
      <c r="BZ52" s="105"/>
      <c r="CA52" s="105"/>
      <c r="CB52" s="105"/>
      <c r="CC52" s="105"/>
      <c r="CD52" s="105"/>
      <c r="CE52" s="105"/>
      <c r="CF52" s="105"/>
      <c r="CG52" s="105"/>
      <c r="CH52" s="105"/>
      <c r="CI52" s="105"/>
      <c r="CJ52" s="105"/>
      <c r="CK52" s="105"/>
      <c r="CL52" s="105"/>
      <c r="CM52" s="105"/>
      <c r="CN52" s="105"/>
      <c r="CO52" s="105"/>
      <c r="CP52" s="105"/>
    </row>
    <row r="53" spans="1:94" ht="14.4" thickBot="1">
      <c r="A53" s="194" t="str">
        <f>CONCATENATE(Menus!C25," Intensity"," (",'Project Info'!$I$6,"/",'Project Info'!$E$7,")")</f>
        <v>Source Energy Use Intensity (kBtu/ft²)</v>
      </c>
      <c r="B53" s="194"/>
      <c r="C53" s="194"/>
      <c r="D53" s="194"/>
      <c r="E53" s="194"/>
      <c r="F53" s="194"/>
      <c r="G53" s="194"/>
      <c r="H53" s="194"/>
      <c r="I53" s="194"/>
      <c r="J53" s="194"/>
      <c r="K53" s="194"/>
      <c r="L53" s="194"/>
      <c r="M53" s="194"/>
      <c r="N53" s="194"/>
      <c r="O53" s="194"/>
      <c r="P53" s="194"/>
      <c r="Q53" s="194"/>
      <c r="R53" s="194"/>
      <c r="S53" s="194"/>
      <c r="T53" s="194"/>
      <c r="U53" s="194"/>
      <c r="V53" s="194"/>
      <c r="W53" s="194"/>
      <c r="X53" s="194"/>
      <c r="Y53" s="194"/>
      <c r="Z53" s="194"/>
      <c r="AA53" s="194"/>
      <c r="AB53" s="105"/>
      <c r="AC53" s="105"/>
      <c r="AD53" s="105"/>
      <c r="AE53" s="105"/>
      <c r="AF53" s="105"/>
      <c r="AG53" s="105"/>
      <c r="AH53" s="105"/>
      <c r="AI53" s="105"/>
      <c r="AJ53" s="105"/>
      <c r="AK53" s="105"/>
      <c r="AL53" s="105"/>
      <c r="AM53" s="105"/>
      <c r="AN53" s="105"/>
      <c r="AO53" s="105"/>
      <c r="AP53" s="105"/>
      <c r="AQ53" s="105"/>
      <c r="AR53" s="105"/>
      <c r="AS53" s="105"/>
      <c r="AT53" s="105"/>
      <c r="AU53" s="105"/>
      <c r="AV53" s="105"/>
      <c r="AW53" s="105"/>
      <c r="AX53" s="105"/>
      <c r="AY53" s="105"/>
      <c r="AZ53" s="105"/>
      <c r="BA53" s="105"/>
      <c r="BB53" s="105"/>
      <c r="BC53" s="105"/>
      <c r="BD53" s="105"/>
      <c r="BE53" s="105"/>
      <c r="BF53" s="105"/>
      <c r="BG53" s="105"/>
      <c r="BH53" s="105"/>
      <c r="BI53" s="105"/>
      <c r="BJ53" s="105"/>
      <c r="BK53" s="105"/>
      <c r="BL53" s="105"/>
      <c r="BM53" s="105"/>
      <c r="BN53" s="105"/>
      <c r="BO53" s="105"/>
      <c r="BP53" s="105"/>
      <c r="BQ53" s="105"/>
      <c r="BR53" s="105"/>
      <c r="BS53" s="105"/>
      <c r="BT53" s="105"/>
      <c r="BU53" s="105"/>
      <c r="BV53" s="105"/>
      <c r="BW53" s="105"/>
      <c r="BX53" s="105"/>
      <c r="BY53" s="105"/>
      <c r="BZ53" s="105"/>
      <c r="CA53" s="105"/>
      <c r="CB53" s="105"/>
      <c r="CC53" s="105"/>
      <c r="CD53" s="105"/>
      <c r="CE53" s="105"/>
      <c r="CF53" s="105"/>
      <c r="CG53" s="105"/>
      <c r="CH53" s="105"/>
      <c r="CI53" s="105"/>
      <c r="CJ53" s="105"/>
      <c r="CK53" s="105"/>
      <c r="CL53" s="105"/>
      <c r="CM53" s="105"/>
      <c r="CN53" s="105"/>
      <c r="CO53" s="105"/>
      <c r="CP53" s="105"/>
    </row>
    <row r="54" spans="1:94">
      <c r="A54" s="105" t="str">
        <f>A9</f>
        <v>LEED Baseline</v>
      </c>
      <c r="B54" s="109">
        <f>B24</f>
        <v>13652</v>
      </c>
      <c r="C54" s="103">
        <f>IFERROR(C39/$B54,0)</f>
        <v>7.8628955171403447</v>
      </c>
      <c r="D54" s="103">
        <f t="shared" ref="D54:AA54" si="62">IFERROR(D39/$B54,0)</f>
        <v>0</v>
      </c>
      <c r="E54" s="103">
        <f t="shared" si="62"/>
        <v>0</v>
      </c>
      <c r="F54" s="103">
        <f t="shared" si="62"/>
        <v>0</v>
      </c>
      <c r="G54" s="103">
        <f t="shared" si="62"/>
        <v>29.304961207149137</v>
      </c>
      <c r="H54" s="103">
        <f t="shared" si="62"/>
        <v>0</v>
      </c>
      <c r="I54" s="103">
        <f t="shared" si="62"/>
        <v>31.456480632874303</v>
      </c>
      <c r="J54" s="103">
        <f t="shared" si="62"/>
        <v>0</v>
      </c>
      <c r="K54" s="103">
        <f t="shared" si="62"/>
        <v>36.934475124523878</v>
      </c>
      <c r="L54" s="103">
        <f t="shared" si="62"/>
        <v>0</v>
      </c>
      <c r="M54" s="103">
        <f t="shared" si="62"/>
        <v>0</v>
      </c>
      <c r="N54" s="103">
        <f t="shared" si="62"/>
        <v>0</v>
      </c>
      <c r="O54" s="103">
        <f t="shared" si="62"/>
        <v>35.850317872839142</v>
      </c>
      <c r="P54" s="103">
        <f t="shared" si="62"/>
        <v>0</v>
      </c>
      <c r="Q54" s="103">
        <f t="shared" si="62"/>
        <v>0</v>
      </c>
      <c r="R54" s="103">
        <f t="shared" si="62"/>
        <v>0</v>
      </c>
      <c r="S54" s="103">
        <f t="shared" si="62"/>
        <v>0</v>
      </c>
      <c r="T54" s="103">
        <f t="shared" si="62"/>
        <v>0</v>
      </c>
      <c r="U54" s="103">
        <f t="shared" si="62"/>
        <v>0</v>
      </c>
      <c r="V54" s="103">
        <f t="shared" si="62"/>
        <v>0</v>
      </c>
      <c r="W54" s="103">
        <f t="shared" si="62"/>
        <v>0</v>
      </c>
      <c r="X54" s="103">
        <f t="shared" si="62"/>
        <v>0</v>
      </c>
      <c r="Y54" s="103">
        <f t="shared" si="62"/>
        <v>0</v>
      </c>
      <c r="Z54" s="103">
        <f t="shared" si="62"/>
        <v>0</v>
      </c>
      <c r="AA54" s="103">
        <f t="shared" si="62"/>
        <v>0</v>
      </c>
      <c r="AC54" s="103">
        <f t="shared" ref="AC54:AR66" si="63">SUMIF($C$4:$AA$4,AC$4,$C54:$AA54)</f>
        <v>7.8628955171403447</v>
      </c>
      <c r="AD54" s="103">
        <f t="shared" si="63"/>
        <v>29.304961207149137</v>
      </c>
      <c r="AE54" s="103">
        <f t="shared" si="63"/>
        <v>31.456480632874303</v>
      </c>
      <c r="AF54" s="103">
        <f t="shared" si="63"/>
        <v>0</v>
      </c>
      <c r="AG54" s="103">
        <f t="shared" si="63"/>
        <v>36.934475124523878</v>
      </c>
      <c r="AH54" s="103">
        <f t="shared" si="63"/>
        <v>0</v>
      </c>
      <c r="AI54" s="103">
        <f t="shared" si="63"/>
        <v>35.850317872839142</v>
      </c>
      <c r="AJ54" s="103">
        <f t="shared" si="63"/>
        <v>0</v>
      </c>
      <c r="AK54" s="103">
        <f t="shared" si="63"/>
        <v>0</v>
      </c>
      <c r="AL54" s="103">
        <f t="shared" si="63"/>
        <v>0</v>
      </c>
      <c r="AM54" s="103">
        <f t="shared" si="63"/>
        <v>0</v>
      </c>
      <c r="AN54" s="103">
        <f t="shared" si="63"/>
        <v>0</v>
      </c>
      <c r="AO54" s="103">
        <f t="shared" si="63"/>
        <v>0</v>
      </c>
      <c r="AP54" s="103">
        <f t="shared" si="63"/>
        <v>0</v>
      </c>
      <c r="AQ54" s="103">
        <f t="shared" si="63"/>
        <v>0</v>
      </c>
      <c r="AR54" s="103">
        <f t="shared" si="63"/>
        <v>0</v>
      </c>
      <c r="AS54" s="105"/>
      <c r="AT54" s="103">
        <f t="shared" ref="AT54:AX66" si="64">SUMIF($C$5:$AA$5,"="&amp;AT$5,$C54:$AA54)</f>
        <v>141.40913035452678</v>
      </c>
      <c r="AU54" s="103">
        <f t="shared" si="64"/>
        <v>0</v>
      </c>
      <c r="AV54" s="103">
        <f t="shared" si="64"/>
        <v>0</v>
      </c>
      <c r="AW54" s="103">
        <f t="shared" si="64"/>
        <v>0</v>
      </c>
      <c r="AX54" s="103">
        <f t="shared" si="64"/>
        <v>0</v>
      </c>
      <c r="AY54" s="103">
        <f>SUM(AT54:AX54)</f>
        <v>141.40913035452678</v>
      </c>
      <c r="AZ54" s="110"/>
      <c r="BA54" s="110"/>
      <c r="BB54" s="105"/>
      <c r="BC54" s="110"/>
      <c r="BD54" s="110"/>
      <c r="BE54" s="110"/>
      <c r="BF54" s="110"/>
      <c r="BG54" s="110"/>
      <c r="BH54" s="110"/>
      <c r="BI54" s="110"/>
      <c r="BJ54" s="110"/>
      <c r="BK54" s="113"/>
      <c r="BL54" s="103">
        <f t="shared" ref="BL54:BL55" si="65">AT54-(SUMIF($BC$5:$BH$5,"="&amp;BL$5,$BC54:$BH54))</f>
        <v>141.40913035452678</v>
      </c>
      <c r="BM54" s="103">
        <f t="shared" ref="BM54:BM55" si="66">AU54-(SUMIF($BC$5:$BH$5,"="&amp;BM$5,$BC54:$BH54))</f>
        <v>0</v>
      </c>
      <c r="BN54" s="103">
        <f t="shared" ref="BN54:BN55" si="67">AV54-(SUMIF($BC$5:$BH$5,"="&amp;BN$5,$BC54:$BH54))</f>
        <v>0</v>
      </c>
      <c r="BO54" s="103">
        <f t="shared" ref="BO54:BO55" si="68">AW54-(SUMIF($BC$5:$BH$5,"="&amp;BO$5,$BC54:$BH54))</f>
        <v>0</v>
      </c>
      <c r="BP54" s="103">
        <f t="shared" ref="BP54:BP55" si="69">AX54-(SUMIF($BC$5:$BH$5,"="&amp;BP$5,$BC54:$BH54))</f>
        <v>0</v>
      </c>
      <c r="BQ54" s="103">
        <f>SUM(BL54:BP54)</f>
        <v>141.40913035452678</v>
      </c>
      <c r="BR54" s="110"/>
      <c r="BS54" s="110"/>
      <c r="BT54" s="105"/>
      <c r="BU54" s="105"/>
      <c r="BV54" s="105"/>
      <c r="BW54" s="105"/>
      <c r="BX54" s="105"/>
      <c r="BY54" s="105"/>
      <c r="BZ54" s="105"/>
      <c r="CA54" s="105"/>
      <c r="CB54" s="105"/>
      <c r="CC54" s="105"/>
      <c r="CD54" s="105"/>
      <c r="CE54" s="105"/>
      <c r="CF54" s="105"/>
      <c r="CG54" s="105"/>
      <c r="CH54" s="105"/>
      <c r="CI54" s="105"/>
      <c r="CJ54" s="105"/>
      <c r="CK54" s="105"/>
      <c r="CL54" s="105"/>
      <c r="CM54" s="105"/>
      <c r="CN54" s="105"/>
      <c r="CO54" s="105"/>
      <c r="CP54" s="105"/>
    </row>
    <row r="55" spans="1:94">
      <c r="A55" s="105" t="str">
        <f t="shared" ref="A55:A66" si="70">A10</f>
        <v>Code Baseline</v>
      </c>
      <c r="B55" s="109">
        <f t="shared" ref="B55:B66" si="71">B25</f>
        <v>13652</v>
      </c>
      <c r="C55" s="103">
        <f t="shared" ref="C55:AA55" si="72">IFERROR(C40/$B55,0)</f>
        <v>0</v>
      </c>
      <c r="D55" s="103">
        <f t="shared" si="72"/>
        <v>0</v>
      </c>
      <c r="E55" s="103">
        <f t="shared" si="72"/>
        <v>0</v>
      </c>
      <c r="F55" s="103">
        <f t="shared" si="72"/>
        <v>0</v>
      </c>
      <c r="G55" s="103">
        <f t="shared" si="72"/>
        <v>0</v>
      </c>
      <c r="H55" s="103">
        <f t="shared" si="72"/>
        <v>0</v>
      </c>
      <c r="I55" s="103">
        <f t="shared" si="72"/>
        <v>0</v>
      </c>
      <c r="J55" s="103">
        <f t="shared" si="72"/>
        <v>0</v>
      </c>
      <c r="K55" s="103">
        <f t="shared" si="72"/>
        <v>0</v>
      </c>
      <c r="L55" s="103">
        <f t="shared" si="72"/>
        <v>0</v>
      </c>
      <c r="M55" s="103">
        <f t="shared" si="72"/>
        <v>0</v>
      </c>
      <c r="N55" s="103">
        <f t="shared" si="72"/>
        <v>0</v>
      </c>
      <c r="O55" s="103">
        <f t="shared" si="72"/>
        <v>0</v>
      </c>
      <c r="P55" s="103">
        <f t="shared" si="72"/>
        <v>0</v>
      </c>
      <c r="Q55" s="103">
        <f t="shared" si="72"/>
        <v>0</v>
      </c>
      <c r="R55" s="103">
        <f t="shared" si="72"/>
        <v>0</v>
      </c>
      <c r="S55" s="103">
        <f t="shared" si="72"/>
        <v>0</v>
      </c>
      <c r="T55" s="103">
        <f t="shared" si="72"/>
        <v>0</v>
      </c>
      <c r="U55" s="103">
        <f t="shared" si="72"/>
        <v>0</v>
      </c>
      <c r="V55" s="103">
        <f t="shared" si="72"/>
        <v>0</v>
      </c>
      <c r="W55" s="103">
        <f t="shared" si="72"/>
        <v>0</v>
      </c>
      <c r="X55" s="103">
        <f t="shared" si="72"/>
        <v>0</v>
      </c>
      <c r="Y55" s="103">
        <f t="shared" si="72"/>
        <v>0</v>
      </c>
      <c r="Z55" s="103">
        <f t="shared" si="72"/>
        <v>0</v>
      </c>
      <c r="AA55" s="103">
        <f t="shared" si="72"/>
        <v>0</v>
      </c>
      <c r="AC55" s="103">
        <f t="shared" si="63"/>
        <v>0</v>
      </c>
      <c r="AD55" s="103">
        <f t="shared" si="63"/>
        <v>0</v>
      </c>
      <c r="AE55" s="103">
        <f t="shared" si="63"/>
        <v>0</v>
      </c>
      <c r="AF55" s="103">
        <f t="shared" si="63"/>
        <v>0</v>
      </c>
      <c r="AG55" s="103">
        <f t="shared" si="63"/>
        <v>0</v>
      </c>
      <c r="AH55" s="103">
        <f t="shared" si="63"/>
        <v>0</v>
      </c>
      <c r="AI55" s="103">
        <f t="shared" si="63"/>
        <v>0</v>
      </c>
      <c r="AJ55" s="103">
        <f t="shared" si="63"/>
        <v>0</v>
      </c>
      <c r="AK55" s="103">
        <f t="shared" si="63"/>
        <v>0</v>
      </c>
      <c r="AL55" s="103">
        <f t="shared" si="63"/>
        <v>0</v>
      </c>
      <c r="AM55" s="103">
        <f t="shared" si="63"/>
        <v>0</v>
      </c>
      <c r="AN55" s="103">
        <f t="shared" si="63"/>
        <v>0</v>
      </c>
      <c r="AO55" s="103">
        <f t="shared" si="63"/>
        <v>0</v>
      </c>
      <c r="AP55" s="103">
        <f t="shared" si="63"/>
        <v>0</v>
      </c>
      <c r="AQ55" s="103">
        <f t="shared" si="63"/>
        <v>0</v>
      </c>
      <c r="AR55" s="103">
        <f t="shared" si="63"/>
        <v>0</v>
      </c>
      <c r="AS55" s="105"/>
      <c r="AT55" s="103">
        <f t="shared" si="64"/>
        <v>0</v>
      </c>
      <c r="AU55" s="103">
        <f t="shared" si="64"/>
        <v>0</v>
      </c>
      <c r="AV55" s="103">
        <f t="shared" si="64"/>
        <v>0</v>
      </c>
      <c r="AW55" s="103">
        <f t="shared" si="64"/>
        <v>0</v>
      </c>
      <c r="AX55" s="103">
        <f t="shared" si="64"/>
        <v>0</v>
      </c>
      <c r="AY55" s="103">
        <f t="shared" ref="AY55" si="73">SUM(AT55:AX55)</f>
        <v>0</v>
      </c>
      <c r="AZ55" s="110"/>
      <c r="BA55" s="110"/>
      <c r="BB55" s="105"/>
      <c r="BC55" s="110"/>
      <c r="BD55" s="110"/>
      <c r="BE55" s="110"/>
      <c r="BF55" s="110"/>
      <c r="BG55" s="110"/>
      <c r="BH55" s="110"/>
      <c r="BI55" s="110"/>
      <c r="BJ55" s="110"/>
      <c r="BK55" s="113"/>
      <c r="BL55" s="103">
        <f t="shared" si="65"/>
        <v>0</v>
      </c>
      <c r="BM55" s="103">
        <f t="shared" si="66"/>
        <v>0</v>
      </c>
      <c r="BN55" s="103">
        <f t="shared" si="67"/>
        <v>0</v>
      </c>
      <c r="BO55" s="103">
        <f t="shared" si="68"/>
        <v>0</v>
      </c>
      <c r="BP55" s="103">
        <f t="shared" si="69"/>
        <v>0</v>
      </c>
      <c r="BQ55" s="103">
        <f t="shared" ref="BQ55" si="74">SUM(BL55:BP55)</f>
        <v>0</v>
      </c>
      <c r="BR55" s="110"/>
      <c r="BS55" s="110"/>
      <c r="BT55" s="105"/>
      <c r="BU55" s="105"/>
      <c r="BV55" s="105"/>
      <c r="BW55" s="105"/>
      <c r="BX55" s="105"/>
      <c r="BY55" s="105"/>
      <c r="BZ55" s="105"/>
      <c r="CA55" s="105"/>
      <c r="CB55" s="105"/>
      <c r="CC55" s="105"/>
      <c r="CD55" s="105"/>
      <c r="CE55" s="105"/>
      <c r="CF55" s="105"/>
      <c r="CG55" s="105"/>
      <c r="CH55" s="105"/>
      <c r="CI55" s="105"/>
      <c r="CJ55" s="105"/>
      <c r="CK55" s="105"/>
      <c r="CL55" s="105"/>
      <c r="CM55" s="105"/>
      <c r="CN55" s="105"/>
      <c r="CO55" s="105"/>
      <c r="CP55" s="105"/>
    </row>
    <row r="56" spans="1:94">
      <c r="A56" s="134" t="str">
        <f t="shared" si="70"/>
        <v xml:space="preserve"> </v>
      </c>
      <c r="B56" s="139">
        <f t="shared" si="71"/>
        <v>13652</v>
      </c>
      <c r="C56" s="140">
        <f t="shared" ref="C56:AA56" si="75">IFERROR(C41/$B56,0)</f>
        <v>0</v>
      </c>
      <c r="D56" s="140">
        <f t="shared" si="75"/>
        <v>0</v>
      </c>
      <c r="E56" s="140">
        <f t="shared" si="75"/>
        <v>0</v>
      </c>
      <c r="F56" s="140">
        <f t="shared" si="75"/>
        <v>0</v>
      </c>
      <c r="G56" s="140">
        <f t="shared" si="75"/>
        <v>0</v>
      </c>
      <c r="H56" s="140">
        <f t="shared" si="75"/>
        <v>0</v>
      </c>
      <c r="I56" s="140">
        <f t="shared" si="75"/>
        <v>0</v>
      </c>
      <c r="J56" s="140">
        <f t="shared" si="75"/>
        <v>0</v>
      </c>
      <c r="K56" s="140">
        <f t="shared" si="75"/>
        <v>0</v>
      </c>
      <c r="L56" s="140">
        <f t="shared" si="75"/>
        <v>0</v>
      </c>
      <c r="M56" s="140">
        <f t="shared" si="75"/>
        <v>0</v>
      </c>
      <c r="N56" s="140">
        <f t="shared" si="75"/>
        <v>0</v>
      </c>
      <c r="O56" s="140">
        <f t="shared" si="75"/>
        <v>0</v>
      </c>
      <c r="P56" s="140">
        <f t="shared" si="75"/>
        <v>0</v>
      </c>
      <c r="Q56" s="140">
        <f t="shared" si="75"/>
        <v>0</v>
      </c>
      <c r="R56" s="140">
        <f t="shared" si="75"/>
        <v>0</v>
      </c>
      <c r="S56" s="140">
        <f t="shared" si="75"/>
        <v>0</v>
      </c>
      <c r="T56" s="140">
        <f t="shared" si="75"/>
        <v>0</v>
      </c>
      <c r="U56" s="140">
        <f t="shared" si="75"/>
        <v>0</v>
      </c>
      <c r="V56" s="140">
        <f t="shared" si="75"/>
        <v>0</v>
      </c>
      <c r="W56" s="140">
        <f t="shared" si="75"/>
        <v>0</v>
      </c>
      <c r="X56" s="140">
        <f t="shared" si="75"/>
        <v>0</v>
      </c>
      <c r="Y56" s="140">
        <f t="shared" si="75"/>
        <v>0</v>
      </c>
      <c r="Z56" s="140">
        <f t="shared" si="75"/>
        <v>0</v>
      </c>
      <c r="AA56" s="140">
        <f t="shared" si="75"/>
        <v>0</v>
      </c>
      <c r="AB56" s="136"/>
      <c r="AC56" s="140">
        <f t="shared" si="63"/>
        <v>0</v>
      </c>
      <c r="AD56" s="140">
        <f t="shared" si="63"/>
        <v>0</v>
      </c>
      <c r="AE56" s="140">
        <f t="shared" si="63"/>
        <v>0</v>
      </c>
      <c r="AF56" s="140">
        <f t="shared" si="63"/>
        <v>0</v>
      </c>
      <c r="AG56" s="140">
        <f t="shared" si="63"/>
        <v>0</v>
      </c>
      <c r="AH56" s="140">
        <f t="shared" si="63"/>
        <v>0</v>
      </c>
      <c r="AI56" s="140">
        <f t="shared" si="63"/>
        <v>0</v>
      </c>
      <c r="AJ56" s="140">
        <f t="shared" si="63"/>
        <v>0</v>
      </c>
      <c r="AK56" s="140">
        <f t="shared" si="63"/>
        <v>0</v>
      </c>
      <c r="AL56" s="140">
        <f t="shared" si="63"/>
        <v>0</v>
      </c>
      <c r="AM56" s="140">
        <f t="shared" si="63"/>
        <v>0</v>
      </c>
      <c r="AN56" s="140">
        <f t="shared" si="63"/>
        <v>0</v>
      </c>
      <c r="AO56" s="140">
        <f t="shared" si="63"/>
        <v>0</v>
      </c>
      <c r="AP56" s="140">
        <f t="shared" si="63"/>
        <v>0</v>
      </c>
      <c r="AQ56" s="140">
        <f t="shared" si="63"/>
        <v>0</v>
      </c>
      <c r="AR56" s="140">
        <f t="shared" si="63"/>
        <v>0</v>
      </c>
      <c r="AS56" s="134"/>
      <c r="AT56" s="140">
        <f t="shared" si="64"/>
        <v>0</v>
      </c>
      <c r="AU56" s="140">
        <f t="shared" si="64"/>
        <v>0</v>
      </c>
      <c r="AV56" s="140">
        <f t="shared" si="64"/>
        <v>0</v>
      </c>
      <c r="AW56" s="140">
        <f t="shared" si="64"/>
        <v>0</v>
      </c>
      <c r="AX56" s="140">
        <f t="shared" si="64"/>
        <v>0</v>
      </c>
      <c r="AY56" s="140">
        <f>SUM(AT56:AX56)</f>
        <v>0</v>
      </c>
      <c r="AZ56" s="137"/>
      <c r="BA56" s="137"/>
      <c r="BB56" s="134"/>
      <c r="BC56" s="137"/>
      <c r="BD56" s="137"/>
      <c r="BE56" s="137"/>
      <c r="BF56" s="137"/>
      <c r="BG56" s="137"/>
      <c r="BH56" s="137"/>
      <c r="BI56" s="137"/>
      <c r="BJ56" s="137"/>
      <c r="BK56" s="141"/>
      <c r="BL56" s="140">
        <f>AT56-(SUMIF($BC$5:$BH$5,"="&amp;BL$5,$BC56:$BH56))</f>
        <v>0</v>
      </c>
      <c r="BM56" s="140">
        <f>AU56-(SUMIF($BC$5:$BH$5,"="&amp;BM$5,$BC56:$BH56))</f>
        <v>0</v>
      </c>
      <c r="BN56" s="140">
        <f>AV56-(SUMIF($BC$5:$BH$5,"="&amp;BN$5,$BC56:$BH56))</f>
        <v>0</v>
      </c>
      <c r="BO56" s="140">
        <f>AW56-(SUMIF($BC$5:$BH$5,"="&amp;BO$5,$BC56:$BH56))</f>
        <v>0</v>
      </c>
      <c r="BP56" s="140">
        <f>AX56-(SUMIF($BC$5:$BH$5,"="&amp;BP$5,$BC56:$BH56))</f>
        <v>0</v>
      </c>
      <c r="BQ56" s="140">
        <f>SUM(BL56:BP56)</f>
        <v>0</v>
      </c>
      <c r="BR56" s="137"/>
      <c r="BS56" s="137"/>
      <c r="BT56" s="105"/>
      <c r="BU56" s="105"/>
      <c r="BV56" s="105"/>
      <c r="BW56" s="105"/>
      <c r="BX56" s="105"/>
      <c r="BY56" s="105"/>
      <c r="BZ56" s="105"/>
      <c r="CA56" s="105"/>
      <c r="CB56" s="105"/>
      <c r="CC56" s="105"/>
      <c r="CD56" s="105"/>
      <c r="CE56" s="105"/>
      <c r="CF56" s="105"/>
      <c r="CG56" s="105"/>
      <c r="CH56" s="105"/>
      <c r="CI56" s="105"/>
      <c r="CJ56" s="105"/>
      <c r="CK56" s="105"/>
      <c r="CL56" s="105"/>
      <c r="CM56" s="105"/>
      <c r="CN56" s="105"/>
      <c r="CO56" s="105"/>
      <c r="CP56" s="105"/>
    </row>
    <row r="57" spans="1:94">
      <c r="A57" s="105" t="str">
        <f t="shared" si="70"/>
        <v>Proposed Design</v>
      </c>
      <c r="B57" s="109">
        <f t="shared" si="71"/>
        <v>13652</v>
      </c>
      <c r="C57" s="138">
        <f t="shared" ref="C57:AA57" si="76">IFERROR(C42/$B57,0)</f>
        <v>7.8628955171403447</v>
      </c>
      <c r="D57" s="138">
        <f t="shared" si="76"/>
        <v>0</v>
      </c>
      <c r="E57" s="138">
        <f t="shared" si="76"/>
        <v>0</v>
      </c>
      <c r="F57" s="138">
        <f t="shared" si="76"/>
        <v>0</v>
      </c>
      <c r="G57" s="138">
        <f t="shared" si="76"/>
        <v>29.304961207149137</v>
      </c>
      <c r="H57" s="138">
        <f t="shared" si="76"/>
        <v>0</v>
      </c>
      <c r="I57" s="138">
        <f t="shared" si="76"/>
        <v>31.456480632874303</v>
      </c>
      <c r="J57" s="138">
        <f t="shared" si="76"/>
        <v>0</v>
      </c>
      <c r="K57" s="138">
        <f t="shared" si="76"/>
        <v>36.934475124523878</v>
      </c>
      <c r="L57" s="138">
        <f t="shared" si="76"/>
        <v>0</v>
      </c>
      <c r="M57" s="138">
        <f t="shared" si="76"/>
        <v>0</v>
      </c>
      <c r="N57" s="138">
        <f t="shared" si="76"/>
        <v>0</v>
      </c>
      <c r="O57" s="138">
        <f t="shared" si="76"/>
        <v>35.850317872839142</v>
      </c>
      <c r="P57" s="138">
        <f t="shared" si="76"/>
        <v>0</v>
      </c>
      <c r="Q57" s="138">
        <f t="shared" si="76"/>
        <v>0</v>
      </c>
      <c r="R57" s="138">
        <f t="shared" si="76"/>
        <v>0</v>
      </c>
      <c r="S57" s="138">
        <f t="shared" si="76"/>
        <v>0</v>
      </c>
      <c r="T57" s="138">
        <f t="shared" si="76"/>
        <v>0</v>
      </c>
      <c r="U57" s="138">
        <f t="shared" si="76"/>
        <v>0</v>
      </c>
      <c r="V57" s="138">
        <f t="shared" si="76"/>
        <v>0</v>
      </c>
      <c r="W57" s="138">
        <f t="shared" si="76"/>
        <v>0</v>
      </c>
      <c r="X57" s="138">
        <f t="shared" si="76"/>
        <v>0</v>
      </c>
      <c r="Y57" s="138">
        <f t="shared" si="76"/>
        <v>0</v>
      </c>
      <c r="Z57" s="138">
        <f t="shared" si="76"/>
        <v>0</v>
      </c>
      <c r="AA57" s="138">
        <f t="shared" si="76"/>
        <v>0</v>
      </c>
      <c r="AC57" s="138">
        <f t="shared" si="63"/>
        <v>7.8628955171403447</v>
      </c>
      <c r="AD57" s="138">
        <f t="shared" si="63"/>
        <v>29.304961207149137</v>
      </c>
      <c r="AE57" s="138">
        <f t="shared" si="63"/>
        <v>31.456480632874303</v>
      </c>
      <c r="AF57" s="138">
        <f t="shared" si="63"/>
        <v>0</v>
      </c>
      <c r="AG57" s="138">
        <f t="shared" si="63"/>
        <v>36.934475124523878</v>
      </c>
      <c r="AH57" s="138">
        <f t="shared" si="63"/>
        <v>0</v>
      </c>
      <c r="AI57" s="138">
        <f t="shared" si="63"/>
        <v>35.850317872839142</v>
      </c>
      <c r="AJ57" s="138">
        <f t="shared" si="63"/>
        <v>0</v>
      </c>
      <c r="AK57" s="138">
        <f t="shared" si="63"/>
        <v>0</v>
      </c>
      <c r="AL57" s="138">
        <f t="shared" si="63"/>
        <v>0</v>
      </c>
      <c r="AM57" s="138">
        <f t="shared" si="63"/>
        <v>0</v>
      </c>
      <c r="AN57" s="138">
        <f t="shared" si="63"/>
        <v>0</v>
      </c>
      <c r="AO57" s="138">
        <f t="shared" si="63"/>
        <v>0</v>
      </c>
      <c r="AP57" s="138">
        <f t="shared" si="63"/>
        <v>0</v>
      </c>
      <c r="AQ57" s="138">
        <f t="shared" si="63"/>
        <v>0</v>
      </c>
      <c r="AR57" s="138">
        <f t="shared" si="63"/>
        <v>0</v>
      </c>
      <c r="AS57" s="105"/>
      <c r="AT57" s="138">
        <f t="shared" si="64"/>
        <v>141.40913035452678</v>
      </c>
      <c r="AU57" s="138">
        <f t="shared" si="64"/>
        <v>0</v>
      </c>
      <c r="AV57" s="138">
        <f t="shared" si="64"/>
        <v>0</v>
      </c>
      <c r="AW57" s="138">
        <f t="shared" si="64"/>
        <v>0</v>
      </c>
      <c r="AX57" s="138">
        <f t="shared" si="64"/>
        <v>0</v>
      </c>
      <c r="AY57" s="138">
        <f t="shared" ref="AY57:AY66" si="77">SUM(AT57:AX57)</f>
        <v>141.40913035452678</v>
      </c>
      <c r="AZ57" s="132">
        <f>IFERROR(1-($AY57/$AY$54),0)</f>
        <v>0</v>
      </c>
      <c r="BA57" s="132">
        <f>IFERROR(1-($AY57/$AY$55),0)</f>
        <v>0</v>
      </c>
      <c r="BB57" s="105"/>
      <c r="BC57" s="138">
        <f>IFERROR(BC42/$B57,0)</f>
        <v>0</v>
      </c>
      <c r="BD57" s="138">
        <f t="shared" ref="BD57:BH57" si="78">IFERROR(BD42/$B57,0)</f>
        <v>0</v>
      </c>
      <c r="BE57" s="138">
        <f t="shared" si="78"/>
        <v>0</v>
      </c>
      <c r="BF57" s="138">
        <f t="shared" si="78"/>
        <v>0</v>
      </c>
      <c r="BG57" s="138">
        <f t="shared" si="78"/>
        <v>0</v>
      </c>
      <c r="BH57" s="138">
        <f t="shared" si="78"/>
        <v>0</v>
      </c>
      <c r="BI57" s="138">
        <f>SUM(BC57:BH57)</f>
        <v>0</v>
      </c>
      <c r="BJ57" s="132">
        <f>IFERROR(BI57/AY57,0)</f>
        <v>0</v>
      </c>
      <c r="BK57" s="113"/>
      <c r="BL57" s="138">
        <f t="shared" ref="BL57:BL66" si="79">AT57-(SUMIF($BC$5:$BH$5,"="&amp;BL$5,$BC57:$BH57))</f>
        <v>141.40913035452678</v>
      </c>
      <c r="BM57" s="138">
        <f t="shared" ref="BM57:BM66" si="80">AU57-(SUMIF($BC$5:$BH$5,"="&amp;BM$5,$BC57:$BH57))</f>
        <v>0</v>
      </c>
      <c r="BN57" s="138">
        <f t="shared" ref="BN57:BN66" si="81">AV57-(SUMIF($BC$5:$BH$5,"="&amp;BN$5,$BC57:$BH57))</f>
        <v>0</v>
      </c>
      <c r="BO57" s="138">
        <f t="shared" ref="BO57:BO66" si="82">AW57-(SUMIF($BC$5:$BH$5,"="&amp;BO$5,$BC57:$BH57))</f>
        <v>0</v>
      </c>
      <c r="BP57" s="138">
        <f t="shared" ref="BP57:BP66" si="83">AX57-(SUMIF($BC$5:$BH$5,"="&amp;BP$5,$BC57:$BH57))</f>
        <v>0</v>
      </c>
      <c r="BQ57" s="138">
        <f t="shared" ref="BQ57:BQ66" si="84">SUM(BL57:BP57)</f>
        <v>141.40913035452678</v>
      </c>
      <c r="BR57" s="132">
        <f>IFERROR(1-($BQ57/$BQ$54),0)</f>
        <v>0</v>
      </c>
      <c r="BS57" s="132">
        <f>IFERROR(1-($BQ57/$BQ$55),0)</f>
        <v>0</v>
      </c>
      <c r="BT57" s="105"/>
      <c r="BU57" s="105"/>
      <c r="BV57" s="105"/>
      <c r="BW57" s="105"/>
      <c r="BX57" s="105"/>
      <c r="BY57" s="105"/>
      <c r="BZ57" s="105"/>
      <c r="CA57" s="105"/>
      <c r="CB57" s="105"/>
      <c r="CC57" s="105"/>
      <c r="CD57" s="105"/>
      <c r="CE57" s="105"/>
      <c r="CF57" s="105"/>
      <c r="CG57" s="105"/>
      <c r="CH57" s="105"/>
      <c r="CI57" s="105"/>
      <c r="CJ57" s="105"/>
      <c r="CK57" s="105"/>
      <c r="CL57" s="105"/>
      <c r="CM57" s="105"/>
      <c r="CN57" s="105"/>
      <c r="CO57" s="105"/>
      <c r="CP57" s="105"/>
    </row>
    <row r="58" spans="1:94">
      <c r="A58" s="105" t="str">
        <f t="shared" si="70"/>
        <v xml:space="preserve"> </v>
      </c>
      <c r="B58" s="109">
        <f t="shared" si="71"/>
        <v>13652</v>
      </c>
      <c r="C58" s="103">
        <f t="shared" ref="C58:AA58" si="85">IFERROR(C43/$B58,0)</f>
        <v>0</v>
      </c>
      <c r="D58" s="103">
        <f t="shared" si="85"/>
        <v>0</v>
      </c>
      <c r="E58" s="103">
        <f t="shared" si="85"/>
        <v>0</v>
      </c>
      <c r="F58" s="103">
        <f t="shared" si="85"/>
        <v>0</v>
      </c>
      <c r="G58" s="103">
        <f t="shared" si="85"/>
        <v>0</v>
      </c>
      <c r="H58" s="103">
        <f t="shared" si="85"/>
        <v>0</v>
      </c>
      <c r="I58" s="103">
        <f t="shared" si="85"/>
        <v>0</v>
      </c>
      <c r="J58" s="103">
        <f t="shared" si="85"/>
        <v>0</v>
      </c>
      <c r="K58" s="103">
        <f t="shared" si="85"/>
        <v>0</v>
      </c>
      <c r="L58" s="103">
        <f t="shared" si="85"/>
        <v>0</v>
      </c>
      <c r="M58" s="103">
        <f t="shared" si="85"/>
        <v>0</v>
      </c>
      <c r="N58" s="103">
        <f t="shared" si="85"/>
        <v>0</v>
      </c>
      <c r="O58" s="103">
        <f t="shared" si="85"/>
        <v>0</v>
      </c>
      <c r="P58" s="103">
        <f t="shared" si="85"/>
        <v>0</v>
      </c>
      <c r="Q58" s="103">
        <f t="shared" si="85"/>
        <v>0</v>
      </c>
      <c r="R58" s="103">
        <f t="shared" si="85"/>
        <v>0</v>
      </c>
      <c r="S58" s="103">
        <f t="shared" si="85"/>
        <v>0</v>
      </c>
      <c r="T58" s="103">
        <f t="shared" si="85"/>
        <v>0</v>
      </c>
      <c r="U58" s="103">
        <f t="shared" si="85"/>
        <v>0</v>
      </c>
      <c r="V58" s="103">
        <f t="shared" si="85"/>
        <v>0</v>
      </c>
      <c r="W58" s="103">
        <f t="shared" si="85"/>
        <v>0</v>
      </c>
      <c r="X58" s="103">
        <f t="shared" si="85"/>
        <v>0</v>
      </c>
      <c r="Y58" s="103">
        <f t="shared" si="85"/>
        <v>0</v>
      </c>
      <c r="Z58" s="103">
        <f t="shared" si="85"/>
        <v>0</v>
      </c>
      <c r="AA58" s="103">
        <f t="shared" si="85"/>
        <v>0</v>
      </c>
      <c r="AC58" s="103">
        <f t="shared" si="63"/>
        <v>0</v>
      </c>
      <c r="AD58" s="103">
        <f t="shared" si="63"/>
        <v>0</v>
      </c>
      <c r="AE58" s="103">
        <f t="shared" si="63"/>
        <v>0</v>
      </c>
      <c r="AF58" s="103">
        <f t="shared" si="63"/>
        <v>0</v>
      </c>
      <c r="AG58" s="103">
        <f t="shared" si="63"/>
        <v>0</v>
      </c>
      <c r="AH58" s="103">
        <f t="shared" si="63"/>
        <v>0</v>
      </c>
      <c r="AI58" s="103">
        <f t="shared" si="63"/>
        <v>0</v>
      </c>
      <c r="AJ58" s="103">
        <f t="shared" si="63"/>
        <v>0</v>
      </c>
      <c r="AK58" s="103">
        <f t="shared" si="63"/>
        <v>0</v>
      </c>
      <c r="AL58" s="103">
        <f t="shared" si="63"/>
        <v>0</v>
      </c>
      <c r="AM58" s="103">
        <f t="shared" si="63"/>
        <v>0</v>
      </c>
      <c r="AN58" s="103">
        <f t="shared" si="63"/>
        <v>0</v>
      </c>
      <c r="AO58" s="103">
        <f t="shared" si="63"/>
        <v>0</v>
      </c>
      <c r="AP58" s="103">
        <f t="shared" si="63"/>
        <v>0</v>
      </c>
      <c r="AQ58" s="103">
        <f t="shared" si="63"/>
        <v>0</v>
      </c>
      <c r="AR58" s="103">
        <f t="shared" si="63"/>
        <v>0</v>
      </c>
      <c r="AS58" s="105"/>
      <c r="AT58" s="103">
        <f t="shared" si="64"/>
        <v>0</v>
      </c>
      <c r="AU58" s="103">
        <f t="shared" si="64"/>
        <v>0</v>
      </c>
      <c r="AV58" s="103">
        <f t="shared" si="64"/>
        <v>0</v>
      </c>
      <c r="AW58" s="103">
        <f t="shared" si="64"/>
        <v>0</v>
      </c>
      <c r="AX58" s="103">
        <f t="shared" si="64"/>
        <v>0</v>
      </c>
      <c r="AY58" s="103">
        <f t="shared" si="77"/>
        <v>0</v>
      </c>
      <c r="AZ58" s="132">
        <f t="shared" ref="AZ58:AZ66" si="86">IFERROR(1-($AY58/$AY$54),0)</f>
        <v>1</v>
      </c>
      <c r="BA58" s="132">
        <f t="shared" ref="BA58:BA66" si="87">IFERROR(1-($AY58/$AY$55),0)</f>
        <v>0</v>
      </c>
      <c r="BB58" s="105"/>
      <c r="BC58" s="138">
        <f t="shared" ref="BC58:BH66" si="88">IFERROR(BC43/$B58,0)</f>
        <v>0</v>
      </c>
      <c r="BD58" s="138">
        <f t="shared" si="88"/>
        <v>0</v>
      </c>
      <c r="BE58" s="138">
        <f t="shared" si="88"/>
        <v>0</v>
      </c>
      <c r="BF58" s="138">
        <f t="shared" si="88"/>
        <v>0</v>
      </c>
      <c r="BG58" s="138">
        <f t="shared" si="88"/>
        <v>0</v>
      </c>
      <c r="BH58" s="138">
        <f t="shared" si="88"/>
        <v>0</v>
      </c>
      <c r="BI58" s="138">
        <f t="shared" ref="BI58:BI66" si="89">SUM(BC58:BH58)</f>
        <v>0</v>
      </c>
      <c r="BJ58" s="132">
        <f t="shared" ref="BJ58:BJ66" si="90">IFERROR(BI58/AY58,0)</f>
        <v>0</v>
      </c>
      <c r="BK58" s="113"/>
      <c r="BL58" s="103">
        <f t="shared" si="79"/>
        <v>0</v>
      </c>
      <c r="BM58" s="103">
        <f t="shared" si="80"/>
        <v>0</v>
      </c>
      <c r="BN58" s="103">
        <f t="shared" si="81"/>
        <v>0</v>
      </c>
      <c r="BO58" s="103">
        <f t="shared" si="82"/>
        <v>0</v>
      </c>
      <c r="BP58" s="103">
        <f t="shared" si="83"/>
        <v>0</v>
      </c>
      <c r="BQ58" s="103">
        <f t="shared" si="84"/>
        <v>0</v>
      </c>
      <c r="BR58" s="132">
        <f t="shared" ref="BR58:BR66" si="91">IFERROR(1-($BQ58/$BQ$54),0)</f>
        <v>1</v>
      </c>
      <c r="BS58" s="132">
        <f t="shared" ref="BS58:BS66" si="92">IFERROR(1-($BQ58/$BQ$55),0)</f>
        <v>0</v>
      </c>
      <c r="BT58" s="105"/>
      <c r="BU58" s="105"/>
      <c r="BV58" s="105"/>
      <c r="BW58" s="105"/>
      <c r="BX58" s="105"/>
      <c r="BY58" s="105"/>
      <c r="BZ58" s="105"/>
      <c r="CA58" s="105"/>
      <c r="CB58" s="105"/>
      <c r="CC58" s="105"/>
      <c r="CD58" s="105"/>
      <c r="CE58" s="105"/>
      <c r="CF58" s="105"/>
      <c r="CG58" s="105"/>
      <c r="CH58" s="105"/>
      <c r="CI58" s="105"/>
      <c r="CJ58" s="105"/>
      <c r="CK58" s="105"/>
      <c r="CL58" s="105"/>
      <c r="CM58" s="105"/>
      <c r="CN58" s="105"/>
      <c r="CO58" s="105"/>
      <c r="CP58" s="105"/>
    </row>
    <row r="59" spans="1:94">
      <c r="A59" s="105" t="str">
        <f t="shared" si="70"/>
        <v xml:space="preserve"> </v>
      </c>
      <c r="B59" s="109">
        <f t="shared" si="71"/>
        <v>13652</v>
      </c>
      <c r="C59" s="103">
        <f t="shared" ref="C59:AA59" si="93">IFERROR(C44/$B59,0)</f>
        <v>0</v>
      </c>
      <c r="D59" s="103">
        <f t="shared" si="93"/>
        <v>0</v>
      </c>
      <c r="E59" s="103">
        <f t="shared" si="93"/>
        <v>0</v>
      </c>
      <c r="F59" s="103">
        <f t="shared" si="93"/>
        <v>0</v>
      </c>
      <c r="G59" s="103">
        <f t="shared" si="93"/>
        <v>0</v>
      </c>
      <c r="H59" s="103">
        <f t="shared" si="93"/>
        <v>0</v>
      </c>
      <c r="I59" s="103">
        <f t="shared" si="93"/>
        <v>0</v>
      </c>
      <c r="J59" s="103">
        <f t="shared" si="93"/>
        <v>0</v>
      </c>
      <c r="K59" s="103">
        <f t="shared" si="93"/>
        <v>0</v>
      </c>
      <c r="L59" s="103">
        <f t="shared" si="93"/>
        <v>0</v>
      </c>
      <c r="M59" s="103">
        <f t="shared" si="93"/>
        <v>0</v>
      </c>
      <c r="N59" s="103">
        <f t="shared" si="93"/>
        <v>0</v>
      </c>
      <c r="O59" s="103">
        <f t="shared" si="93"/>
        <v>0</v>
      </c>
      <c r="P59" s="103">
        <f t="shared" si="93"/>
        <v>0</v>
      </c>
      <c r="Q59" s="103">
        <f t="shared" si="93"/>
        <v>0</v>
      </c>
      <c r="R59" s="103">
        <f t="shared" si="93"/>
        <v>0</v>
      </c>
      <c r="S59" s="103">
        <f t="shared" si="93"/>
        <v>0</v>
      </c>
      <c r="T59" s="103">
        <f t="shared" si="93"/>
        <v>0</v>
      </c>
      <c r="U59" s="103">
        <f t="shared" si="93"/>
        <v>0</v>
      </c>
      <c r="V59" s="103">
        <f t="shared" si="93"/>
        <v>0</v>
      </c>
      <c r="W59" s="103">
        <f t="shared" si="93"/>
        <v>0</v>
      </c>
      <c r="X59" s="103">
        <f t="shared" si="93"/>
        <v>0</v>
      </c>
      <c r="Y59" s="103">
        <f t="shared" si="93"/>
        <v>0</v>
      </c>
      <c r="Z59" s="103">
        <f t="shared" si="93"/>
        <v>0</v>
      </c>
      <c r="AA59" s="103">
        <f t="shared" si="93"/>
        <v>0</v>
      </c>
      <c r="AC59" s="103">
        <f t="shared" si="63"/>
        <v>0</v>
      </c>
      <c r="AD59" s="103">
        <f t="shared" si="63"/>
        <v>0</v>
      </c>
      <c r="AE59" s="103">
        <f t="shared" si="63"/>
        <v>0</v>
      </c>
      <c r="AF59" s="103">
        <f t="shared" si="63"/>
        <v>0</v>
      </c>
      <c r="AG59" s="103">
        <f t="shared" si="63"/>
        <v>0</v>
      </c>
      <c r="AH59" s="103">
        <f t="shared" si="63"/>
        <v>0</v>
      </c>
      <c r="AI59" s="103">
        <f t="shared" si="63"/>
        <v>0</v>
      </c>
      <c r="AJ59" s="103">
        <f t="shared" si="63"/>
        <v>0</v>
      </c>
      <c r="AK59" s="103">
        <f t="shared" si="63"/>
        <v>0</v>
      </c>
      <c r="AL59" s="103">
        <f t="shared" si="63"/>
        <v>0</v>
      </c>
      <c r="AM59" s="103">
        <f t="shared" si="63"/>
        <v>0</v>
      </c>
      <c r="AN59" s="103">
        <f t="shared" si="63"/>
        <v>0</v>
      </c>
      <c r="AO59" s="103">
        <f t="shared" si="63"/>
        <v>0</v>
      </c>
      <c r="AP59" s="103">
        <f t="shared" si="63"/>
        <v>0</v>
      </c>
      <c r="AQ59" s="103">
        <f t="shared" si="63"/>
        <v>0</v>
      </c>
      <c r="AR59" s="103">
        <f t="shared" si="63"/>
        <v>0</v>
      </c>
      <c r="AS59" s="105"/>
      <c r="AT59" s="103">
        <f t="shared" si="64"/>
        <v>0</v>
      </c>
      <c r="AU59" s="103">
        <f t="shared" si="64"/>
        <v>0</v>
      </c>
      <c r="AV59" s="103">
        <f t="shared" si="64"/>
        <v>0</v>
      </c>
      <c r="AW59" s="103">
        <f t="shared" si="64"/>
        <v>0</v>
      </c>
      <c r="AX59" s="103">
        <f t="shared" si="64"/>
        <v>0</v>
      </c>
      <c r="AY59" s="103">
        <f t="shared" si="77"/>
        <v>0</v>
      </c>
      <c r="AZ59" s="132">
        <f t="shared" si="86"/>
        <v>1</v>
      </c>
      <c r="BA59" s="132">
        <f t="shared" si="87"/>
        <v>0</v>
      </c>
      <c r="BB59" s="105"/>
      <c r="BC59" s="138">
        <f t="shared" si="88"/>
        <v>0</v>
      </c>
      <c r="BD59" s="138">
        <f t="shared" si="88"/>
        <v>0</v>
      </c>
      <c r="BE59" s="138">
        <f t="shared" si="88"/>
        <v>0</v>
      </c>
      <c r="BF59" s="138">
        <f t="shared" si="88"/>
        <v>0</v>
      </c>
      <c r="BG59" s="138">
        <f t="shared" si="88"/>
        <v>0</v>
      </c>
      <c r="BH59" s="138">
        <f t="shared" si="88"/>
        <v>0</v>
      </c>
      <c r="BI59" s="138">
        <f t="shared" si="89"/>
        <v>0</v>
      </c>
      <c r="BJ59" s="132">
        <f t="shared" si="90"/>
        <v>0</v>
      </c>
      <c r="BK59" s="113"/>
      <c r="BL59" s="103">
        <f t="shared" si="79"/>
        <v>0</v>
      </c>
      <c r="BM59" s="103">
        <f t="shared" si="80"/>
        <v>0</v>
      </c>
      <c r="BN59" s="103">
        <f t="shared" si="81"/>
        <v>0</v>
      </c>
      <c r="BO59" s="103">
        <f t="shared" si="82"/>
        <v>0</v>
      </c>
      <c r="BP59" s="103">
        <f t="shared" si="83"/>
        <v>0</v>
      </c>
      <c r="BQ59" s="103">
        <f t="shared" si="84"/>
        <v>0</v>
      </c>
      <c r="BR59" s="132">
        <f t="shared" si="91"/>
        <v>1</v>
      </c>
      <c r="BS59" s="132">
        <f t="shared" si="92"/>
        <v>0</v>
      </c>
      <c r="BT59" s="105"/>
      <c r="BU59" s="105"/>
      <c r="BV59" s="105"/>
      <c r="BW59" s="105"/>
      <c r="BX59" s="105"/>
      <c r="BY59" s="105"/>
      <c r="BZ59" s="105"/>
      <c r="CA59" s="105"/>
      <c r="CB59" s="105"/>
      <c r="CC59" s="105"/>
      <c r="CD59" s="105"/>
      <c r="CE59" s="105"/>
      <c r="CF59" s="105"/>
      <c r="CG59" s="105"/>
      <c r="CH59" s="105"/>
      <c r="CI59" s="105"/>
      <c r="CJ59" s="105"/>
      <c r="CK59" s="105"/>
      <c r="CL59" s="105"/>
      <c r="CM59" s="105"/>
      <c r="CN59" s="105"/>
      <c r="CO59" s="105"/>
      <c r="CP59" s="105"/>
    </row>
    <row r="60" spans="1:94">
      <c r="A60" s="105" t="str">
        <f t="shared" si="70"/>
        <v xml:space="preserve"> </v>
      </c>
      <c r="B60" s="109">
        <f t="shared" si="71"/>
        <v>13652</v>
      </c>
      <c r="C60" s="103">
        <f t="shared" ref="C60:AA60" si="94">IFERROR(C45/$B60,0)</f>
        <v>0</v>
      </c>
      <c r="D60" s="103">
        <f t="shared" si="94"/>
        <v>0</v>
      </c>
      <c r="E60" s="103">
        <f t="shared" si="94"/>
        <v>0</v>
      </c>
      <c r="F60" s="103">
        <f t="shared" si="94"/>
        <v>0</v>
      </c>
      <c r="G60" s="103">
        <f t="shared" si="94"/>
        <v>0</v>
      </c>
      <c r="H60" s="103">
        <f t="shared" si="94"/>
        <v>0</v>
      </c>
      <c r="I60" s="103">
        <f t="shared" si="94"/>
        <v>0</v>
      </c>
      <c r="J60" s="103">
        <f t="shared" si="94"/>
        <v>0</v>
      </c>
      <c r="K60" s="103">
        <f t="shared" si="94"/>
        <v>0</v>
      </c>
      <c r="L60" s="103">
        <f t="shared" si="94"/>
        <v>0</v>
      </c>
      <c r="M60" s="103">
        <f t="shared" si="94"/>
        <v>0</v>
      </c>
      <c r="N60" s="103">
        <f t="shared" si="94"/>
        <v>0</v>
      </c>
      <c r="O60" s="103">
        <f t="shared" si="94"/>
        <v>0</v>
      </c>
      <c r="P60" s="103">
        <f t="shared" si="94"/>
        <v>0</v>
      </c>
      <c r="Q60" s="103">
        <f t="shared" si="94"/>
        <v>0</v>
      </c>
      <c r="R60" s="103">
        <f t="shared" si="94"/>
        <v>0</v>
      </c>
      <c r="S60" s="103">
        <f t="shared" si="94"/>
        <v>0</v>
      </c>
      <c r="T60" s="103">
        <f t="shared" si="94"/>
        <v>0</v>
      </c>
      <c r="U60" s="103">
        <f t="shared" si="94"/>
        <v>0</v>
      </c>
      <c r="V60" s="103">
        <f t="shared" si="94"/>
        <v>0</v>
      </c>
      <c r="W60" s="103">
        <f t="shared" si="94"/>
        <v>0</v>
      </c>
      <c r="X60" s="103">
        <f t="shared" si="94"/>
        <v>0</v>
      </c>
      <c r="Y60" s="103">
        <f t="shared" si="94"/>
        <v>0</v>
      </c>
      <c r="Z60" s="103">
        <f t="shared" si="94"/>
        <v>0</v>
      </c>
      <c r="AA60" s="103">
        <f t="shared" si="94"/>
        <v>0</v>
      </c>
      <c r="AC60" s="103">
        <f t="shared" si="63"/>
        <v>0</v>
      </c>
      <c r="AD60" s="103">
        <f t="shared" si="63"/>
        <v>0</v>
      </c>
      <c r="AE60" s="103">
        <f t="shared" si="63"/>
        <v>0</v>
      </c>
      <c r="AF60" s="103">
        <f t="shared" si="63"/>
        <v>0</v>
      </c>
      <c r="AG60" s="103">
        <f t="shared" si="63"/>
        <v>0</v>
      </c>
      <c r="AH60" s="103">
        <f t="shared" si="63"/>
        <v>0</v>
      </c>
      <c r="AI60" s="103">
        <f t="shared" si="63"/>
        <v>0</v>
      </c>
      <c r="AJ60" s="103">
        <f t="shared" si="63"/>
        <v>0</v>
      </c>
      <c r="AK60" s="103">
        <f t="shared" si="63"/>
        <v>0</v>
      </c>
      <c r="AL60" s="103">
        <f t="shared" si="63"/>
        <v>0</v>
      </c>
      <c r="AM60" s="103">
        <f t="shared" si="63"/>
        <v>0</v>
      </c>
      <c r="AN60" s="103">
        <f t="shared" si="63"/>
        <v>0</v>
      </c>
      <c r="AO60" s="103">
        <f t="shared" si="63"/>
        <v>0</v>
      </c>
      <c r="AP60" s="103">
        <f t="shared" si="63"/>
        <v>0</v>
      </c>
      <c r="AQ60" s="103">
        <f t="shared" si="63"/>
        <v>0</v>
      </c>
      <c r="AR60" s="103">
        <f t="shared" si="63"/>
        <v>0</v>
      </c>
      <c r="AS60" s="105"/>
      <c r="AT60" s="103">
        <f t="shared" si="64"/>
        <v>0</v>
      </c>
      <c r="AU60" s="103">
        <f t="shared" si="64"/>
        <v>0</v>
      </c>
      <c r="AV60" s="103">
        <f t="shared" si="64"/>
        <v>0</v>
      </c>
      <c r="AW60" s="103">
        <f t="shared" si="64"/>
        <v>0</v>
      </c>
      <c r="AX60" s="103">
        <f t="shared" si="64"/>
        <v>0</v>
      </c>
      <c r="AY60" s="103">
        <f t="shared" si="77"/>
        <v>0</v>
      </c>
      <c r="AZ60" s="132">
        <f t="shared" si="86"/>
        <v>1</v>
      </c>
      <c r="BA60" s="132">
        <f t="shared" si="87"/>
        <v>0</v>
      </c>
      <c r="BB60" s="105"/>
      <c r="BC60" s="138">
        <f t="shared" si="88"/>
        <v>0</v>
      </c>
      <c r="BD60" s="138">
        <f t="shared" si="88"/>
        <v>0</v>
      </c>
      <c r="BE60" s="138">
        <f t="shared" si="88"/>
        <v>0</v>
      </c>
      <c r="BF60" s="138">
        <f t="shared" si="88"/>
        <v>0</v>
      </c>
      <c r="BG60" s="138">
        <f t="shared" si="88"/>
        <v>0</v>
      </c>
      <c r="BH60" s="138">
        <f t="shared" si="88"/>
        <v>0</v>
      </c>
      <c r="BI60" s="138">
        <f t="shared" si="89"/>
        <v>0</v>
      </c>
      <c r="BJ60" s="132">
        <f t="shared" si="90"/>
        <v>0</v>
      </c>
      <c r="BK60" s="113"/>
      <c r="BL60" s="103">
        <f t="shared" si="79"/>
        <v>0</v>
      </c>
      <c r="BM60" s="103">
        <f t="shared" si="80"/>
        <v>0</v>
      </c>
      <c r="BN60" s="103">
        <f t="shared" si="81"/>
        <v>0</v>
      </c>
      <c r="BO60" s="103">
        <f t="shared" si="82"/>
        <v>0</v>
      </c>
      <c r="BP60" s="103">
        <f t="shared" si="83"/>
        <v>0</v>
      </c>
      <c r="BQ60" s="103">
        <f t="shared" si="84"/>
        <v>0</v>
      </c>
      <c r="BR60" s="132">
        <f t="shared" si="91"/>
        <v>1</v>
      </c>
      <c r="BS60" s="132">
        <f t="shared" si="92"/>
        <v>0</v>
      </c>
      <c r="BT60" s="105"/>
      <c r="BU60" s="105"/>
      <c r="BV60" s="105"/>
      <c r="BW60" s="105"/>
      <c r="BX60" s="105"/>
      <c r="BY60" s="105"/>
      <c r="BZ60" s="105"/>
      <c r="CA60" s="105"/>
      <c r="CB60" s="105"/>
      <c r="CC60" s="105"/>
      <c r="CD60" s="105"/>
      <c r="CE60" s="105"/>
      <c r="CF60" s="105"/>
      <c r="CG60" s="105"/>
      <c r="CH60" s="105"/>
      <c r="CI60" s="105"/>
      <c r="CJ60" s="105"/>
      <c r="CK60" s="105"/>
      <c r="CL60" s="105"/>
      <c r="CM60" s="105"/>
      <c r="CN60" s="105"/>
      <c r="CO60" s="105"/>
      <c r="CP60" s="105"/>
    </row>
    <row r="61" spans="1:94">
      <c r="A61" s="105" t="str">
        <f t="shared" si="70"/>
        <v xml:space="preserve"> </v>
      </c>
      <c r="B61" s="109">
        <f t="shared" si="71"/>
        <v>13652</v>
      </c>
      <c r="C61" s="103">
        <f t="shared" ref="C61:AA61" si="95">IFERROR(C46/$B61,0)</f>
        <v>0</v>
      </c>
      <c r="D61" s="103">
        <f t="shared" si="95"/>
        <v>0</v>
      </c>
      <c r="E61" s="103">
        <f t="shared" si="95"/>
        <v>0</v>
      </c>
      <c r="F61" s="103">
        <f t="shared" si="95"/>
        <v>0</v>
      </c>
      <c r="G61" s="103">
        <f t="shared" si="95"/>
        <v>0</v>
      </c>
      <c r="H61" s="103">
        <f t="shared" si="95"/>
        <v>0</v>
      </c>
      <c r="I61" s="103">
        <f t="shared" si="95"/>
        <v>0</v>
      </c>
      <c r="J61" s="103">
        <f t="shared" si="95"/>
        <v>0</v>
      </c>
      <c r="K61" s="103">
        <f t="shared" si="95"/>
        <v>0</v>
      </c>
      <c r="L61" s="103">
        <f t="shared" si="95"/>
        <v>0</v>
      </c>
      <c r="M61" s="103">
        <f t="shared" si="95"/>
        <v>0</v>
      </c>
      <c r="N61" s="103">
        <f t="shared" si="95"/>
        <v>0</v>
      </c>
      <c r="O61" s="103">
        <f t="shared" si="95"/>
        <v>0</v>
      </c>
      <c r="P61" s="103">
        <f t="shared" si="95"/>
        <v>0</v>
      </c>
      <c r="Q61" s="103">
        <f t="shared" si="95"/>
        <v>0</v>
      </c>
      <c r="R61" s="103">
        <f t="shared" si="95"/>
        <v>0</v>
      </c>
      <c r="S61" s="103">
        <f t="shared" si="95"/>
        <v>0</v>
      </c>
      <c r="T61" s="103">
        <f t="shared" si="95"/>
        <v>0</v>
      </c>
      <c r="U61" s="103">
        <f t="shared" si="95"/>
        <v>0</v>
      </c>
      <c r="V61" s="103">
        <f t="shared" si="95"/>
        <v>0</v>
      </c>
      <c r="W61" s="103">
        <f t="shared" si="95"/>
        <v>0</v>
      </c>
      <c r="X61" s="103">
        <f t="shared" si="95"/>
        <v>0</v>
      </c>
      <c r="Y61" s="103">
        <f t="shared" si="95"/>
        <v>0</v>
      </c>
      <c r="Z61" s="103">
        <f t="shared" si="95"/>
        <v>0</v>
      </c>
      <c r="AA61" s="103">
        <f t="shared" si="95"/>
        <v>0</v>
      </c>
      <c r="AC61" s="103">
        <f t="shared" si="63"/>
        <v>0</v>
      </c>
      <c r="AD61" s="103">
        <f t="shared" si="63"/>
        <v>0</v>
      </c>
      <c r="AE61" s="103">
        <f t="shared" si="63"/>
        <v>0</v>
      </c>
      <c r="AF61" s="103">
        <f t="shared" si="63"/>
        <v>0</v>
      </c>
      <c r="AG61" s="103">
        <f t="shared" si="63"/>
        <v>0</v>
      </c>
      <c r="AH61" s="103">
        <f t="shared" si="63"/>
        <v>0</v>
      </c>
      <c r="AI61" s="103">
        <f t="shared" si="63"/>
        <v>0</v>
      </c>
      <c r="AJ61" s="103">
        <f t="shared" si="63"/>
        <v>0</v>
      </c>
      <c r="AK61" s="103">
        <f t="shared" si="63"/>
        <v>0</v>
      </c>
      <c r="AL61" s="103">
        <f t="shared" si="63"/>
        <v>0</v>
      </c>
      <c r="AM61" s="103">
        <f t="shared" si="63"/>
        <v>0</v>
      </c>
      <c r="AN61" s="103">
        <f t="shared" si="63"/>
        <v>0</v>
      </c>
      <c r="AO61" s="103">
        <f t="shared" si="63"/>
        <v>0</v>
      </c>
      <c r="AP61" s="103">
        <f t="shared" si="63"/>
        <v>0</v>
      </c>
      <c r="AQ61" s="103">
        <f t="shared" si="63"/>
        <v>0</v>
      </c>
      <c r="AR61" s="103">
        <f t="shared" si="63"/>
        <v>0</v>
      </c>
      <c r="AS61" s="105"/>
      <c r="AT61" s="103">
        <f t="shared" si="64"/>
        <v>0</v>
      </c>
      <c r="AU61" s="103">
        <f t="shared" si="64"/>
        <v>0</v>
      </c>
      <c r="AV61" s="103">
        <f t="shared" si="64"/>
        <v>0</v>
      </c>
      <c r="AW61" s="103">
        <f t="shared" si="64"/>
        <v>0</v>
      </c>
      <c r="AX61" s="103">
        <f t="shared" si="64"/>
        <v>0</v>
      </c>
      <c r="AY61" s="103">
        <f t="shared" si="77"/>
        <v>0</v>
      </c>
      <c r="AZ61" s="132">
        <f t="shared" si="86"/>
        <v>1</v>
      </c>
      <c r="BA61" s="132">
        <f t="shared" si="87"/>
        <v>0</v>
      </c>
      <c r="BB61" s="105"/>
      <c r="BC61" s="138">
        <f t="shared" si="88"/>
        <v>0</v>
      </c>
      <c r="BD61" s="138">
        <f t="shared" si="88"/>
        <v>0</v>
      </c>
      <c r="BE61" s="138">
        <f t="shared" si="88"/>
        <v>0</v>
      </c>
      <c r="BF61" s="138">
        <f t="shared" si="88"/>
        <v>0</v>
      </c>
      <c r="BG61" s="138">
        <f t="shared" si="88"/>
        <v>0</v>
      </c>
      <c r="BH61" s="138">
        <f t="shared" si="88"/>
        <v>0</v>
      </c>
      <c r="BI61" s="138">
        <f t="shared" si="89"/>
        <v>0</v>
      </c>
      <c r="BJ61" s="132">
        <f t="shared" si="90"/>
        <v>0</v>
      </c>
      <c r="BK61" s="113"/>
      <c r="BL61" s="103">
        <f t="shared" si="79"/>
        <v>0</v>
      </c>
      <c r="BM61" s="103">
        <f t="shared" si="80"/>
        <v>0</v>
      </c>
      <c r="BN61" s="103">
        <f t="shared" si="81"/>
        <v>0</v>
      </c>
      <c r="BO61" s="103">
        <f t="shared" si="82"/>
        <v>0</v>
      </c>
      <c r="BP61" s="103">
        <f t="shared" si="83"/>
        <v>0</v>
      </c>
      <c r="BQ61" s="103">
        <f t="shared" si="84"/>
        <v>0</v>
      </c>
      <c r="BR61" s="132">
        <f t="shared" si="91"/>
        <v>1</v>
      </c>
      <c r="BS61" s="132">
        <f t="shared" si="92"/>
        <v>0</v>
      </c>
      <c r="BT61" s="105"/>
      <c r="BU61" s="105"/>
      <c r="BV61" s="105"/>
      <c r="BW61" s="105"/>
      <c r="BX61" s="105"/>
      <c r="BY61" s="105"/>
      <c r="BZ61" s="105"/>
      <c r="CA61" s="105"/>
      <c r="CB61" s="105"/>
      <c r="CC61" s="105"/>
      <c r="CD61" s="105"/>
      <c r="CE61" s="105"/>
      <c r="CF61" s="105"/>
      <c r="CG61" s="105"/>
      <c r="CH61" s="105"/>
      <c r="CI61" s="105"/>
      <c r="CJ61" s="105"/>
      <c r="CK61" s="105"/>
      <c r="CL61" s="105"/>
      <c r="CM61" s="105"/>
      <c r="CN61" s="105"/>
      <c r="CO61" s="105"/>
      <c r="CP61" s="105"/>
    </row>
    <row r="62" spans="1:94">
      <c r="A62" s="105" t="str">
        <f t="shared" si="70"/>
        <v xml:space="preserve"> </v>
      </c>
      <c r="B62" s="109">
        <f t="shared" si="71"/>
        <v>13652</v>
      </c>
      <c r="C62" s="103">
        <f t="shared" ref="C62:AA62" si="96">IFERROR(C47/$B62,0)</f>
        <v>0</v>
      </c>
      <c r="D62" s="103">
        <f t="shared" si="96"/>
        <v>0</v>
      </c>
      <c r="E62" s="103">
        <f t="shared" si="96"/>
        <v>0</v>
      </c>
      <c r="F62" s="103">
        <f t="shared" si="96"/>
        <v>0</v>
      </c>
      <c r="G62" s="103">
        <f t="shared" si="96"/>
        <v>0</v>
      </c>
      <c r="H62" s="103">
        <f t="shared" si="96"/>
        <v>0</v>
      </c>
      <c r="I62" s="103">
        <f t="shared" si="96"/>
        <v>0</v>
      </c>
      <c r="J62" s="103">
        <f t="shared" si="96"/>
        <v>0</v>
      </c>
      <c r="K62" s="103">
        <f t="shared" si="96"/>
        <v>0</v>
      </c>
      <c r="L62" s="103">
        <f t="shared" si="96"/>
        <v>0</v>
      </c>
      <c r="M62" s="103">
        <f t="shared" si="96"/>
        <v>0</v>
      </c>
      <c r="N62" s="103">
        <f t="shared" si="96"/>
        <v>0</v>
      </c>
      <c r="O62" s="103">
        <f t="shared" si="96"/>
        <v>0</v>
      </c>
      <c r="P62" s="103">
        <f t="shared" si="96"/>
        <v>0</v>
      </c>
      <c r="Q62" s="103">
        <f t="shared" si="96"/>
        <v>0</v>
      </c>
      <c r="R62" s="103">
        <f t="shared" si="96"/>
        <v>0</v>
      </c>
      <c r="S62" s="103">
        <f t="shared" si="96"/>
        <v>0</v>
      </c>
      <c r="T62" s="103">
        <f t="shared" si="96"/>
        <v>0</v>
      </c>
      <c r="U62" s="103">
        <f t="shared" si="96"/>
        <v>0</v>
      </c>
      <c r="V62" s="103">
        <f t="shared" si="96"/>
        <v>0</v>
      </c>
      <c r="W62" s="103">
        <f t="shared" si="96"/>
        <v>0</v>
      </c>
      <c r="X62" s="103">
        <f t="shared" si="96"/>
        <v>0</v>
      </c>
      <c r="Y62" s="103">
        <f t="shared" si="96"/>
        <v>0</v>
      </c>
      <c r="Z62" s="103">
        <f t="shared" si="96"/>
        <v>0</v>
      </c>
      <c r="AA62" s="103">
        <f t="shared" si="96"/>
        <v>0</v>
      </c>
      <c r="AC62" s="103">
        <f t="shared" si="63"/>
        <v>0</v>
      </c>
      <c r="AD62" s="103">
        <f t="shared" si="63"/>
        <v>0</v>
      </c>
      <c r="AE62" s="103">
        <f t="shared" si="63"/>
        <v>0</v>
      </c>
      <c r="AF62" s="103">
        <f t="shared" si="63"/>
        <v>0</v>
      </c>
      <c r="AG62" s="103">
        <f t="shared" si="63"/>
        <v>0</v>
      </c>
      <c r="AH62" s="103">
        <f t="shared" si="63"/>
        <v>0</v>
      </c>
      <c r="AI62" s="103">
        <f t="shared" si="63"/>
        <v>0</v>
      </c>
      <c r="AJ62" s="103">
        <f t="shared" si="63"/>
        <v>0</v>
      </c>
      <c r="AK62" s="103">
        <f t="shared" si="63"/>
        <v>0</v>
      </c>
      <c r="AL62" s="103">
        <f t="shared" si="63"/>
        <v>0</v>
      </c>
      <c r="AM62" s="103">
        <f t="shared" si="63"/>
        <v>0</v>
      </c>
      <c r="AN62" s="103">
        <f t="shared" si="63"/>
        <v>0</v>
      </c>
      <c r="AO62" s="103">
        <f t="shared" si="63"/>
        <v>0</v>
      </c>
      <c r="AP62" s="103">
        <f t="shared" si="63"/>
        <v>0</v>
      </c>
      <c r="AQ62" s="103">
        <f t="shared" si="63"/>
        <v>0</v>
      </c>
      <c r="AR62" s="103">
        <f t="shared" si="63"/>
        <v>0</v>
      </c>
      <c r="AS62" s="105"/>
      <c r="AT62" s="103">
        <f t="shared" si="64"/>
        <v>0</v>
      </c>
      <c r="AU62" s="103">
        <f t="shared" si="64"/>
        <v>0</v>
      </c>
      <c r="AV62" s="103">
        <f t="shared" si="64"/>
        <v>0</v>
      </c>
      <c r="AW62" s="103">
        <f t="shared" si="64"/>
        <v>0</v>
      </c>
      <c r="AX62" s="103">
        <f t="shared" si="64"/>
        <v>0</v>
      </c>
      <c r="AY62" s="103">
        <f t="shared" si="77"/>
        <v>0</v>
      </c>
      <c r="AZ62" s="132">
        <f t="shared" si="86"/>
        <v>1</v>
      </c>
      <c r="BA62" s="132">
        <f t="shared" si="87"/>
        <v>0</v>
      </c>
      <c r="BB62" s="105"/>
      <c r="BC62" s="138">
        <f t="shared" si="88"/>
        <v>0</v>
      </c>
      <c r="BD62" s="138">
        <f t="shared" si="88"/>
        <v>0</v>
      </c>
      <c r="BE62" s="138">
        <f t="shared" si="88"/>
        <v>0</v>
      </c>
      <c r="BF62" s="138">
        <f t="shared" si="88"/>
        <v>0</v>
      </c>
      <c r="BG62" s="138">
        <f t="shared" si="88"/>
        <v>0</v>
      </c>
      <c r="BH62" s="138">
        <f t="shared" si="88"/>
        <v>0</v>
      </c>
      <c r="BI62" s="138">
        <f t="shared" si="89"/>
        <v>0</v>
      </c>
      <c r="BJ62" s="132">
        <f t="shared" si="90"/>
        <v>0</v>
      </c>
      <c r="BK62" s="113"/>
      <c r="BL62" s="103">
        <f t="shared" si="79"/>
        <v>0</v>
      </c>
      <c r="BM62" s="103">
        <f t="shared" si="80"/>
        <v>0</v>
      </c>
      <c r="BN62" s="103">
        <f t="shared" si="81"/>
        <v>0</v>
      </c>
      <c r="BO62" s="103">
        <f t="shared" si="82"/>
        <v>0</v>
      </c>
      <c r="BP62" s="103">
        <f t="shared" si="83"/>
        <v>0</v>
      </c>
      <c r="BQ62" s="103">
        <f t="shared" si="84"/>
        <v>0</v>
      </c>
      <c r="BR62" s="132">
        <f t="shared" si="91"/>
        <v>1</v>
      </c>
      <c r="BS62" s="132">
        <f t="shared" si="92"/>
        <v>0</v>
      </c>
      <c r="BT62" s="105"/>
      <c r="BU62" s="105"/>
      <c r="BV62" s="105"/>
      <c r="BW62" s="105"/>
      <c r="BX62" s="105"/>
      <c r="BY62" s="105"/>
      <c r="BZ62" s="105"/>
      <c r="CA62" s="105"/>
      <c r="CB62" s="105"/>
      <c r="CC62" s="105"/>
      <c r="CD62" s="105"/>
      <c r="CE62" s="105"/>
      <c r="CF62" s="105"/>
      <c r="CG62" s="105"/>
      <c r="CH62" s="105"/>
      <c r="CI62" s="105"/>
      <c r="CJ62" s="105"/>
      <c r="CK62" s="105"/>
      <c r="CL62" s="105"/>
      <c r="CM62" s="105"/>
      <c r="CN62" s="105"/>
      <c r="CO62" s="105"/>
      <c r="CP62" s="105"/>
    </row>
    <row r="63" spans="1:94">
      <c r="A63" s="105" t="str">
        <f t="shared" si="70"/>
        <v xml:space="preserve"> </v>
      </c>
      <c r="B63" s="109">
        <f t="shared" si="71"/>
        <v>13652</v>
      </c>
      <c r="C63" s="103">
        <f t="shared" ref="C63:AA63" si="97">IFERROR(C48/$B63,0)</f>
        <v>0</v>
      </c>
      <c r="D63" s="103">
        <f t="shared" si="97"/>
        <v>0</v>
      </c>
      <c r="E63" s="103">
        <f t="shared" si="97"/>
        <v>0</v>
      </c>
      <c r="F63" s="103">
        <f t="shared" si="97"/>
        <v>0</v>
      </c>
      <c r="G63" s="103">
        <f t="shared" si="97"/>
        <v>0</v>
      </c>
      <c r="H63" s="103">
        <f t="shared" si="97"/>
        <v>0</v>
      </c>
      <c r="I63" s="103">
        <f t="shared" si="97"/>
        <v>0</v>
      </c>
      <c r="J63" s="103">
        <f t="shared" si="97"/>
        <v>0</v>
      </c>
      <c r="K63" s="103">
        <f t="shared" si="97"/>
        <v>0</v>
      </c>
      <c r="L63" s="103">
        <f t="shared" si="97"/>
        <v>0</v>
      </c>
      <c r="M63" s="103">
        <f t="shared" si="97"/>
        <v>0</v>
      </c>
      <c r="N63" s="103">
        <f t="shared" si="97"/>
        <v>0</v>
      </c>
      <c r="O63" s="103">
        <f t="shared" si="97"/>
        <v>0</v>
      </c>
      <c r="P63" s="103">
        <f t="shared" si="97"/>
        <v>0</v>
      </c>
      <c r="Q63" s="103">
        <f t="shared" si="97"/>
        <v>0</v>
      </c>
      <c r="R63" s="103">
        <f t="shared" si="97"/>
        <v>0</v>
      </c>
      <c r="S63" s="103">
        <f t="shared" si="97"/>
        <v>0</v>
      </c>
      <c r="T63" s="103">
        <f t="shared" si="97"/>
        <v>0</v>
      </c>
      <c r="U63" s="103">
        <f t="shared" si="97"/>
        <v>0</v>
      </c>
      <c r="V63" s="103">
        <f t="shared" si="97"/>
        <v>0</v>
      </c>
      <c r="W63" s="103">
        <f t="shared" si="97"/>
        <v>0</v>
      </c>
      <c r="X63" s="103">
        <f t="shared" si="97"/>
        <v>0</v>
      </c>
      <c r="Y63" s="103">
        <f t="shared" si="97"/>
        <v>0</v>
      </c>
      <c r="Z63" s="103">
        <f t="shared" si="97"/>
        <v>0</v>
      </c>
      <c r="AA63" s="103">
        <f t="shared" si="97"/>
        <v>0</v>
      </c>
      <c r="AC63" s="103">
        <f t="shared" si="63"/>
        <v>0</v>
      </c>
      <c r="AD63" s="103">
        <f t="shared" si="63"/>
        <v>0</v>
      </c>
      <c r="AE63" s="103">
        <f t="shared" si="63"/>
        <v>0</v>
      </c>
      <c r="AF63" s="103">
        <f t="shared" si="63"/>
        <v>0</v>
      </c>
      <c r="AG63" s="103">
        <f t="shared" si="63"/>
        <v>0</v>
      </c>
      <c r="AH63" s="103">
        <f t="shared" si="63"/>
        <v>0</v>
      </c>
      <c r="AI63" s="103">
        <f t="shared" si="63"/>
        <v>0</v>
      </c>
      <c r="AJ63" s="103">
        <f t="shared" si="63"/>
        <v>0</v>
      </c>
      <c r="AK63" s="103">
        <f t="shared" si="63"/>
        <v>0</v>
      </c>
      <c r="AL63" s="103">
        <f t="shared" si="63"/>
        <v>0</v>
      </c>
      <c r="AM63" s="103">
        <f t="shared" si="63"/>
        <v>0</v>
      </c>
      <c r="AN63" s="103">
        <f t="shared" si="63"/>
        <v>0</v>
      </c>
      <c r="AO63" s="103">
        <f t="shared" si="63"/>
        <v>0</v>
      </c>
      <c r="AP63" s="103">
        <f t="shared" si="63"/>
        <v>0</v>
      </c>
      <c r="AQ63" s="103">
        <f t="shared" si="63"/>
        <v>0</v>
      </c>
      <c r="AR63" s="103">
        <f t="shared" si="63"/>
        <v>0</v>
      </c>
      <c r="AS63" s="105"/>
      <c r="AT63" s="103">
        <f t="shared" si="64"/>
        <v>0</v>
      </c>
      <c r="AU63" s="103">
        <f t="shared" si="64"/>
        <v>0</v>
      </c>
      <c r="AV63" s="103">
        <f t="shared" si="64"/>
        <v>0</v>
      </c>
      <c r="AW63" s="103">
        <f t="shared" si="64"/>
        <v>0</v>
      </c>
      <c r="AX63" s="103">
        <f t="shared" si="64"/>
        <v>0</v>
      </c>
      <c r="AY63" s="103">
        <f t="shared" si="77"/>
        <v>0</v>
      </c>
      <c r="AZ63" s="132">
        <f t="shared" si="86"/>
        <v>1</v>
      </c>
      <c r="BA63" s="132">
        <f t="shared" si="87"/>
        <v>0</v>
      </c>
      <c r="BB63" s="105"/>
      <c r="BC63" s="138">
        <f t="shared" si="88"/>
        <v>0</v>
      </c>
      <c r="BD63" s="138">
        <f t="shared" si="88"/>
        <v>0</v>
      </c>
      <c r="BE63" s="138">
        <f t="shared" si="88"/>
        <v>0</v>
      </c>
      <c r="BF63" s="138">
        <f t="shared" si="88"/>
        <v>0</v>
      </c>
      <c r="BG63" s="138">
        <f t="shared" si="88"/>
        <v>0</v>
      </c>
      <c r="BH63" s="138">
        <f t="shared" si="88"/>
        <v>0</v>
      </c>
      <c r="BI63" s="138">
        <f t="shared" si="89"/>
        <v>0</v>
      </c>
      <c r="BJ63" s="132">
        <f t="shared" si="90"/>
        <v>0</v>
      </c>
      <c r="BK63" s="113"/>
      <c r="BL63" s="103">
        <f t="shared" si="79"/>
        <v>0</v>
      </c>
      <c r="BM63" s="103">
        <f t="shared" si="80"/>
        <v>0</v>
      </c>
      <c r="BN63" s="103">
        <f t="shared" si="81"/>
        <v>0</v>
      </c>
      <c r="BO63" s="103">
        <f t="shared" si="82"/>
        <v>0</v>
      </c>
      <c r="BP63" s="103">
        <f t="shared" si="83"/>
        <v>0</v>
      </c>
      <c r="BQ63" s="103">
        <f t="shared" si="84"/>
        <v>0</v>
      </c>
      <c r="BR63" s="132">
        <f t="shared" si="91"/>
        <v>1</v>
      </c>
      <c r="BS63" s="132">
        <f t="shared" si="92"/>
        <v>0</v>
      </c>
      <c r="BT63" s="105"/>
      <c r="BU63" s="105"/>
      <c r="BV63" s="105"/>
      <c r="BW63" s="105"/>
      <c r="BX63" s="105"/>
      <c r="BY63" s="105"/>
      <c r="BZ63" s="105"/>
      <c r="CA63" s="105"/>
      <c r="CB63" s="105"/>
      <c r="CC63" s="105"/>
      <c r="CD63" s="105"/>
      <c r="CE63" s="105"/>
      <c r="CF63" s="105"/>
      <c r="CG63" s="105"/>
      <c r="CH63" s="105"/>
      <c r="CI63" s="105"/>
      <c r="CJ63" s="105"/>
      <c r="CK63" s="105"/>
      <c r="CL63" s="105"/>
      <c r="CM63" s="105"/>
      <c r="CN63" s="105"/>
      <c r="CO63" s="105"/>
      <c r="CP63" s="105"/>
    </row>
    <row r="64" spans="1:94">
      <c r="A64" s="105" t="str">
        <f t="shared" si="70"/>
        <v xml:space="preserve"> </v>
      </c>
      <c r="B64" s="109">
        <f t="shared" si="71"/>
        <v>13652</v>
      </c>
      <c r="C64" s="103">
        <f t="shared" ref="C64:AA64" si="98">IFERROR(C49/$B64,0)</f>
        <v>0</v>
      </c>
      <c r="D64" s="103">
        <f t="shared" si="98"/>
        <v>0</v>
      </c>
      <c r="E64" s="103">
        <f t="shared" si="98"/>
        <v>0</v>
      </c>
      <c r="F64" s="103">
        <f t="shared" si="98"/>
        <v>0</v>
      </c>
      <c r="G64" s="103">
        <f t="shared" si="98"/>
        <v>0</v>
      </c>
      <c r="H64" s="103">
        <f t="shared" si="98"/>
        <v>0</v>
      </c>
      <c r="I64" s="103">
        <f t="shared" si="98"/>
        <v>0</v>
      </c>
      <c r="J64" s="103">
        <f t="shared" si="98"/>
        <v>0</v>
      </c>
      <c r="K64" s="103">
        <f t="shared" si="98"/>
        <v>0</v>
      </c>
      <c r="L64" s="103">
        <f t="shared" si="98"/>
        <v>0</v>
      </c>
      <c r="M64" s="103">
        <f t="shared" si="98"/>
        <v>0</v>
      </c>
      <c r="N64" s="103">
        <f t="shared" si="98"/>
        <v>0</v>
      </c>
      <c r="O64" s="103">
        <f t="shared" si="98"/>
        <v>0</v>
      </c>
      <c r="P64" s="103">
        <f t="shared" si="98"/>
        <v>0</v>
      </c>
      <c r="Q64" s="103">
        <f t="shared" si="98"/>
        <v>0</v>
      </c>
      <c r="R64" s="103">
        <f t="shared" si="98"/>
        <v>0</v>
      </c>
      <c r="S64" s="103">
        <f t="shared" si="98"/>
        <v>0</v>
      </c>
      <c r="T64" s="103">
        <f t="shared" si="98"/>
        <v>0</v>
      </c>
      <c r="U64" s="103">
        <f t="shared" si="98"/>
        <v>0</v>
      </c>
      <c r="V64" s="103">
        <f t="shared" si="98"/>
        <v>0</v>
      </c>
      <c r="W64" s="103">
        <f t="shared" si="98"/>
        <v>0</v>
      </c>
      <c r="X64" s="103">
        <f t="shared" si="98"/>
        <v>0</v>
      </c>
      <c r="Y64" s="103">
        <f t="shared" si="98"/>
        <v>0</v>
      </c>
      <c r="Z64" s="103">
        <f t="shared" si="98"/>
        <v>0</v>
      </c>
      <c r="AA64" s="103">
        <f t="shared" si="98"/>
        <v>0</v>
      </c>
      <c r="AC64" s="103">
        <f t="shared" si="63"/>
        <v>0</v>
      </c>
      <c r="AD64" s="103">
        <f t="shared" si="63"/>
        <v>0</v>
      </c>
      <c r="AE64" s="103">
        <f t="shared" si="63"/>
        <v>0</v>
      </c>
      <c r="AF64" s="103">
        <f t="shared" si="63"/>
        <v>0</v>
      </c>
      <c r="AG64" s="103">
        <f t="shared" si="63"/>
        <v>0</v>
      </c>
      <c r="AH64" s="103">
        <f t="shared" si="63"/>
        <v>0</v>
      </c>
      <c r="AI64" s="103">
        <f t="shared" si="63"/>
        <v>0</v>
      </c>
      <c r="AJ64" s="103">
        <f t="shared" si="63"/>
        <v>0</v>
      </c>
      <c r="AK64" s="103">
        <f t="shared" si="63"/>
        <v>0</v>
      </c>
      <c r="AL64" s="103">
        <f t="shared" si="63"/>
        <v>0</v>
      </c>
      <c r="AM64" s="103">
        <f t="shared" si="63"/>
        <v>0</v>
      </c>
      <c r="AN64" s="103">
        <f t="shared" si="63"/>
        <v>0</v>
      </c>
      <c r="AO64" s="103">
        <f t="shared" si="63"/>
        <v>0</v>
      </c>
      <c r="AP64" s="103">
        <f t="shared" si="63"/>
        <v>0</v>
      </c>
      <c r="AQ64" s="103">
        <f t="shared" si="63"/>
        <v>0</v>
      </c>
      <c r="AR64" s="103">
        <f t="shared" si="63"/>
        <v>0</v>
      </c>
      <c r="AS64" s="105"/>
      <c r="AT64" s="103">
        <f t="shared" si="64"/>
        <v>0</v>
      </c>
      <c r="AU64" s="103">
        <f t="shared" si="64"/>
        <v>0</v>
      </c>
      <c r="AV64" s="103">
        <f t="shared" si="64"/>
        <v>0</v>
      </c>
      <c r="AW64" s="103">
        <f t="shared" si="64"/>
        <v>0</v>
      </c>
      <c r="AX64" s="103">
        <f t="shared" si="64"/>
        <v>0</v>
      </c>
      <c r="AY64" s="103">
        <f t="shared" si="77"/>
        <v>0</v>
      </c>
      <c r="AZ64" s="132">
        <f t="shared" si="86"/>
        <v>1</v>
      </c>
      <c r="BA64" s="132">
        <f t="shared" si="87"/>
        <v>0</v>
      </c>
      <c r="BB64" s="105"/>
      <c r="BC64" s="138">
        <f t="shared" si="88"/>
        <v>0</v>
      </c>
      <c r="BD64" s="138">
        <f t="shared" si="88"/>
        <v>0</v>
      </c>
      <c r="BE64" s="138">
        <f t="shared" si="88"/>
        <v>0</v>
      </c>
      <c r="BF64" s="138">
        <f t="shared" si="88"/>
        <v>0</v>
      </c>
      <c r="BG64" s="138">
        <f t="shared" si="88"/>
        <v>0</v>
      </c>
      <c r="BH64" s="138">
        <f t="shared" si="88"/>
        <v>0</v>
      </c>
      <c r="BI64" s="138">
        <f t="shared" si="89"/>
        <v>0</v>
      </c>
      <c r="BJ64" s="132">
        <f t="shared" si="90"/>
        <v>0</v>
      </c>
      <c r="BK64" s="113"/>
      <c r="BL64" s="103">
        <f t="shared" si="79"/>
        <v>0</v>
      </c>
      <c r="BM64" s="103">
        <f t="shared" si="80"/>
        <v>0</v>
      </c>
      <c r="BN64" s="103">
        <f t="shared" si="81"/>
        <v>0</v>
      </c>
      <c r="BO64" s="103">
        <f t="shared" si="82"/>
        <v>0</v>
      </c>
      <c r="BP64" s="103">
        <f t="shared" si="83"/>
        <v>0</v>
      </c>
      <c r="BQ64" s="103">
        <f t="shared" si="84"/>
        <v>0</v>
      </c>
      <c r="BR64" s="132">
        <f t="shared" si="91"/>
        <v>1</v>
      </c>
      <c r="BS64" s="132">
        <f t="shared" si="92"/>
        <v>0</v>
      </c>
      <c r="BT64" s="105"/>
      <c r="BU64" s="105"/>
      <c r="BV64" s="105"/>
      <c r="BW64" s="105"/>
      <c r="BX64" s="105"/>
      <c r="BY64" s="105"/>
      <c r="BZ64" s="105"/>
      <c r="CA64" s="105"/>
      <c r="CB64" s="105"/>
      <c r="CC64" s="105"/>
      <c r="CD64" s="105"/>
      <c r="CE64" s="105"/>
      <c r="CF64" s="105"/>
      <c r="CG64" s="105"/>
      <c r="CH64" s="105"/>
      <c r="CI64" s="105"/>
      <c r="CJ64" s="105"/>
      <c r="CK64" s="105"/>
      <c r="CL64" s="105"/>
      <c r="CM64" s="105"/>
      <c r="CN64" s="105"/>
      <c r="CO64" s="105"/>
      <c r="CP64" s="105"/>
    </row>
    <row r="65" spans="1:94">
      <c r="A65" s="105" t="str">
        <f t="shared" si="70"/>
        <v xml:space="preserve"> </v>
      </c>
      <c r="B65" s="109">
        <f t="shared" si="71"/>
        <v>13652</v>
      </c>
      <c r="C65" s="103">
        <f t="shared" ref="C65:AA65" si="99">IFERROR(C50/$B65,0)</f>
        <v>0</v>
      </c>
      <c r="D65" s="103">
        <f t="shared" si="99"/>
        <v>0</v>
      </c>
      <c r="E65" s="103">
        <f t="shared" si="99"/>
        <v>0</v>
      </c>
      <c r="F65" s="103">
        <f t="shared" si="99"/>
        <v>0</v>
      </c>
      <c r="G65" s="103">
        <f t="shared" si="99"/>
        <v>0</v>
      </c>
      <c r="H65" s="103">
        <f t="shared" si="99"/>
        <v>0</v>
      </c>
      <c r="I65" s="103">
        <f t="shared" si="99"/>
        <v>0</v>
      </c>
      <c r="J65" s="103">
        <f t="shared" si="99"/>
        <v>0</v>
      </c>
      <c r="K65" s="103">
        <f t="shared" si="99"/>
        <v>0</v>
      </c>
      <c r="L65" s="103">
        <f t="shared" si="99"/>
        <v>0</v>
      </c>
      <c r="M65" s="103">
        <f t="shared" si="99"/>
        <v>0</v>
      </c>
      <c r="N65" s="103">
        <f t="shared" si="99"/>
        <v>0</v>
      </c>
      <c r="O65" s="103">
        <f t="shared" si="99"/>
        <v>0</v>
      </c>
      <c r="P65" s="103">
        <f t="shared" si="99"/>
        <v>0</v>
      </c>
      <c r="Q65" s="103">
        <f t="shared" si="99"/>
        <v>0</v>
      </c>
      <c r="R65" s="103">
        <f t="shared" si="99"/>
        <v>0</v>
      </c>
      <c r="S65" s="103">
        <f t="shared" si="99"/>
        <v>0</v>
      </c>
      <c r="T65" s="103">
        <f t="shared" si="99"/>
        <v>0</v>
      </c>
      <c r="U65" s="103">
        <f t="shared" si="99"/>
        <v>0</v>
      </c>
      <c r="V65" s="103">
        <f t="shared" si="99"/>
        <v>0</v>
      </c>
      <c r="W65" s="103">
        <f t="shared" si="99"/>
        <v>0</v>
      </c>
      <c r="X65" s="103">
        <f t="shared" si="99"/>
        <v>0</v>
      </c>
      <c r="Y65" s="103">
        <f t="shared" si="99"/>
        <v>0</v>
      </c>
      <c r="Z65" s="103">
        <f t="shared" si="99"/>
        <v>0</v>
      </c>
      <c r="AA65" s="103">
        <f t="shared" si="99"/>
        <v>0</v>
      </c>
      <c r="AC65" s="103">
        <f t="shared" si="63"/>
        <v>0</v>
      </c>
      <c r="AD65" s="103">
        <f t="shared" si="63"/>
        <v>0</v>
      </c>
      <c r="AE65" s="103">
        <f t="shared" si="63"/>
        <v>0</v>
      </c>
      <c r="AF65" s="103">
        <f t="shared" si="63"/>
        <v>0</v>
      </c>
      <c r="AG65" s="103">
        <f t="shared" si="63"/>
        <v>0</v>
      </c>
      <c r="AH65" s="103">
        <f t="shared" si="63"/>
        <v>0</v>
      </c>
      <c r="AI65" s="103">
        <f t="shared" si="63"/>
        <v>0</v>
      </c>
      <c r="AJ65" s="103">
        <f t="shared" si="63"/>
        <v>0</v>
      </c>
      <c r="AK65" s="103">
        <f t="shared" si="63"/>
        <v>0</v>
      </c>
      <c r="AL65" s="103">
        <f t="shared" si="63"/>
        <v>0</v>
      </c>
      <c r="AM65" s="103">
        <f t="shared" si="63"/>
        <v>0</v>
      </c>
      <c r="AN65" s="103">
        <f t="shared" si="63"/>
        <v>0</v>
      </c>
      <c r="AO65" s="103">
        <f t="shared" si="63"/>
        <v>0</v>
      </c>
      <c r="AP65" s="103">
        <f t="shared" si="63"/>
        <v>0</v>
      </c>
      <c r="AQ65" s="103">
        <f t="shared" si="63"/>
        <v>0</v>
      </c>
      <c r="AR65" s="103">
        <f t="shared" si="63"/>
        <v>0</v>
      </c>
      <c r="AS65" s="105"/>
      <c r="AT65" s="103">
        <f t="shared" si="64"/>
        <v>0</v>
      </c>
      <c r="AU65" s="103">
        <f t="shared" si="64"/>
        <v>0</v>
      </c>
      <c r="AV65" s="103">
        <f t="shared" si="64"/>
        <v>0</v>
      </c>
      <c r="AW65" s="103">
        <f t="shared" si="64"/>
        <v>0</v>
      </c>
      <c r="AX65" s="103">
        <f t="shared" si="64"/>
        <v>0</v>
      </c>
      <c r="AY65" s="103">
        <f t="shared" si="77"/>
        <v>0</v>
      </c>
      <c r="AZ65" s="132">
        <f t="shared" si="86"/>
        <v>1</v>
      </c>
      <c r="BA65" s="132">
        <f t="shared" si="87"/>
        <v>0</v>
      </c>
      <c r="BB65" s="105"/>
      <c r="BC65" s="138">
        <f t="shared" si="88"/>
        <v>0</v>
      </c>
      <c r="BD65" s="138">
        <f t="shared" si="88"/>
        <v>0</v>
      </c>
      <c r="BE65" s="138">
        <f t="shared" si="88"/>
        <v>0</v>
      </c>
      <c r="BF65" s="138">
        <f t="shared" si="88"/>
        <v>0</v>
      </c>
      <c r="BG65" s="138">
        <f t="shared" si="88"/>
        <v>0</v>
      </c>
      <c r="BH65" s="138">
        <f t="shared" si="88"/>
        <v>0</v>
      </c>
      <c r="BI65" s="138">
        <f t="shared" si="89"/>
        <v>0</v>
      </c>
      <c r="BJ65" s="132">
        <f t="shared" si="90"/>
        <v>0</v>
      </c>
      <c r="BK65" s="113"/>
      <c r="BL65" s="103">
        <f t="shared" si="79"/>
        <v>0</v>
      </c>
      <c r="BM65" s="103">
        <f t="shared" si="80"/>
        <v>0</v>
      </c>
      <c r="BN65" s="103">
        <f t="shared" si="81"/>
        <v>0</v>
      </c>
      <c r="BO65" s="103">
        <f t="shared" si="82"/>
        <v>0</v>
      </c>
      <c r="BP65" s="103">
        <f t="shared" si="83"/>
        <v>0</v>
      </c>
      <c r="BQ65" s="103">
        <f t="shared" si="84"/>
        <v>0</v>
      </c>
      <c r="BR65" s="132">
        <f t="shared" si="91"/>
        <v>1</v>
      </c>
      <c r="BS65" s="132">
        <f t="shared" si="92"/>
        <v>0</v>
      </c>
      <c r="BT65" s="105"/>
      <c r="BU65" s="105"/>
      <c r="BV65" s="105"/>
      <c r="BW65" s="105"/>
      <c r="BX65" s="105"/>
      <c r="BY65" s="105"/>
      <c r="BZ65" s="105"/>
      <c r="CA65" s="105"/>
      <c r="CB65" s="105"/>
      <c r="CC65" s="105"/>
      <c r="CD65" s="105"/>
      <c r="CE65" s="105"/>
      <c r="CF65" s="105"/>
      <c r="CG65" s="105"/>
      <c r="CH65" s="105"/>
      <c r="CI65" s="105"/>
      <c r="CJ65" s="105"/>
      <c r="CK65" s="105"/>
      <c r="CL65" s="105"/>
      <c r="CM65" s="105"/>
      <c r="CN65" s="105"/>
      <c r="CO65" s="105"/>
      <c r="CP65" s="105"/>
    </row>
    <row r="66" spans="1:94">
      <c r="A66" s="105" t="str">
        <f t="shared" si="70"/>
        <v xml:space="preserve"> </v>
      </c>
      <c r="B66" s="109">
        <f t="shared" si="71"/>
        <v>13652</v>
      </c>
      <c r="C66" s="103">
        <f t="shared" ref="C66:AA66" si="100">IFERROR(C51/$B66,0)</f>
        <v>0</v>
      </c>
      <c r="D66" s="103">
        <f t="shared" si="100"/>
        <v>0</v>
      </c>
      <c r="E66" s="103">
        <f t="shared" si="100"/>
        <v>0</v>
      </c>
      <c r="F66" s="103">
        <f t="shared" si="100"/>
        <v>0</v>
      </c>
      <c r="G66" s="103">
        <f t="shared" si="100"/>
        <v>0</v>
      </c>
      <c r="H66" s="103">
        <f t="shared" si="100"/>
        <v>0</v>
      </c>
      <c r="I66" s="103">
        <f t="shared" si="100"/>
        <v>0</v>
      </c>
      <c r="J66" s="103">
        <f t="shared" si="100"/>
        <v>0</v>
      </c>
      <c r="K66" s="103">
        <f t="shared" si="100"/>
        <v>0</v>
      </c>
      <c r="L66" s="103">
        <f t="shared" si="100"/>
        <v>0</v>
      </c>
      <c r="M66" s="103">
        <f t="shared" si="100"/>
        <v>0</v>
      </c>
      <c r="N66" s="103">
        <f t="shared" si="100"/>
        <v>0</v>
      </c>
      <c r="O66" s="103">
        <f t="shared" si="100"/>
        <v>0</v>
      </c>
      <c r="P66" s="103">
        <f t="shared" si="100"/>
        <v>0</v>
      </c>
      <c r="Q66" s="103">
        <f t="shared" si="100"/>
        <v>0</v>
      </c>
      <c r="R66" s="103">
        <f t="shared" si="100"/>
        <v>0</v>
      </c>
      <c r="S66" s="103">
        <f t="shared" si="100"/>
        <v>0</v>
      </c>
      <c r="T66" s="103">
        <f t="shared" si="100"/>
        <v>0</v>
      </c>
      <c r="U66" s="103">
        <f t="shared" si="100"/>
        <v>0</v>
      </c>
      <c r="V66" s="103">
        <f t="shared" si="100"/>
        <v>0</v>
      </c>
      <c r="W66" s="103">
        <f t="shared" si="100"/>
        <v>0</v>
      </c>
      <c r="X66" s="103">
        <f t="shared" si="100"/>
        <v>0</v>
      </c>
      <c r="Y66" s="103">
        <f t="shared" si="100"/>
        <v>0</v>
      </c>
      <c r="Z66" s="103">
        <f t="shared" si="100"/>
        <v>0</v>
      </c>
      <c r="AA66" s="103">
        <f t="shared" si="100"/>
        <v>0</v>
      </c>
      <c r="AC66" s="103">
        <f t="shared" si="63"/>
        <v>0</v>
      </c>
      <c r="AD66" s="103">
        <f t="shared" si="63"/>
        <v>0</v>
      </c>
      <c r="AE66" s="103">
        <f t="shared" si="63"/>
        <v>0</v>
      </c>
      <c r="AF66" s="103">
        <f t="shared" si="63"/>
        <v>0</v>
      </c>
      <c r="AG66" s="103">
        <f t="shared" si="63"/>
        <v>0</v>
      </c>
      <c r="AH66" s="103">
        <f t="shared" si="63"/>
        <v>0</v>
      </c>
      <c r="AI66" s="103">
        <f t="shared" si="63"/>
        <v>0</v>
      </c>
      <c r="AJ66" s="103">
        <f t="shared" si="63"/>
        <v>0</v>
      </c>
      <c r="AK66" s="103">
        <f t="shared" si="63"/>
        <v>0</v>
      </c>
      <c r="AL66" s="103">
        <f t="shared" si="63"/>
        <v>0</v>
      </c>
      <c r="AM66" s="103">
        <f t="shared" si="63"/>
        <v>0</v>
      </c>
      <c r="AN66" s="103">
        <f t="shared" si="63"/>
        <v>0</v>
      </c>
      <c r="AO66" s="103">
        <f t="shared" si="63"/>
        <v>0</v>
      </c>
      <c r="AP66" s="103">
        <f t="shared" si="63"/>
        <v>0</v>
      </c>
      <c r="AQ66" s="103">
        <f t="shared" si="63"/>
        <v>0</v>
      </c>
      <c r="AR66" s="103">
        <f t="shared" si="63"/>
        <v>0</v>
      </c>
      <c r="AS66" s="105"/>
      <c r="AT66" s="103">
        <f t="shared" si="64"/>
        <v>0</v>
      </c>
      <c r="AU66" s="103">
        <f t="shared" si="64"/>
        <v>0</v>
      </c>
      <c r="AV66" s="103">
        <f t="shared" si="64"/>
        <v>0</v>
      </c>
      <c r="AW66" s="103">
        <f t="shared" si="64"/>
        <v>0</v>
      </c>
      <c r="AX66" s="103">
        <f t="shared" si="64"/>
        <v>0</v>
      </c>
      <c r="AY66" s="103">
        <f t="shared" si="77"/>
        <v>0</v>
      </c>
      <c r="AZ66" s="132">
        <f t="shared" si="86"/>
        <v>1</v>
      </c>
      <c r="BA66" s="132">
        <f t="shared" si="87"/>
        <v>0</v>
      </c>
      <c r="BB66" s="105"/>
      <c r="BC66" s="138">
        <f t="shared" si="88"/>
        <v>0</v>
      </c>
      <c r="BD66" s="138">
        <f t="shared" si="88"/>
        <v>0</v>
      </c>
      <c r="BE66" s="138">
        <f t="shared" si="88"/>
        <v>0</v>
      </c>
      <c r="BF66" s="138">
        <f t="shared" si="88"/>
        <v>0</v>
      </c>
      <c r="BG66" s="138">
        <f t="shared" si="88"/>
        <v>0</v>
      </c>
      <c r="BH66" s="138">
        <f t="shared" si="88"/>
        <v>0</v>
      </c>
      <c r="BI66" s="138">
        <f t="shared" si="89"/>
        <v>0</v>
      </c>
      <c r="BJ66" s="132">
        <f t="shared" si="90"/>
        <v>0</v>
      </c>
      <c r="BK66" s="113"/>
      <c r="BL66" s="103">
        <f t="shared" si="79"/>
        <v>0</v>
      </c>
      <c r="BM66" s="103">
        <f t="shared" si="80"/>
        <v>0</v>
      </c>
      <c r="BN66" s="103">
        <f t="shared" si="81"/>
        <v>0</v>
      </c>
      <c r="BO66" s="103">
        <f t="shared" si="82"/>
        <v>0</v>
      </c>
      <c r="BP66" s="103">
        <f t="shared" si="83"/>
        <v>0</v>
      </c>
      <c r="BQ66" s="103">
        <f t="shared" si="84"/>
        <v>0</v>
      </c>
      <c r="BR66" s="132">
        <f t="shared" si="91"/>
        <v>1</v>
      </c>
      <c r="BS66" s="132">
        <f t="shared" si="92"/>
        <v>0</v>
      </c>
      <c r="BT66" s="105"/>
      <c r="BU66" s="105"/>
      <c r="BV66" s="105"/>
      <c r="BW66" s="105"/>
      <c r="BX66" s="105"/>
      <c r="BY66" s="105"/>
      <c r="BZ66" s="105"/>
      <c r="CA66" s="105"/>
      <c r="CB66" s="105"/>
      <c r="CC66" s="105"/>
      <c r="CD66" s="105"/>
      <c r="CE66" s="105"/>
      <c r="CF66" s="105"/>
      <c r="CG66" s="105"/>
      <c r="CH66" s="105"/>
      <c r="CI66" s="105"/>
      <c r="CJ66" s="105"/>
      <c r="CK66" s="105"/>
      <c r="CL66" s="105"/>
      <c r="CM66" s="105"/>
      <c r="CN66" s="105"/>
      <c r="CO66" s="105"/>
      <c r="CP66" s="105"/>
    </row>
    <row r="67" spans="1:94">
      <c r="A67" s="105"/>
      <c r="B67" s="105"/>
      <c r="C67" s="105"/>
      <c r="D67" s="105"/>
      <c r="E67" s="105"/>
      <c r="F67" s="105"/>
      <c r="G67" s="105"/>
      <c r="H67" s="105"/>
      <c r="I67" s="105"/>
      <c r="J67" s="105"/>
      <c r="K67" s="105"/>
      <c r="L67" s="105"/>
      <c r="M67" s="105"/>
      <c r="N67" s="105"/>
      <c r="O67" s="105"/>
      <c r="P67" s="105"/>
      <c r="Q67" s="105"/>
      <c r="R67" s="105"/>
      <c r="S67" s="105"/>
      <c r="T67" s="105"/>
      <c r="U67" s="105"/>
      <c r="V67" s="105"/>
      <c r="W67" s="105"/>
      <c r="X67" s="105"/>
      <c r="Y67" s="105"/>
      <c r="Z67" s="105"/>
      <c r="AA67" s="105"/>
      <c r="AB67" s="105"/>
      <c r="AC67" s="105"/>
      <c r="AD67" s="105"/>
      <c r="AE67" s="105"/>
      <c r="AF67" s="105"/>
      <c r="AG67" s="105"/>
      <c r="AH67" s="105"/>
      <c r="AI67" s="105"/>
      <c r="AJ67" s="105"/>
      <c r="AK67" s="105"/>
      <c r="AL67" s="105"/>
      <c r="AM67" s="105"/>
      <c r="AN67" s="105"/>
      <c r="AO67" s="105"/>
      <c r="AP67" s="105"/>
      <c r="AQ67" s="105"/>
      <c r="AR67" s="105"/>
      <c r="AS67" s="105"/>
      <c r="AT67" s="105"/>
      <c r="AU67" s="105"/>
      <c r="AV67" s="105"/>
      <c r="AW67" s="105"/>
      <c r="AX67" s="105"/>
      <c r="AY67" s="105"/>
      <c r="AZ67" s="105"/>
      <c r="BA67" s="105"/>
      <c r="BB67" s="105"/>
      <c r="BC67" s="105"/>
      <c r="BD67" s="105"/>
      <c r="BE67" s="105"/>
      <c r="BF67" s="105"/>
      <c r="BG67" s="105"/>
      <c r="BH67" s="105"/>
      <c r="BI67" s="105"/>
      <c r="BJ67" s="105"/>
      <c r="BK67" s="105"/>
      <c r="BL67" s="105"/>
      <c r="BM67" s="105"/>
      <c r="BN67" s="105"/>
      <c r="BO67" s="105"/>
      <c r="BP67" s="105"/>
      <c r="BQ67" s="105"/>
      <c r="BR67" s="105"/>
      <c r="BS67" s="105"/>
      <c r="BT67" s="105"/>
      <c r="BU67" s="105"/>
      <c r="BV67" s="105"/>
      <c r="BW67" s="105"/>
      <c r="BX67" s="105"/>
      <c r="BY67" s="105"/>
      <c r="BZ67" s="105"/>
      <c r="CA67" s="105"/>
      <c r="CB67" s="105"/>
      <c r="CC67" s="105"/>
      <c r="CD67" s="105"/>
      <c r="CE67" s="105"/>
      <c r="CF67" s="105"/>
      <c r="CG67" s="105"/>
      <c r="CH67" s="105"/>
      <c r="CI67" s="105"/>
      <c r="CJ67" s="105"/>
      <c r="CK67" s="105"/>
      <c r="CL67" s="105"/>
      <c r="CM67" s="105"/>
      <c r="CN67" s="105"/>
      <c r="CO67" s="105"/>
      <c r="CP67" s="105"/>
    </row>
    <row r="68" spans="1:94" ht="14.4" thickBot="1">
      <c r="A68" s="194" t="str">
        <f>CONCATENATE(Menus!C26," (",'Project Info'!G22, ")")</f>
        <v>Carbon Emissions (kg CO2e)</v>
      </c>
      <c r="B68" s="194"/>
      <c r="C68" s="194"/>
      <c r="D68" s="194"/>
      <c r="E68" s="194"/>
      <c r="F68" s="194"/>
      <c r="G68" s="194"/>
      <c r="H68" s="194"/>
      <c r="I68" s="194"/>
      <c r="J68" s="194"/>
      <c r="K68" s="194"/>
      <c r="L68" s="194"/>
      <c r="M68" s="194"/>
      <c r="N68" s="194"/>
      <c r="O68" s="194"/>
      <c r="P68" s="194"/>
      <c r="Q68" s="194"/>
      <c r="R68" s="194"/>
      <c r="S68" s="194"/>
      <c r="T68" s="194"/>
      <c r="U68" s="194"/>
      <c r="V68" s="194"/>
      <c r="W68" s="194"/>
      <c r="X68" s="194"/>
      <c r="Y68" s="194"/>
      <c r="Z68" s="194"/>
      <c r="AA68" s="194"/>
      <c r="AB68" s="105"/>
      <c r="AC68" s="105"/>
      <c r="AD68" s="105"/>
      <c r="AE68" s="105"/>
      <c r="AF68" s="105"/>
      <c r="AG68" s="105"/>
      <c r="AH68" s="105"/>
      <c r="AI68" s="105"/>
      <c r="AJ68" s="105"/>
      <c r="AK68" s="105"/>
      <c r="AL68" s="105"/>
      <c r="AM68" s="105"/>
      <c r="AN68" s="105"/>
      <c r="AO68" s="105"/>
      <c r="AP68" s="105"/>
      <c r="AQ68" s="105"/>
      <c r="AR68" s="105"/>
      <c r="AS68" s="105"/>
      <c r="AT68" s="105"/>
      <c r="AU68" s="105"/>
      <c r="AV68" s="105"/>
      <c r="AW68" s="105"/>
      <c r="AX68" s="105"/>
      <c r="AY68" s="105"/>
      <c r="AZ68" s="105"/>
      <c r="BA68" s="105"/>
      <c r="BB68" s="105"/>
      <c r="BC68" s="105"/>
      <c r="BD68" s="105"/>
      <c r="BE68" s="105"/>
      <c r="BF68" s="105"/>
      <c r="BG68" s="105"/>
      <c r="BH68" s="105"/>
      <c r="BI68" s="105"/>
      <c r="BJ68" s="105"/>
      <c r="BK68" s="105"/>
      <c r="BL68" s="105"/>
      <c r="BM68" s="105"/>
      <c r="BN68" s="105"/>
      <c r="BO68" s="105"/>
      <c r="BP68" s="105"/>
      <c r="BQ68" s="105"/>
      <c r="BR68" s="105"/>
      <c r="BS68" s="105"/>
    </row>
    <row r="69" spans="1:94">
      <c r="A69" s="105" t="str">
        <f t="shared" ref="A69:A81" si="101">A9</f>
        <v>LEED Baseline</v>
      </c>
      <c r="B69" s="105"/>
      <c r="C69" s="91">
        <f>IFERROR(C9*INDEX('Project Info'!$I57:$M57,MATCH(C$5,'Project Info'!$I$15:$M$15,0)),0)</f>
        <v>4539.1577508543023</v>
      </c>
      <c r="D69" s="91">
        <f>IFERROR(D9*INDEX('Project Info'!$I57:$M57,MATCH(D$5,'Project Info'!$I$15:$M$15,0)),0)</f>
        <v>0</v>
      </c>
      <c r="E69" s="91">
        <f>IFERROR(E9*INDEX('Project Info'!$I57:$M57,MATCH(E$5,'Project Info'!$I$15:$M$15,0)),0)</f>
        <v>0</v>
      </c>
      <c r="F69" s="91">
        <f>IFERROR(F9*INDEX('Project Info'!$I57:$M57,MATCH(F$5,'Project Info'!$I$15:$M$15,0)),0)</f>
        <v>0</v>
      </c>
      <c r="G69" s="91">
        <f>IFERROR(G9*INDEX('Project Info'!$I57:$M57,MATCH(G$5,'Project Info'!$I$15:$M$15,0)),0)</f>
        <v>16917.411850627468</v>
      </c>
      <c r="H69" s="91">
        <f>IFERROR(H9*INDEX('Project Info'!$I57:$M57,MATCH(H$5,'Project Info'!$I$15:$M$15,0)),0)</f>
        <v>0</v>
      </c>
      <c r="I69" s="91">
        <f>IFERROR(I9*INDEX('Project Info'!$I57:$M57,MATCH(I$5,'Project Info'!$I$15:$M$15,0)),0)</f>
        <v>18159.458887384459</v>
      </c>
      <c r="J69" s="91">
        <f>IFERROR(J9*INDEX('Project Info'!$I57:$M57,MATCH(J$5,'Project Info'!$I$15:$M$15,0)),0)</f>
        <v>0</v>
      </c>
      <c r="K69" s="91">
        <f>IFERROR(K9*INDEX('Project Info'!$I57:$M57,MATCH(K$5,'Project Info'!$I$15:$M$15,0)),0)</f>
        <v>21321.841129613676</v>
      </c>
      <c r="L69" s="91">
        <f>IFERROR(L9*INDEX('Project Info'!$I57:$M57,MATCH(L$5,'Project Info'!$I$15:$M$15,0)),0)</f>
        <v>0</v>
      </c>
      <c r="M69" s="91">
        <f>IFERROR(M9*INDEX('Project Info'!$I57:$M57,MATCH(M$5,'Project Info'!$I$15:$M$15,0)),0)</f>
        <v>0</v>
      </c>
      <c r="N69" s="91">
        <f>IFERROR(N9*INDEX('Project Info'!$I57:$M57,MATCH(N$5,'Project Info'!$I$15:$M$15,0)),0)</f>
        <v>0</v>
      </c>
      <c r="O69" s="91">
        <f>IFERROR(O9*INDEX('Project Info'!$I57:$M57,MATCH(O$5,'Project Info'!$I$15:$M$15,0)),0)</f>
        <v>20695.969810148472</v>
      </c>
      <c r="P69" s="91">
        <f>IFERROR(P9*INDEX('Project Info'!$I57:$M57,MATCH(P$5,'Project Info'!$I$15:$M$15,0)),0)</f>
        <v>0</v>
      </c>
      <c r="Q69" s="91">
        <f>IFERROR(Q9*INDEX('Project Info'!$I57:$M57,MATCH(Q$5,'Project Info'!$I$15:$M$15,0)),0)</f>
        <v>0</v>
      </c>
      <c r="R69" s="91">
        <f>IFERROR(R9*INDEX('Project Info'!$I57:$M57,MATCH(R$5,'Project Info'!$I$15:$M$15,0)),0)</f>
        <v>0</v>
      </c>
      <c r="S69" s="91">
        <f>IFERROR(S9*INDEX('Project Info'!$I57:$M57,MATCH(S$5,'Project Info'!$I$15:$M$15,0)),0)</f>
        <v>0</v>
      </c>
      <c r="T69" s="91">
        <f>IFERROR(T9*INDEX('Project Info'!$I57:$M57,MATCH(T$5,'Project Info'!$I$15:$M$15,0)),0)</f>
        <v>0</v>
      </c>
      <c r="U69" s="91">
        <f>IFERROR(U9*INDEX('Project Info'!$I57:$M57,MATCH(U$5,'Project Info'!$I$15:$M$15,0)),0)</f>
        <v>0</v>
      </c>
      <c r="V69" s="91">
        <f>IFERROR(V9*INDEX('Project Info'!$I57:$M57,MATCH(V$5,'Project Info'!$I$15:$M$15,0)),0)</f>
        <v>0</v>
      </c>
      <c r="W69" s="91">
        <f>IFERROR(W9*INDEX('Project Info'!$I57:$M57,MATCH(W$5,'Project Info'!$I$15:$M$15,0)),0)</f>
        <v>0</v>
      </c>
      <c r="X69" s="91">
        <f>IFERROR(X9*INDEX('Project Info'!$I57:$M57,MATCH(X$5,'Project Info'!$I$15:$M$15,0)),0)</f>
        <v>0</v>
      </c>
      <c r="Y69" s="91">
        <f>IFERROR(Y9*INDEX('Project Info'!$I57:$M57,MATCH(Y$5,'Project Info'!$I$15:$M$15,0)),0)</f>
        <v>0</v>
      </c>
      <c r="Z69" s="91">
        <f>IFERROR(Z9*INDEX('Project Info'!$I57:$M57,MATCH(Z$5,'Project Info'!$I$15:$M$15,0)),0)</f>
        <v>0</v>
      </c>
      <c r="AA69" s="91">
        <f>IFERROR(AA9*INDEX('Project Info'!$I57:$M57,MATCH(AA$5,'Project Info'!$I$15:$M$15,0)),0)</f>
        <v>0</v>
      </c>
      <c r="AB69" s="105"/>
      <c r="AC69" s="91">
        <f t="shared" ref="AC69:AR81" si="102">SUMIF($C$4:$AA$4,AC$4,$C69:$AA69)</f>
        <v>4539.1577508543023</v>
      </c>
      <c r="AD69" s="91">
        <f t="shared" si="102"/>
        <v>16917.411850627468</v>
      </c>
      <c r="AE69" s="91">
        <f t="shared" si="102"/>
        <v>18159.458887384459</v>
      </c>
      <c r="AF69" s="91">
        <f t="shared" si="102"/>
        <v>0</v>
      </c>
      <c r="AG69" s="91">
        <f t="shared" si="102"/>
        <v>21321.841129613676</v>
      </c>
      <c r="AH69" s="91">
        <f t="shared" si="102"/>
        <v>0</v>
      </c>
      <c r="AI69" s="91">
        <f t="shared" si="102"/>
        <v>20695.969810148472</v>
      </c>
      <c r="AJ69" s="91">
        <f t="shared" si="102"/>
        <v>0</v>
      </c>
      <c r="AK69" s="91">
        <f t="shared" si="102"/>
        <v>0</v>
      </c>
      <c r="AL69" s="91">
        <f t="shared" si="102"/>
        <v>0</v>
      </c>
      <c r="AM69" s="91">
        <f t="shared" si="102"/>
        <v>0</v>
      </c>
      <c r="AN69" s="91">
        <f t="shared" si="102"/>
        <v>0</v>
      </c>
      <c r="AO69" s="91">
        <f t="shared" si="102"/>
        <v>0</v>
      </c>
      <c r="AP69" s="91">
        <f t="shared" si="102"/>
        <v>0</v>
      </c>
      <c r="AQ69" s="91">
        <f t="shared" si="102"/>
        <v>0</v>
      </c>
      <c r="AR69" s="91">
        <f t="shared" si="102"/>
        <v>0</v>
      </c>
      <c r="AS69" s="105"/>
      <c r="AT69" s="91">
        <f t="shared" ref="AT69:AX81" si="103">SUMIF($C$5:$AA$5,"="&amp;AT$5,$C69:$AA69)</f>
        <v>81633.839428628373</v>
      </c>
      <c r="AU69" s="91">
        <f t="shared" si="103"/>
        <v>0</v>
      </c>
      <c r="AV69" s="91">
        <f t="shared" si="103"/>
        <v>0</v>
      </c>
      <c r="AW69" s="91">
        <f t="shared" si="103"/>
        <v>0</v>
      </c>
      <c r="AX69" s="91">
        <f t="shared" si="103"/>
        <v>0</v>
      </c>
      <c r="AY69" s="91">
        <f>SUM(AT69:AX69)</f>
        <v>81633.839428628373</v>
      </c>
      <c r="AZ69" s="110"/>
      <c r="BA69" s="110"/>
      <c r="BB69" s="105"/>
      <c r="BC69" s="110"/>
      <c r="BD69" s="110"/>
      <c r="BE69" s="110"/>
      <c r="BF69" s="110"/>
      <c r="BG69" s="110"/>
      <c r="BH69" s="110"/>
      <c r="BI69" s="110"/>
      <c r="BJ69" s="110"/>
      <c r="BK69" s="105"/>
      <c r="BL69" s="91">
        <f t="shared" ref="BL69:BL81" si="104">AT69-(SUMIF($BC$5:$BH$5,"="&amp;BL$5,$BC69:$BH69))</f>
        <v>81633.839428628373</v>
      </c>
      <c r="BM69" s="91">
        <f t="shared" ref="BM69:BM81" si="105">AU69-(SUMIF($BC$5:$BH$5,"="&amp;BM$5,$BC69:$BH69))</f>
        <v>0</v>
      </c>
      <c r="BN69" s="91">
        <f t="shared" ref="BN69:BN81" si="106">AV69-(SUMIF($BC$5:$BH$5,"="&amp;BN$5,$BC69:$BH69))</f>
        <v>0</v>
      </c>
      <c r="BO69" s="91">
        <f t="shared" ref="BO69:BO81" si="107">AW69-(SUMIF($BC$5:$BH$5,"="&amp;BO$5,$BC69:$BH69))</f>
        <v>0</v>
      </c>
      <c r="BP69" s="91">
        <f t="shared" ref="BP69:BP81" si="108">AX69-(SUMIF($BC$5:$BH$5,"="&amp;BP$5,$BC69:$BH69))</f>
        <v>0</v>
      </c>
      <c r="BQ69" s="91">
        <f>SUM(BL69:BP69)</f>
        <v>81633.839428628373</v>
      </c>
      <c r="BR69" s="110"/>
      <c r="BS69" s="110"/>
    </row>
    <row r="70" spans="1:94">
      <c r="A70" s="105" t="str">
        <f t="shared" si="101"/>
        <v>Code Baseline</v>
      </c>
      <c r="B70" s="105"/>
      <c r="C70" s="91">
        <f>IFERROR(C10*INDEX('Project Info'!$I58:$M58,MATCH(C$5,'Project Info'!$I$15:$M$15,0)),0)</f>
        <v>0</v>
      </c>
      <c r="D70" s="91">
        <f>IFERROR(D10*INDEX('Project Info'!$I58:$M58,MATCH(D$5,'Project Info'!$I$15:$M$15,0)),0)</f>
        <v>0</v>
      </c>
      <c r="E70" s="91">
        <f>IFERROR(E10*INDEX('Project Info'!$I58:$M58,MATCH(E$5,'Project Info'!$I$15:$M$15,0)),0)</f>
        <v>0</v>
      </c>
      <c r="F70" s="91">
        <f>IFERROR(F10*INDEX('Project Info'!$I58:$M58,MATCH(F$5,'Project Info'!$I$15:$M$15,0)),0)</f>
        <v>0</v>
      </c>
      <c r="G70" s="91">
        <f>IFERROR(G10*INDEX('Project Info'!$I58:$M58,MATCH(G$5,'Project Info'!$I$15:$M$15,0)),0)</f>
        <v>0</v>
      </c>
      <c r="H70" s="91">
        <f>IFERROR(H10*INDEX('Project Info'!$I58:$M58,MATCH(H$5,'Project Info'!$I$15:$M$15,0)),0)</f>
        <v>0</v>
      </c>
      <c r="I70" s="91">
        <f>IFERROR(I10*INDEX('Project Info'!$I58:$M58,MATCH(I$5,'Project Info'!$I$15:$M$15,0)),0)</f>
        <v>0</v>
      </c>
      <c r="J70" s="91">
        <f>IFERROR(J10*INDEX('Project Info'!$I58:$M58,MATCH(J$5,'Project Info'!$I$15:$M$15,0)),0)</f>
        <v>0</v>
      </c>
      <c r="K70" s="91">
        <f>IFERROR(K10*INDEX('Project Info'!$I58:$M58,MATCH(K$5,'Project Info'!$I$15:$M$15,0)),0)</f>
        <v>0</v>
      </c>
      <c r="L70" s="91">
        <f>IFERROR(L10*INDEX('Project Info'!$I58:$M58,MATCH(L$5,'Project Info'!$I$15:$M$15,0)),0)</f>
        <v>0</v>
      </c>
      <c r="M70" s="91">
        <f>IFERROR(M10*INDEX('Project Info'!$I58:$M58,MATCH(M$5,'Project Info'!$I$15:$M$15,0)),0)</f>
        <v>0</v>
      </c>
      <c r="N70" s="91">
        <f>IFERROR(N10*INDEX('Project Info'!$I58:$M58,MATCH(N$5,'Project Info'!$I$15:$M$15,0)),0)</f>
        <v>0</v>
      </c>
      <c r="O70" s="91">
        <f>IFERROR(O10*INDEX('Project Info'!$I58:$M58,MATCH(O$5,'Project Info'!$I$15:$M$15,0)),0)</f>
        <v>0</v>
      </c>
      <c r="P70" s="91">
        <f>IFERROR(P10*INDEX('Project Info'!$I58:$M58,MATCH(P$5,'Project Info'!$I$15:$M$15,0)),0)</f>
        <v>0</v>
      </c>
      <c r="Q70" s="91">
        <f>IFERROR(Q10*INDEX('Project Info'!$I58:$M58,MATCH(Q$5,'Project Info'!$I$15:$M$15,0)),0)</f>
        <v>0</v>
      </c>
      <c r="R70" s="91">
        <f>IFERROR(R10*INDEX('Project Info'!$I58:$M58,MATCH(R$5,'Project Info'!$I$15:$M$15,0)),0)</f>
        <v>0</v>
      </c>
      <c r="S70" s="91">
        <f>IFERROR(S10*INDEX('Project Info'!$I58:$M58,MATCH(S$5,'Project Info'!$I$15:$M$15,0)),0)</f>
        <v>0</v>
      </c>
      <c r="T70" s="91">
        <f>IFERROR(T10*INDEX('Project Info'!$I58:$M58,MATCH(T$5,'Project Info'!$I$15:$M$15,0)),0)</f>
        <v>0</v>
      </c>
      <c r="U70" s="91">
        <f>IFERROR(U10*INDEX('Project Info'!$I58:$M58,MATCH(U$5,'Project Info'!$I$15:$M$15,0)),0)</f>
        <v>0</v>
      </c>
      <c r="V70" s="91">
        <f>IFERROR(V10*INDEX('Project Info'!$I58:$M58,MATCH(V$5,'Project Info'!$I$15:$M$15,0)),0)</f>
        <v>0</v>
      </c>
      <c r="W70" s="91">
        <f>IFERROR(W10*INDEX('Project Info'!$I58:$M58,MATCH(W$5,'Project Info'!$I$15:$M$15,0)),0)</f>
        <v>0</v>
      </c>
      <c r="X70" s="91">
        <f>IFERROR(X10*INDEX('Project Info'!$I58:$M58,MATCH(X$5,'Project Info'!$I$15:$M$15,0)),0)</f>
        <v>0</v>
      </c>
      <c r="Y70" s="91">
        <f>IFERROR(Y10*INDEX('Project Info'!$I58:$M58,MATCH(Y$5,'Project Info'!$I$15:$M$15,0)),0)</f>
        <v>0</v>
      </c>
      <c r="Z70" s="91">
        <f>IFERROR(Z10*INDEX('Project Info'!$I58:$M58,MATCH(Z$5,'Project Info'!$I$15:$M$15,0)),0)</f>
        <v>0</v>
      </c>
      <c r="AA70" s="91">
        <f>IFERROR(AA10*INDEX('Project Info'!$I58:$M58,MATCH(AA$5,'Project Info'!$I$15:$M$15,0)),0)</f>
        <v>0</v>
      </c>
      <c r="AB70" s="105"/>
      <c r="AC70" s="91">
        <f t="shared" si="102"/>
        <v>0</v>
      </c>
      <c r="AD70" s="91">
        <f t="shared" si="102"/>
        <v>0</v>
      </c>
      <c r="AE70" s="91">
        <f t="shared" si="102"/>
        <v>0</v>
      </c>
      <c r="AF70" s="91">
        <f t="shared" si="102"/>
        <v>0</v>
      </c>
      <c r="AG70" s="91">
        <f t="shared" si="102"/>
        <v>0</v>
      </c>
      <c r="AH70" s="91">
        <f t="shared" si="102"/>
        <v>0</v>
      </c>
      <c r="AI70" s="91">
        <f t="shared" si="102"/>
        <v>0</v>
      </c>
      <c r="AJ70" s="91">
        <f t="shared" si="102"/>
        <v>0</v>
      </c>
      <c r="AK70" s="91">
        <f t="shared" si="102"/>
        <v>0</v>
      </c>
      <c r="AL70" s="91">
        <f t="shared" si="102"/>
        <v>0</v>
      </c>
      <c r="AM70" s="91">
        <f t="shared" si="102"/>
        <v>0</v>
      </c>
      <c r="AN70" s="91">
        <f t="shared" si="102"/>
        <v>0</v>
      </c>
      <c r="AO70" s="91">
        <f t="shared" si="102"/>
        <v>0</v>
      </c>
      <c r="AP70" s="91">
        <f t="shared" si="102"/>
        <v>0</v>
      </c>
      <c r="AQ70" s="91">
        <f t="shared" si="102"/>
        <v>0</v>
      </c>
      <c r="AR70" s="91">
        <f t="shared" si="102"/>
        <v>0</v>
      </c>
      <c r="AS70" s="105"/>
      <c r="AT70" s="91">
        <f t="shared" si="103"/>
        <v>0</v>
      </c>
      <c r="AU70" s="91">
        <f t="shared" si="103"/>
        <v>0</v>
      </c>
      <c r="AV70" s="91">
        <f t="shared" si="103"/>
        <v>0</v>
      </c>
      <c r="AW70" s="91">
        <f t="shared" si="103"/>
        <v>0</v>
      </c>
      <c r="AX70" s="91">
        <f t="shared" si="103"/>
        <v>0</v>
      </c>
      <c r="AY70" s="91">
        <f t="shared" ref="AY70:AY81" si="109">SUM(AT70:AX70)</f>
        <v>0</v>
      </c>
      <c r="AZ70" s="110"/>
      <c r="BA70" s="110"/>
      <c r="BB70" s="105"/>
      <c r="BC70" s="110"/>
      <c r="BD70" s="110"/>
      <c r="BE70" s="110"/>
      <c r="BF70" s="110"/>
      <c r="BG70" s="110"/>
      <c r="BH70" s="110"/>
      <c r="BI70" s="110"/>
      <c r="BJ70" s="110"/>
      <c r="BK70" s="105"/>
      <c r="BL70" s="91">
        <f t="shared" si="104"/>
        <v>0</v>
      </c>
      <c r="BM70" s="91">
        <f t="shared" si="105"/>
        <v>0</v>
      </c>
      <c r="BN70" s="91">
        <f t="shared" si="106"/>
        <v>0</v>
      </c>
      <c r="BO70" s="91">
        <f t="shared" si="107"/>
        <v>0</v>
      </c>
      <c r="BP70" s="91">
        <f t="shared" si="108"/>
        <v>0</v>
      </c>
      <c r="BQ70" s="91">
        <f t="shared" ref="BQ70:BQ78" si="110">SUM(BL70:BP70)</f>
        <v>0</v>
      </c>
      <c r="BR70" s="110"/>
      <c r="BS70" s="110"/>
    </row>
    <row r="71" spans="1:94" s="136" customFormat="1">
      <c r="A71" s="134" t="str">
        <f t="shared" si="101"/>
        <v xml:space="preserve"> </v>
      </c>
      <c r="B71" s="134"/>
      <c r="C71" s="135">
        <f>IFERROR(C10*INDEX('Project Info'!$I58:$M58,MATCH(C$5,'Project Info'!$I$15:$M$15,0)),0)</f>
        <v>0</v>
      </c>
      <c r="D71" s="135">
        <f>IFERROR(D10*INDEX('Project Info'!$I58:$M58,MATCH(D$5,'Project Info'!$I$15:$M$15,0)),0)</f>
        <v>0</v>
      </c>
      <c r="E71" s="135">
        <f>IFERROR(E10*INDEX('Project Info'!$I58:$M58,MATCH(E$5,'Project Info'!$I$15:$M$15,0)),0)</f>
        <v>0</v>
      </c>
      <c r="F71" s="135">
        <f>IFERROR(F10*INDEX('Project Info'!$I58:$M58,MATCH(F$5,'Project Info'!$I$15:$M$15,0)),0)</f>
        <v>0</v>
      </c>
      <c r="G71" s="135">
        <f>IFERROR(G10*INDEX('Project Info'!$I58:$M58,MATCH(G$5,'Project Info'!$I$15:$M$15,0)),0)</f>
        <v>0</v>
      </c>
      <c r="H71" s="135">
        <f>IFERROR(H10*INDEX('Project Info'!$I58:$M58,MATCH(H$5,'Project Info'!$I$15:$M$15,0)),0)</f>
        <v>0</v>
      </c>
      <c r="I71" s="135">
        <f>IFERROR(I10*INDEX('Project Info'!$I58:$M58,MATCH(I$5,'Project Info'!$I$15:$M$15,0)),0)</f>
        <v>0</v>
      </c>
      <c r="J71" s="135">
        <f>IFERROR(J10*INDEX('Project Info'!$I58:$M58,MATCH(J$5,'Project Info'!$I$15:$M$15,0)),0)</f>
        <v>0</v>
      </c>
      <c r="K71" s="135">
        <f>IFERROR(K10*INDEX('Project Info'!$I58:$M58,MATCH(K$5,'Project Info'!$I$15:$M$15,0)),0)</f>
        <v>0</v>
      </c>
      <c r="L71" s="135">
        <f>IFERROR(L10*INDEX('Project Info'!$I58:$M58,MATCH(L$5,'Project Info'!$I$15:$M$15,0)),0)</f>
        <v>0</v>
      </c>
      <c r="M71" s="135">
        <f>IFERROR(M10*INDEX('Project Info'!$I58:$M58,MATCH(M$5,'Project Info'!$I$15:$M$15,0)),0)</f>
        <v>0</v>
      </c>
      <c r="N71" s="135">
        <f>IFERROR(N10*INDEX('Project Info'!$I58:$M58,MATCH(N$5,'Project Info'!$I$15:$M$15,0)),0)</f>
        <v>0</v>
      </c>
      <c r="O71" s="135">
        <f>IFERROR(O10*INDEX('Project Info'!$I58:$M58,MATCH(O$5,'Project Info'!$I$15:$M$15,0)),0)</f>
        <v>0</v>
      </c>
      <c r="P71" s="135">
        <f>IFERROR(P10*INDEX('Project Info'!$I58:$M58,MATCH(P$5,'Project Info'!$I$15:$M$15,0)),0)</f>
        <v>0</v>
      </c>
      <c r="Q71" s="135">
        <f>IFERROR(Q10*INDEX('Project Info'!$I58:$M58,MATCH(Q$5,'Project Info'!$I$15:$M$15,0)),0)</f>
        <v>0</v>
      </c>
      <c r="R71" s="135">
        <f>IFERROR(R10*INDEX('Project Info'!$I58:$M58,MATCH(R$5,'Project Info'!$I$15:$M$15,0)),0)</f>
        <v>0</v>
      </c>
      <c r="S71" s="135">
        <f>IFERROR(S10*INDEX('Project Info'!$I58:$M58,MATCH(S$5,'Project Info'!$I$15:$M$15,0)),0)</f>
        <v>0</v>
      </c>
      <c r="T71" s="135">
        <f>IFERROR(T10*INDEX('Project Info'!$I58:$M58,MATCH(T$5,'Project Info'!$I$15:$M$15,0)),0)</f>
        <v>0</v>
      </c>
      <c r="U71" s="135">
        <f>IFERROR(U10*INDEX('Project Info'!$I58:$M58,MATCH(U$5,'Project Info'!$I$15:$M$15,0)),0)</f>
        <v>0</v>
      </c>
      <c r="V71" s="135">
        <f>IFERROR(V10*INDEX('Project Info'!$I58:$M58,MATCH(V$5,'Project Info'!$I$15:$M$15,0)),0)</f>
        <v>0</v>
      </c>
      <c r="W71" s="135">
        <f>IFERROR(W10*INDEX('Project Info'!$I58:$M58,MATCH(W$5,'Project Info'!$I$15:$M$15,0)),0)</f>
        <v>0</v>
      </c>
      <c r="X71" s="135">
        <f>IFERROR(X10*INDEX('Project Info'!$I58:$M58,MATCH(X$5,'Project Info'!$I$15:$M$15,0)),0)</f>
        <v>0</v>
      </c>
      <c r="Y71" s="135">
        <f>IFERROR(Y10*INDEX('Project Info'!$I58:$M58,MATCH(Y$5,'Project Info'!$I$15:$M$15,0)),0)</f>
        <v>0</v>
      </c>
      <c r="Z71" s="135">
        <f>IFERROR(Z10*INDEX('Project Info'!$I58:$M58,MATCH(Z$5,'Project Info'!$I$15:$M$15,0)),0)</f>
        <v>0</v>
      </c>
      <c r="AA71" s="135">
        <f>IFERROR(AA10*INDEX('Project Info'!$I58:$M58,MATCH(AA$5,'Project Info'!$I$15:$M$15,0)),0)</f>
        <v>0</v>
      </c>
      <c r="AB71" s="134"/>
      <c r="AC71" s="135">
        <f t="shared" si="102"/>
        <v>0</v>
      </c>
      <c r="AD71" s="135">
        <f t="shared" si="102"/>
        <v>0</v>
      </c>
      <c r="AE71" s="135">
        <f t="shared" si="102"/>
        <v>0</v>
      </c>
      <c r="AF71" s="135">
        <f t="shared" si="102"/>
        <v>0</v>
      </c>
      <c r="AG71" s="135">
        <f t="shared" si="102"/>
        <v>0</v>
      </c>
      <c r="AH71" s="135">
        <f t="shared" si="102"/>
        <v>0</v>
      </c>
      <c r="AI71" s="135">
        <f t="shared" si="102"/>
        <v>0</v>
      </c>
      <c r="AJ71" s="135">
        <f t="shared" si="102"/>
        <v>0</v>
      </c>
      <c r="AK71" s="135">
        <f t="shared" si="102"/>
        <v>0</v>
      </c>
      <c r="AL71" s="135">
        <f t="shared" si="102"/>
        <v>0</v>
      </c>
      <c r="AM71" s="135">
        <f t="shared" si="102"/>
        <v>0</v>
      </c>
      <c r="AN71" s="135">
        <f t="shared" si="102"/>
        <v>0</v>
      </c>
      <c r="AO71" s="135">
        <f t="shared" si="102"/>
        <v>0</v>
      </c>
      <c r="AP71" s="135">
        <f t="shared" si="102"/>
        <v>0</v>
      </c>
      <c r="AQ71" s="135">
        <f t="shared" si="102"/>
        <v>0</v>
      </c>
      <c r="AR71" s="135">
        <f t="shared" si="102"/>
        <v>0</v>
      </c>
      <c r="AS71" s="134"/>
      <c r="AT71" s="135">
        <f t="shared" si="103"/>
        <v>0</v>
      </c>
      <c r="AU71" s="135">
        <f t="shared" si="103"/>
        <v>0</v>
      </c>
      <c r="AV71" s="135">
        <f t="shared" si="103"/>
        <v>0</v>
      </c>
      <c r="AW71" s="135">
        <f t="shared" si="103"/>
        <v>0</v>
      </c>
      <c r="AX71" s="135">
        <f t="shared" si="103"/>
        <v>0</v>
      </c>
      <c r="AY71" s="135">
        <f>SUM(AT71:AX71)</f>
        <v>0</v>
      </c>
      <c r="AZ71" s="137"/>
      <c r="BA71" s="137"/>
      <c r="BB71" s="134"/>
      <c r="BC71" s="137"/>
      <c r="BD71" s="137"/>
      <c r="BE71" s="137"/>
      <c r="BF71" s="137"/>
      <c r="BG71" s="137"/>
      <c r="BH71" s="137"/>
      <c r="BI71" s="137"/>
      <c r="BJ71" s="137"/>
      <c r="BK71" s="134"/>
      <c r="BL71" s="135">
        <f t="shared" si="104"/>
        <v>0</v>
      </c>
      <c r="BM71" s="135">
        <f t="shared" si="105"/>
        <v>0</v>
      </c>
      <c r="BN71" s="135">
        <f t="shared" si="106"/>
        <v>0</v>
      </c>
      <c r="BO71" s="135">
        <f t="shared" si="107"/>
        <v>0</v>
      </c>
      <c r="BP71" s="135">
        <f t="shared" si="108"/>
        <v>0</v>
      </c>
      <c r="BQ71" s="135">
        <f>SUM(BL71:BP71)</f>
        <v>0</v>
      </c>
      <c r="BR71" s="137"/>
      <c r="BS71" s="137"/>
    </row>
    <row r="72" spans="1:94">
      <c r="A72" s="105" t="str">
        <f t="shared" si="101"/>
        <v>Proposed Design</v>
      </c>
      <c r="B72" s="105"/>
      <c r="C72" s="131">
        <f>IFERROR(C12*INDEX('Project Info'!$I59:$M59,MATCH(C$5,'Project Info'!$I$15:$M$15,0)),0)</f>
        <v>4539.1577508543023</v>
      </c>
      <c r="D72" s="131">
        <f>IFERROR(D12*INDEX('Project Info'!$I59:$M59,MATCH(D$5,'Project Info'!$I$15:$M$15,0)),0)</f>
        <v>0</v>
      </c>
      <c r="E72" s="131">
        <f>IFERROR(E12*INDEX('Project Info'!$I59:$M59,MATCH(E$5,'Project Info'!$I$15:$M$15,0)),0)</f>
        <v>0</v>
      </c>
      <c r="F72" s="131">
        <f>IFERROR(F12*INDEX('Project Info'!$I59:$M59,MATCH(F$5,'Project Info'!$I$15:$M$15,0)),0)</f>
        <v>0</v>
      </c>
      <c r="G72" s="131">
        <f>IFERROR(G12*INDEX('Project Info'!$I59:$M59,MATCH(G$5,'Project Info'!$I$15:$M$15,0)),0)</f>
        <v>16917.411850627468</v>
      </c>
      <c r="H72" s="131">
        <f>IFERROR(H12*INDEX('Project Info'!$I59:$M59,MATCH(H$5,'Project Info'!$I$15:$M$15,0)),0)</f>
        <v>0</v>
      </c>
      <c r="I72" s="131">
        <f>IFERROR(I12*INDEX('Project Info'!$I59:$M59,MATCH(I$5,'Project Info'!$I$15:$M$15,0)),0)</f>
        <v>18159.458887384459</v>
      </c>
      <c r="J72" s="131">
        <f>IFERROR(J12*INDEX('Project Info'!$I59:$M59,MATCH(J$5,'Project Info'!$I$15:$M$15,0)),0)</f>
        <v>0</v>
      </c>
      <c r="K72" s="131">
        <f>IFERROR(K12*INDEX('Project Info'!$I59:$M59,MATCH(K$5,'Project Info'!$I$15:$M$15,0)),0)</f>
        <v>21321.841129613676</v>
      </c>
      <c r="L72" s="131">
        <f>IFERROR(L12*INDEX('Project Info'!$I59:$M59,MATCH(L$5,'Project Info'!$I$15:$M$15,0)),0)</f>
        <v>0</v>
      </c>
      <c r="M72" s="131">
        <f>IFERROR(M12*INDEX('Project Info'!$I59:$M59,MATCH(M$5,'Project Info'!$I$15:$M$15,0)),0)</f>
        <v>0</v>
      </c>
      <c r="N72" s="131">
        <f>IFERROR(N12*INDEX('Project Info'!$I59:$M59,MATCH(N$5,'Project Info'!$I$15:$M$15,0)),0)</f>
        <v>0</v>
      </c>
      <c r="O72" s="131">
        <f>IFERROR(O12*INDEX('Project Info'!$I59:$M59,MATCH(O$5,'Project Info'!$I$15:$M$15,0)),0)</f>
        <v>20695.969810148472</v>
      </c>
      <c r="P72" s="131">
        <f>IFERROR(P12*INDEX('Project Info'!$I59:$M59,MATCH(P$5,'Project Info'!$I$15:$M$15,0)),0)</f>
        <v>0</v>
      </c>
      <c r="Q72" s="131">
        <f>IFERROR(Q12*INDEX('Project Info'!$I59:$M59,MATCH(Q$5,'Project Info'!$I$15:$M$15,0)),0)</f>
        <v>0</v>
      </c>
      <c r="R72" s="131">
        <f>IFERROR(R12*INDEX('Project Info'!$I59:$M59,MATCH(R$5,'Project Info'!$I$15:$M$15,0)),0)</f>
        <v>0</v>
      </c>
      <c r="S72" s="131">
        <f>IFERROR(S12*INDEX('Project Info'!$I59:$M59,MATCH(S$5,'Project Info'!$I$15:$M$15,0)),0)</f>
        <v>0</v>
      </c>
      <c r="T72" s="131">
        <f>IFERROR(T12*INDEX('Project Info'!$I59:$M59,MATCH(T$5,'Project Info'!$I$15:$M$15,0)),0)</f>
        <v>0</v>
      </c>
      <c r="U72" s="131">
        <f>IFERROR(U12*INDEX('Project Info'!$I59:$M59,MATCH(U$5,'Project Info'!$I$15:$M$15,0)),0)</f>
        <v>0</v>
      </c>
      <c r="V72" s="131">
        <f>IFERROR(V12*INDEX('Project Info'!$I59:$M59,MATCH(V$5,'Project Info'!$I$15:$M$15,0)),0)</f>
        <v>0</v>
      </c>
      <c r="W72" s="131">
        <f>IFERROR(W12*INDEX('Project Info'!$I59:$M59,MATCH(W$5,'Project Info'!$I$15:$M$15,0)),0)</f>
        <v>0</v>
      </c>
      <c r="X72" s="131">
        <f>IFERROR(X12*INDEX('Project Info'!$I59:$M59,MATCH(X$5,'Project Info'!$I$15:$M$15,0)),0)</f>
        <v>0</v>
      </c>
      <c r="Y72" s="131">
        <f>IFERROR(Y12*INDEX('Project Info'!$I59:$M59,MATCH(Y$5,'Project Info'!$I$15:$M$15,0)),0)</f>
        <v>0</v>
      </c>
      <c r="Z72" s="131">
        <f>IFERROR(Z12*INDEX('Project Info'!$I59:$M59,MATCH(Z$5,'Project Info'!$I$15:$M$15,0)),0)</f>
        <v>0</v>
      </c>
      <c r="AA72" s="131">
        <f>IFERROR(AA12*INDEX('Project Info'!$I59:$M59,MATCH(AA$5,'Project Info'!$I$15:$M$15,0)),0)</f>
        <v>0</v>
      </c>
      <c r="AB72" s="105"/>
      <c r="AC72" s="131">
        <f t="shared" si="102"/>
        <v>4539.1577508543023</v>
      </c>
      <c r="AD72" s="131">
        <f t="shared" si="102"/>
        <v>16917.411850627468</v>
      </c>
      <c r="AE72" s="131">
        <f t="shared" si="102"/>
        <v>18159.458887384459</v>
      </c>
      <c r="AF72" s="131">
        <f t="shared" si="102"/>
        <v>0</v>
      </c>
      <c r="AG72" s="131">
        <f t="shared" si="102"/>
        <v>21321.841129613676</v>
      </c>
      <c r="AH72" s="131">
        <f t="shared" si="102"/>
        <v>0</v>
      </c>
      <c r="AI72" s="131">
        <f t="shared" si="102"/>
        <v>20695.969810148472</v>
      </c>
      <c r="AJ72" s="131">
        <f t="shared" si="102"/>
        <v>0</v>
      </c>
      <c r="AK72" s="131">
        <f t="shared" si="102"/>
        <v>0</v>
      </c>
      <c r="AL72" s="131">
        <f t="shared" si="102"/>
        <v>0</v>
      </c>
      <c r="AM72" s="131">
        <f t="shared" si="102"/>
        <v>0</v>
      </c>
      <c r="AN72" s="131">
        <f t="shared" si="102"/>
        <v>0</v>
      </c>
      <c r="AO72" s="131">
        <f t="shared" si="102"/>
        <v>0</v>
      </c>
      <c r="AP72" s="131">
        <f t="shared" si="102"/>
        <v>0</v>
      </c>
      <c r="AQ72" s="131">
        <f t="shared" si="102"/>
        <v>0</v>
      </c>
      <c r="AR72" s="131">
        <f t="shared" si="102"/>
        <v>0</v>
      </c>
      <c r="AS72" s="105"/>
      <c r="AT72" s="131">
        <f t="shared" si="103"/>
        <v>81633.839428628373</v>
      </c>
      <c r="AU72" s="131">
        <f t="shared" si="103"/>
        <v>0</v>
      </c>
      <c r="AV72" s="131">
        <f t="shared" si="103"/>
        <v>0</v>
      </c>
      <c r="AW72" s="131">
        <f t="shared" si="103"/>
        <v>0</v>
      </c>
      <c r="AX72" s="131">
        <f t="shared" si="103"/>
        <v>0</v>
      </c>
      <c r="AY72" s="131">
        <f t="shared" si="109"/>
        <v>81633.839428628373</v>
      </c>
      <c r="AZ72" s="132">
        <f>IFERROR(1-($AY72/$AY$69),0)</f>
        <v>0</v>
      </c>
      <c r="BA72" s="132">
        <f>IFERROR(1-($AY72/$AY$70),0)</f>
        <v>0</v>
      </c>
      <c r="BB72" s="105"/>
      <c r="BC72" s="131">
        <f>IFERROR(BC12*INDEX('Project Info'!$I59:$M59,MATCH(BC$5,'Project Info'!$I$15:$M$15,0)),0)</f>
        <v>0</v>
      </c>
      <c r="BD72" s="131">
        <f>IFERROR(BD12*INDEX('Project Info'!$I59:$M59,MATCH(BD$5,'Project Info'!$I$15:$M$15,0)),0)</f>
        <v>0</v>
      </c>
      <c r="BE72" s="131">
        <f>IFERROR(BE12*INDEX('Project Info'!$I59:$M59,MATCH(BE$5,'Project Info'!$I$15:$M$15,0)),0)</f>
        <v>0</v>
      </c>
      <c r="BF72" s="131">
        <f>IFERROR(BF12*INDEX('Project Info'!$I59:$M59,MATCH(BF$5,'Project Info'!$I$15:$M$15,0)),0)</f>
        <v>0</v>
      </c>
      <c r="BG72" s="131">
        <f>IFERROR(BG12*INDEX('Project Info'!$I59:$M59,MATCH(BG$5,'Project Info'!$I$15:$M$15,0)),0)</f>
        <v>0</v>
      </c>
      <c r="BH72" s="131">
        <f>IFERROR(BH12*INDEX('Project Info'!$I59:$M59,MATCH(BH$5,'Project Info'!$I$15:$M$15,0)),0)</f>
        <v>0</v>
      </c>
      <c r="BI72" s="91">
        <f>SUM(BC72:BH72)</f>
        <v>0</v>
      </c>
      <c r="BJ72" s="132">
        <f>IFERROR(BI72/AY72,0)</f>
        <v>0</v>
      </c>
      <c r="BK72" s="105"/>
      <c r="BL72" s="131">
        <f t="shared" si="104"/>
        <v>81633.839428628373</v>
      </c>
      <c r="BM72" s="131">
        <f t="shared" si="105"/>
        <v>0</v>
      </c>
      <c r="BN72" s="131">
        <f t="shared" si="106"/>
        <v>0</v>
      </c>
      <c r="BO72" s="131">
        <f t="shared" si="107"/>
        <v>0</v>
      </c>
      <c r="BP72" s="131">
        <f t="shared" si="108"/>
        <v>0</v>
      </c>
      <c r="BQ72" s="131">
        <f t="shared" si="110"/>
        <v>81633.839428628373</v>
      </c>
      <c r="BR72" s="132">
        <f t="shared" ref="BR72:BR81" si="111">IFERROR(1-($BQ72/$BQ$69),0)</f>
        <v>0</v>
      </c>
      <c r="BS72" s="132">
        <f t="shared" ref="BS72:BS81" si="112">IFERROR(1-($BQ72/$BQ$70),0)</f>
        <v>0</v>
      </c>
    </row>
    <row r="73" spans="1:94">
      <c r="A73" s="105" t="str">
        <f t="shared" si="101"/>
        <v xml:space="preserve"> </v>
      </c>
      <c r="B73" s="105"/>
      <c r="C73" s="91">
        <f>IFERROR(C13*INDEX('Project Info'!$I60:$M60,MATCH(C$5,'Project Info'!$I$15:$M$15,0)),0)</f>
        <v>0</v>
      </c>
      <c r="D73" s="91">
        <f>IFERROR(D13*INDEX('Project Info'!$I60:$M60,MATCH(D$5,'Project Info'!$I$15:$M$15,0)),0)</f>
        <v>0</v>
      </c>
      <c r="E73" s="91">
        <f>IFERROR(E13*INDEX('Project Info'!$I60:$M60,MATCH(E$5,'Project Info'!$I$15:$M$15,0)),0)</f>
        <v>0</v>
      </c>
      <c r="F73" s="91">
        <f>IFERROR(F13*INDEX('Project Info'!$I60:$M60,MATCH(F$5,'Project Info'!$I$15:$M$15,0)),0)</f>
        <v>0</v>
      </c>
      <c r="G73" s="91">
        <f>IFERROR(G13*INDEX('Project Info'!$I60:$M60,MATCH(G$5,'Project Info'!$I$15:$M$15,0)),0)</f>
        <v>0</v>
      </c>
      <c r="H73" s="91">
        <f>IFERROR(H13*INDEX('Project Info'!$I60:$M60,MATCH(H$5,'Project Info'!$I$15:$M$15,0)),0)</f>
        <v>0</v>
      </c>
      <c r="I73" s="91">
        <f>IFERROR(I13*INDEX('Project Info'!$I60:$M60,MATCH(I$5,'Project Info'!$I$15:$M$15,0)),0)</f>
        <v>0</v>
      </c>
      <c r="J73" s="91">
        <f>IFERROR(J13*INDEX('Project Info'!$I60:$M60,MATCH(J$5,'Project Info'!$I$15:$M$15,0)),0)</f>
        <v>0</v>
      </c>
      <c r="K73" s="91">
        <f>IFERROR(K13*INDEX('Project Info'!$I60:$M60,MATCH(K$5,'Project Info'!$I$15:$M$15,0)),0)</f>
        <v>0</v>
      </c>
      <c r="L73" s="91">
        <f>IFERROR(L13*INDEX('Project Info'!$I60:$M60,MATCH(L$5,'Project Info'!$I$15:$M$15,0)),0)</f>
        <v>0</v>
      </c>
      <c r="M73" s="91">
        <f>IFERROR(M13*INDEX('Project Info'!$I60:$M60,MATCH(M$5,'Project Info'!$I$15:$M$15,0)),0)</f>
        <v>0</v>
      </c>
      <c r="N73" s="91">
        <f>IFERROR(N13*INDEX('Project Info'!$I60:$M60,MATCH(N$5,'Project Info'!$I$15:$M$15,0)),0)</f>
        <v>0</v>
      </c>
      <c r="O73" s="91">
        <f>IFERROR(O13*INDEX('Project Info'!$I60:$M60,MATCH(O$5,'Project Info'!$I$15:$M$15,0)),0)</f>
        <v>0</v>
      </c>
      <c r="P73" s="91">
        <f>IFERROR(P13*INDEX('Project Info'!$I60:$M60,MATCH(P$5,'Project Info'!$I$15:$M$15,0)),0)</f>
        <v>0</v>
      </c>
      <c r="Q73" s="91">
        <f>IFERROR(Q13*INDEX('Project Info'!$I60:$M60,MATCH(Q$5,'Project Info'!$I$15:$M$15,0)),0)</f>
        <v>0</v>
      </c>
      <c r="R73" s="91">
        <f>IFERROR(R13*INDEX('Project Info'!$I60:$M60,MATCH(R$5,'Project Info'!$I$15:$M$15,0)),0)</f>
        <v>0</v>
      </c>
      <c r="S73" s="91">
        <f>IFERROR(S13*INDEX('Project Info'!$I60:$M60,MATCH(S$5,'Project Info'!$I$15:$M$15,0)),0)</f>
        <v>0</v>
      </c>
      <c r="T73" s="91">
        <f>IFERROR(T13*INDEX('Project Info'!$I60:$M60,MATCH(T$5,'Project Info'!$I$15:$M$15,0)),0)</f>
        <v>0</v>
      </c>
      <c r="U73" s="91">
        <f>IFERROR(U13*INDEX('Project Info'!$I60:$M60,MATCH(U$5,'Project Info'!$I$15:$M$15,0)),0)</f>
        <v>0</v>
      </c>
      <c r="V73" s="91">
        <f>IFERROR(V13*INDEX('Project Info'!$I60:$M60,MATCH(V$5,'Project Info'!$I$15:$M$15,0)),0)</f>
        <v>0</v>
      </c>
      <c r="W73" s="91">
        <f>IFERROR(W13*INDEX('Project Info'!$I60:$M60,MATCH(W$5,'Project Info'!$I$15:$M$15,0)),0)</f>
        <v>0</v>
      </c>
      <c r="X73" s="91">
        <f>IFERROR(X13*INDEX('Project Info'!$I60:$M60,MATCH(X$5,'Project Info'!$I$15:$M$15,0)),0)</f>
        <v>0</v>
      </c>
      <c r="Y73" s="91">
        <f>IFERROR(Y13*INDEX('Project Info'!$I60:$M60,MATCH(Y$5,'Project Info'!$I$15:$M$15,0)),0)</f>
        <v>0</v>
      </c>
      <c r="Z73" s="91">
        <f>IFERROR(Z13*INDEX('Project Info'!$I60:$M60,MATCH(Z$5,'Project Info'!$I$15:$M$15,0)),0)</f>
        <v>0</v>
      </c>
      <c r="AA73" s="91">
        <f>IFERROR(AA13*INDEX('Project Info'!$I60:$M60,MATCH(AA$5,'Project Info'!$I$15:$M$15,0)),0)</f>
        <v>0</v>
      </c>
      <c r="AB73" s="105"/>
      <c r="AC73" s="91">
        <f t="shared" si="102"/>
        <v>0</v>
      </c>
      <c r="AD73" s="91">
        <f t="shared" si="102"/>
        <v>0</v>
      </c>
      <c r="AE73" s="91">
        <f t="shared" si="102"/>
        <v>0</v>
      </c>
      <c r="AF73" s="91">
        <f t="shared" si="102"/>
        <v>0</v>
      </c>
      <c r="AG73" s="91">
        <f t="shared" si="102"/>
        <v>0</v>
      </c>
      <c r="AH73" s="91">
        <f t="shared" si="102"/>
        <v>0</v>
      </c>
      <c r="AI73" s="91">
        <f t="shared" si="102"/>
        <v>0</v>
      </c>
      <c r="AJ73" s="91">
        <f t="shared" si="102"/>
        <v>0</v>
      </c>
      <c r="AK73" s="91">
        <f t="shared" si="102"/>
        <v>0</v>
      </c>
      <c r="AL73" s="91">
        <f t="shared" si="102"/>
        <v>0</v>
      </c>
      <c r="AM73" s="91">
        <f t="shared" si="102"/>
        <v>0</v>
      </c>
      <c r="AN73" s="91">
        <f t="shared" si="102"/>
        <v>0</v>
      </c>
      <c r="AO73" s="91">
        <f t="shared" si="102"/>
        <v>0</v>
      </c>
      <c r="AP73" s="91">
        <f t="shared" si="102"/>
        <v>0</v>
      </c>
      <c r="AQ73" s="91">
        <f t="shared" si="102"/>
        <v>0</v>
      </c>
      <c r="AR73" s="91">
        <f t="shared" si="102"/>
        <v>0</v>
      </c>
      <c r="AS73" s="105"/>
      <c r="AT73" s="91">
        <f t="shared" si="103"/>
        <v>0</v>
      </c>
      <c r="AU73" s="91">
        <f t="shared" si="103"/>
        <v>0</v>
      </c>
      <c r="AV73" s="91">
        <f t="shared" si="103"/>
        <v>0</v>
      </c>
      <c r="AW73" s="91">
        <f t="shared" si="103"/>
        <v>0</v>
      </c>
      <c r="AX73" s="91">
        <f t="shared" si="103"/>
        <v>0</v>
      </c>
      <c r="AY73" s="91">
        <f t="shared" si="109"/>
        <v>0</v>
      </c>
      <c r="AZ73" s="132">
        <f t="shared" ref="AZ73:AZ81" si="113">IFERROR(1-($AY73/$AY$69),0)</f>
        <v>1</v>
      </c>
      <c r="BA73" s="132">
        <f t="shared" ref="BA73:BA81" si="114">IFERROR(1-($AY73/$AY$70),0)</f>
        <v>0</v>
      </c>
      <c r="BB73" s="105"/>
      <c r="BC73" s="131">
        <f>IFERROR(BC13*INDEX('Project Info'!$I60:$M60,MATCH(BC$5,'Project Info'!$I$15:$M$15,0)),0)</f>
        <v>0</v>
      </c>
      <c r="BD73" s="131">
        <f>IFERROR(BD13*INDEX('Project Info'!$I60:$M60,MATCH(BD$5,'Project Info'!$I$15:$M$15,0)),0)</f>
        <v>0</v>
      </c>
      <c r="BE73" s="131">
        <f>IFERROR(BE13*INDEX('Project Info'!$I60:$M60,MATCH(BE$5,'Project Info'!$I$15:$M$15,0)),0)</f>
        <v>0</v>
      </c>
      <c r="BF73" s="131">
        <f>IFERROR(BF13*INDEX('Project Info'!$I60:$M60,MATCH(BF$5,'Project Info'!$I$15:$M$15,0)),0)</f>
        <v>0</v>
      </c>
      <c r="BG73" s="131">
        <f>IFERROR(BG13*INDEX('Project Info'!$I60:$M60,MATCH(BG$5,'Project Info'!$I$15:$M$15,0)),0)</f>
        <v>0</v>
      </c>
      <c r="BH73" s="131">
        <f>IFERROR(BH13*INDEX('Project Info'!$I60:$M60,MATCH(BH$5,'Project Info'!$I$15:$M$15,0)),0)</f>
        <v>0</v>
      </c>
      <c r="BI73" s="91">
        <f t="shared" ref="BI73:BI81" si="115">SUM(BC73:BH73)</f>
        <v>0</v>
      </c>
      <c r="BJ73" s="132">
        <f t="shared" ref="BJ73:BJ81" si="116">IFERROR(BI73/AY73,0)</f>
        <v>0</v>
      </c>
      <c r="BK73" s="105"/>
      <c r="BL73" s="91">
        <f t="shared" si="104"/>
        <v>0</v>
      </c>
      <c r="BM73" s="91">
        <f t="shared" si="105"/>
        <v>0</v>
      </c>
      <c r="BN73" s="91">
        <f t="shared" si="106"/>
        <v>0</v>
      </c>
      <c r="BO73" s="91">
        <f t="shared" si="107"/>
        <v>0</v>
      </c>
      <c r="BP73" s="91">
        <f t="shared" si="108"/>
        <v>0</v>
      </c>
      <c r="BQ73" s="91">
        <f t="shared" si="110"/>
        <v>0</v>
      </c>
      <c r="BR73" s="111">
        <f t="shared" si="111"/>
        <v>1</v>
      </c>
      <c r="BS73" s="111">
        <f t="shared" si="112"/>
        <v>0</v>
      </c>
    </row>
    <row r="74" spans="1:94">
      <c r="A74" s="105" t="str">
        <f t="shared" si="101"/>
        <v xml:space="preserve"> </v>
      </c>
      <c r="B74" s="105"/>
      <c r="C74" s="91">
        <f>IFERROR(C14*INDEX('Project Info'!$I61:$M61,MATCH(C$5,'Project Info'!$I$15:$M$15,0)),0)</f>
        <v>0</v>
      </c>
      <c r="D74" s="91">
        <f>IFERROR(D14*INDEX('Project Info'!$I61:$M61,MATCH(D$5,'Project Info'!$I$15:$M$15,0)),0)</f>
        <v>0</v>
      </c>
      <c r="E74" s="91">
        <f>IFERROR(E14*INDEX('Project Info'!$I61:$M61,MATCH(E$5,'Project Info'!$I$15:$M$15,0)),0)</f>
        <v>0</v>
      </c>
      <c r="F74" s="91">
        <f>IFERROR(F14*INDEX('Project Info'!$I61:$M61,MATCH(F$5,'Project Info'!$I$15:$M$15,0)),0)</f>
        <v>0</v>
      </c>
      <c r="G74" s="91">
        <f>IFERROR(G14*INDEX('Project Info'!$I61:$M61,MATCH(G$5,'Project Info'!$I$15:$M$15,0)),0)</f>
        <v>0</v>
      </c>
      <c r="H74" s="91">
        <f>IFERROR(H14*INDEX('Project Info'!$I61:$M61,MATCH(H$5,'Project Info'!$I$15:$M$15,0)),0)</f>
        <v>0</v>
      </c>
      <c r="I74" s="91">
        <f>IFERROR(I14*INDEX('Project Info'!$I61:$M61,MATCH(I$5,'Project Info'!$I$15:$M$15,0)),0)</f>
        <v>0</v>
      </c>
      <c r="J74" s="91">
        <f>IFERROR(J14*INDEX('Project Info'!$I61:$M61,MATCH(J$5,'Project Info'!$I$15:$M$15,0)),0)</f>
        <v>0</v>
      </c>
      <c r="K74" s="91">
        <f>IFERROR(K14*INDEX('Project Info'!$I61:$M61,MATCH(K$5,'Project Info'!$I$15:$M$15,0)),0)</f>
        <v>0</v>
      </c>
      <c r="L74" s="91">
        <f>IFERROR(L14*INDEX('Project Info'!$I61:$M61,MATCH(L$5,'Project Info'!$I$15:$M$15,0)),0)</f>
        <v>0</v>
      </c>
      <c r="M74" s="91">
        <f>IFERROR(M14*INDEX('Project Info'!$I61:$M61,MATCH(M$5,'Project Info'!$I$15:$M$15,0)),0)</f>
        <v>0</v>
      </c>
      <c r="N74" s="91">
        <f>IFERROR(N14*INDEX('Project Info'!$I61:$M61,MATCH(N$5,'Project Info'!$I$15:$M$15,0)),0)</f>
        <v>0</v>
      </c>
      <c r="O74" s="91">
        <f>IFERROR(O14*INDEX('Project Info'!$I61:$M61,MATCH(O$5,'Project Info'!$I$15:$M$15,0)),0)</f>
        <v>0</v>
      </c>
      <c r="P74" s="91">
        <f>IFERROR(P14*INDEX('Project Info'!$I61:$M61,MATCH(P$5,'Project Info'!$I$15:$M$15,0)),0)</f>
        <v>0</v>
      </c>
      <c r="Q74" s="91">
        <f>IFERROR(Q14*INDEX('Project Info'!$I61:$M61,MATCH(Q$5,'Project Info'!$I$15:$M$15,0)),0)</f>
        <v>0</v>
      </c>
      <c r="R74" s="91">
        <f>IFERROR(R14*INDEX('Project Info'!$I61:$M61,MATCH(R$5,'Project Info'!$I$15:$M$15,0)),0)</f>
        <v>0</v>
      </c>
      <c r="S74" s="91">
        <f>IFERROR(S14*INDEX('Project Info'!$I61:$M61,MATCH(S$5,'Project Info'!$I$15:$M$15,0)),0)</f>
        <v>0</v>
      </c>
      <c r="T74" s="91">
        <f>IFERROR(T14*INDEX('Project Info'!$I61:$M61,MATCH(T$5,'Project Info'!$I$15:$M$15,0)),0)</f>
        <v>0</v>
      </c>
      <c r="U74" s="91">
        <f>IFERROR(U14*INDEX('Project Info'!$I61:$M61,MATCH(U$5,'Project Info'!$I$15:$M$15,0)),0)</f>
        <v>0</v>
      </c>
      <c r="V74" s="91">
        <f>IFERROR(V14*INDEX('Project Info'!$I61:$M61,MATCH(V$5,'Project Info'!$I$15:$M$15,0)),0)</f>
        <v>0</v>
      </c>
      <c r="W74" s="91">
        <f>IFERROR(W14*INDEX('Project Info'!$I61:$M61,MATCH(W$5,'Project Info'!$I$15:$M$15,0)),0)</f>
        <v>0</v>
      </c>
      <c r="X74" s="91">
        <f>IFERROR(X14*INDEX('Project Info'!$I61:$M61,MATCH(X$5,'Project Info'!$I$15:$M$15,0)),0)</f>
        <v>0</v>
      </c>
      <c r="Y74" s="91">
        <f>IFERROR(Y14*INDEX('Project Info'!$I61:$M61,MATCH(Y$5,'Project Info'!$I$15:$M$15,0)),0)</f>
        <v>0</v>
      </c>
      <c r="Z74" s="91">
        <f>IFERROR(Z14*INDEX('Project Info'!$I61:$M61,MATCH(Z$5,'Project Info'!$I$15:$M$15,0)),0)</f>
        <v>0</v>
      </c>
      <c r="AA74" s="91">
        <f>IFERROR(AA14*INDEX('Project Info'!$I61:$M61,MATCH(AA$5,'Project Info'!$I$15:$M$15,0)),0)</f>
        <v>0</v>
      </c>
      <c r="AB74" s="105"/>
      <c r="AC74" s="91">
        <f t="shared" si="102"/>
        <v>0</v>
      </c>
      <c r="AD74" s="91">
        <f t="shared" si="102"/>
        <v>0</v>
      </c>
      <c r="AE74" s="91">
        <f t="shared" si="102"/>
        <v>0</v>
      </c>
      <c r="AF74" s="91">
        <f t="shared" si="102"/>
        <v>0</v>
      </c>
      <c r="AG74" s="91">
        <f t="shared" si="102"/>
        <v>0</v>
      </c>
      <c r="AH74" s="91">
        <f t="shared" si="102"/>
        <v>0</v>
      </c>
      <c r="AI74" s="91">
        <f t="shared" si="102"/>
        <v>0</v>
      </c>
      <c r="AJ74" s="91">
        <f t="shared" si="102"/>
        <v>0</v>
      </c>
      <c r="AK74" s="91">
        <f t="shared" si="102"/>
        <v>0</v>
      </c>
      <c r="AL74" s="91">
        <f t="shared" si="102"/>
        <v>0</v>
      </c>
      <c r="AM74" s="91">
        <f t="shared" si="102"/>
        <v>0</v>
      </c>
      <c r="AN74" s="91">
        <f t="shared" si="102"/>
        <v>0</v>
      </c>
      <c r="AO74" s="91">
        <f t="shared" si="102"/>
        <v>0</v>
      </c>
      <c r="AP74" s="91">
        <f t="shared" si="102"/>
        <v>0</v>
      </c>
      <c r="AQ74" s="91">
        <f t="shared" si="102"/>
        <v>0</v>
      </c>
      <c r="AR74" s="91">
        <f t="shared" si="102"/>
        <v>0</v>
      </c>
      <c r="AS74" s="105"/>
      <c r="AT74" s="91">
        <f t="shared" si="103"/>
        <v>0</v>
      </c>
      <c r="AU74" s="91">
        <f t="shared" si="103"/>
        <v>0</v>
      </c>
      <c r="AV74" s="91">
        <f t="shared" si="103"/>
        <v>0</v>
      </c>
      <c r="AW74" s="91">
        <f t="shared" si="103"/>
        <v>0</v>
      </c>
      <c r="AX74" s="91">
        <f t="shared" si="103"/>
        <v>0</v>
      </c>
      <c r="AY74" s="91">
        <f t="shared" si="109"/>
        <v>0</v>
      </c>
      <c r="AZ74" s="132">
        <f t="shared" si="113"/>
        <v>1</v>
      </c>
      <c r="BA74" s="132">
        <f t="shared" si="114"/>
        <v>0</v>
      </c>
      <c r="BB74" s="105"/>
      <c r="BC74" s="131">
        <f>IFERROR(BC14*INDEX('Project Info'!$I61:$M61,MATCH(BC$5,'Project Info'!$I$15:$M$15,0)),0)</f>
        <v>0</v>
      </c>
      <c r="BD74" s="131">
        <f>IFERROR(BD14*INDEX('Project Info'!$I61:$M61,MATCH(BD$5,'Project Info'!$I$15:$M$15,0)),0)</f>
        <v>0</v>
      </c>
      <c r="BE74" s="131">
        <f>IFERROR(BE14*INDEX('Project Info'!$I61:$M61,MATCH(BE$5,'Project Info'!$I$15:$M$15,0)),0)</f>
        <v>0</v>
      </c>
      <c r="BF74" s="131">
        <f>IFERROR(BF14*INDEX('Project Info'!$I61:$M61,MATCH(BF$5,'Project Info'!$I$15:$M$15,0)),0)</f>
        <v>0</v>
      </c>
      <c r="BG74" s="131">
        <f>IFERROR(BG14*INDEX('Project Info'!$I61:$M61,MATCH(BG$5,'Project Info'!$I$15:$M$15,0)),0)</f>
        <v>0</v>
      </c>
      <c r="BH74" s="131">
        <f>IFERROR(BH14*INDEX('Project Info'!$I61:$M61,MATCH(BH$5,'Project Info'!$I$15:$M$15,0)),0)</f>
        <v>0</v>
      </c>
      <c r="BI74" s="91">
        <f t="shared" si="115"/>
        <v>0</v>
      </c>
      <c r="BJ74" s="132">
        <f t="shared" si="116"/>
        <v>0</v>
      </c>
      <c r="BK74" s="105"/>
      <c r="BL74" s="91">
        <f t="shared" si="104"/>
        <v>0</v>
      </c>
      <c r="BM74" s="91">
        <f t="shared" si="105"/>
        <v>0</v>
      </c>
      <c r="BN74" s="91">
        <f t="shared" si="106"/>
        <v>0</v>
      </c>
      <c r="BO74" s="91">
        <f t="shared" si="107"/>
        <v>0</v>
      </c>
      <c r="BP74" s="91">
        <f t="shared" si="108"/>
        <v>0</v>
      </c>
      <c r="BQ74" s="91">
        <f t="shared" si="110"/>
        <v>0</v>
      </c>
      <c r="BR74" s="111">
        <f t="shared" si="111"/>
        <v>1</v>
      </c>
      <c r="BS74" s="111">
        <f t="shared" si="112"/>
        <v>0</v>
      </c>
    </row>
    <row r="75" spans="1:94">
      <c r="A75" s="105" t="str">
        <f t="shared" si="101"/>
        <v xml:space="preserve"> </v>
      </c>
      <c r="B75" s="105"/>
      <c r="C75" s="91">
        <f>IFERROR(C15*INDEX('Project Info'!$I62:$M62,MATCH(C$5,'Project Info'!$I$15:$M$15,0)),0)</f>
        <v>0</v>
      </c>
      <c r="D75" s="91">
        <f>IFERROR(D15*INDEX('Project Info'!$I62:$M62,MATCH(D$5,'Project Info'!$I$15:$M$15,0)),0)</f>
        <v>0</v>
      </c>
      <c r="E75" s="91">
        <f>IFERROR(E15*INDEX('Project Info'!$I62:$M62,MATCH(E$5,'Project Info'!$I$15:$M$15,0)),0)</f>
        <v>0</v>
      </c>
      <c r="F75" s="91">
        <f>IFERROR(F15*INDEX('Project Info'!$I62:$M62,MATCH(F$5,'Project Info'!$I$15:$M$15,0)),0)</f>
        <v>0</v>
      </c>
      <c r="G75" s="91">
        <f>IFERROR(G15*INDEX('Project Info'!$I62:$M62,MATCH(G$5,'Project Info'!$I$15:$M$15,0)),0)</f>
        <v>0</v>
      </c>
      <c r="H75" s="91">
        <f>IFERROR(H15*INDEX('Project Info'!$I62:$M62,MATCH(H$5,'Project Info'!$I$15:$M$15,0)),0)</f>
        <v>0</v>
      </c>
      <c r="I75" s="91">
        <f>IFERROR(I15*INDEX('Project Info'!$I62:$M62,MATCH(I$5,'Project Info'!$I$15:$M$15,0)),0)</f>
        <v>0</v>
      </c>
      <c r="J75" s="91">
        <f>IFERROR(J15*INDEX('Project Info'!$I62:$M62,MATCH(J$5,'Project Info'!$I$15:$M$15,0)),0)</f>
        <v>0</v>
      </c>
      <c r="K75" s="91">
        <f>IFERROR(K15*INDEX('Project Info'!$I62:$M62,MATCH(K$5,'Project Info'!$I$15:$M$15,0)),0)</f>
        <v>0</v>
      </c>
      <c r="L75" s="91">
        <f>IFERROR(L15*INDEX('Project Info'!$I62:$M62,MATCH(L$5,'Project Info'!$I$15:$M$15,0)),0)</f>
        <v>0</v>
      </c>
      <c r="M75" s="91">
        <f>IFERROR(M15*INDEX('Project Info'!$I62:$M62,MATCH(M$5,'Project Info'!$I$15:$M$15,0)),0)</f>
        <v>0</v>
      </c>
      <c r="N75" s="91">
        <f>IFERROR(N15*INDEX('Project Info'!$I62:$M62,MATCH(N$5,'Project Info'!$I$15:$M$15,0)),0)</f>
        <v>0</v>
      </c>
      <c r="O75" s="91">
        <f>IFERROR(O15*INDEX('Project Info'!$I62:$M62,MATCH(O$5,'Project Info'!$I$15:$M$15,0)),0)</f>
        <v>0</v>
      </c>
      <c r="P75" s="91">
        <f>IFERROR(P15*INDEX('Project Info'!$I62:$M62,MATCH(P$5,'Project Info'!$I$15:$M$15,0)),0)</f>
        <v>0</v>
      </c>
      <c r="Q75" s="91">
        <f>IFERROR(Q15*INDEX('Project Info'!$I62:$M62,MATCH(Q$5,'Project Info'!$I$15:$M$15,0)),0)</f>
        <v>0</v>
      </c>
      <c r="R75" s="91">
        <f>IFERROR(R15*INDEX('Project Info'!$I62:$M62,MATCH(R$5,'Project Info'!$I$15:$M$15,0)),0)</f>
        <v>0</v>
      </c>
      <c r="S75" s="91">
        <f>IFERROR(S15*INDEX('Project Info'!$I62:$M62,MATCH(S$5,'Project Info'!$I$15:$M$15,0)),0)</f>
        <v>0</v>
      </c>
      <c r="T75" s="91">
        <f>IFERROR(T15*INDEX('Project Info'!$I62:$M62,MATCH(T$5,'Project Info'!$I$15:$M$15,0)),0)</f>
        <v>0</v>
      </c>
      <c r="U75" s="91">
        <f>IFERROR(U15*INDEX('Project Info'!$I62:$M62,MATCH(U$5,'Project Info'!$I$15:$M$15,0)),0)</f>
        <v>0</v>
      </c>
      <c r="V75" s="91">
        <f>IFERROR(V15*INDEX('Project Info'!$I62:$M62,MATCH(V$5,'Project Info'!$I$15:$M$15,0)),0)</f>
        <v>0</v>
      </c>
      <c r="W75" s="91">
        <f>IFERROR(W15*INDEX('Project Info'!$I62:$M62,MATCH(W$5,'Project Info'!$I$15:$M$15,0)),0)</f>
        <v>0</v>
      </c>
      <c r="X75" s="91">
        <f>IFERROR(X15*INDEX('Project Info'!$I62:$M62,MATCH(X$5,'Project Info'!$I$15:$M$15,0)),0)</f>
        <v>0</v>
      </c>
      <c r="Y75" s="91">
        <f>IFERROR(Y15*INDEX('Project Info'!$I62:$M62,MATCH(Y$5,'Project Info'!$I$15:$M$15,0)),0)</f>
        <v>0</v>
      </c>
      <c r="Z75" s="91">
        <f>IFERROR(Z15*INDEX('Project Info'!$I62:$M62,MATCH(Z$5,'Project Info'!$I$15:$M$15,0)),0)</f>
        <v>0</v>
      </c>
      <c r="AA75" s="91">
        <f>IFERROR(AA15*INDEX('Project Info'!$I62:$M62,MATCH(AA$5,'Project Info'!$I$15:$M$15,0)),0)</f>
        <v>0</v>
      </c>
      <c r="AB75" s="105"/>
      <c r="AC75" s="91">
        <f t="shared" si="102"/>
        <v>0</v>
      </c>
      <c r="AD75" s="91">
        <f t="shared" si="102"/>
        <v>0</v>
      </c>
      <c r="AE75" s="91">
        <f t="shared" si="102"/>
        <v>0</v>
      </c>
      <c r="AF75" s="91">
        <f t="shared" si="102"/>
        <v>0</v>
      </c>
      <c r="AG75" s="91">
        <f t="shared" si="102"/>
        <v>0</v>
      </c>
      <c r="AH75" s="91">
        <f t="shared" si="102"/>
        <v>0</v>
      </c>
      <c r="AI75" s="91">
        <f t="shared" si="102"/>
        <v>0</v>
      </c>
      <c r="AJ75" s="91">
        <f t="shared" si="102"/>
        <v>0</v>
      </c>
      <c r="AK75" s="91">
        <f t="shared" si="102"/>
        <v>0</v>
      </c>
      <c r="AL75" s="91">
        <f t="shared" si="102"/>
        <v>0</v>
      </c>
      <c r="AM75" s="91">
        <f t="shared" si="102"/>
        <v>0</v>
      </c>
      <c r="AN75" s="91">
        <f t="shared" si="102"/>
        <v>0</v>
      </c>
      <c r="AO75" s="91">
        <f t="shared" si="102"/>
        <v>0</v>
      </c>
      <c r="AP75" s="91">
        <f t="shared" si="102"/>
        <v>0</v>
      </c>
      <c r="AQ75" s="91">
        <f t="shared" si="102"/>
        <v>0</v>
      </c>
      <c r="AR75" s="91">
        <f t="shared" si="102"/>
        <v>0</v>
      </c>
      <c r="AS75" s="105"/>
      <c r="AT75" s="91">
        <f t="shared" si="103"/>
        <v>0</v>
      </c>
      <c r="AU75" s="91">
        <f t="shared" si="103"/>
        <v>0</v>
      </c>
      <c r="AV75" s="91">
        <f t="shared" si="103"/>
        <v>0</v>
      </c>
      <c r="AW75" s="91">
        <f t="shared" si="103"/>
        <v>0</v>
      </c>
      <c r="AX75" s="91">
        <f t="shared" si="103"/>
        <v>0</v>
      </c>
      <c r="AY75" s="91">
        <f t="shared" si="109"/>
        <v>0</v>
      </c>
      <c r="AZ75" s="132">
        <f t="shared" si="113"/>
        <v>1</v>
      </c>
      <c r="BA75" s="132">
        <f t="shared" si="114"/>
        <v>0</v>
      </c>
      <c r="BB75" s="105"/>
      <c r="BC75" s="131">
        <f>IFERROR(BC15*INDEX('Project Info'!$I62:$M62,MATCH(BC$5,'Project Info'!$I$15:$M$15,0)),0)</f>
        <v>0</v>
      </c>
      <c r="BD75" s="131">
        <f>IFERROR(BD15*INDEX('Project Info'!$I62:$M62,MATCH(BD$5,'Project Info'!$I$15:$M$15,0)),0)</f>
        <v>0</v>
      </c>
      <c r="BE75" s="131">
        <f>IFERROR(BE15*INDEX('Project Info'!$I62:$M62,MATCH(BE$5,'Project Info'!$I$15:$M$15,0)),0)</f>
        <v>0</v>
      </c>
      <c r="BF75" s="131">
        <f>IFERROR(BF15*INDEX('Project Info'!$I62:$M62,MATCH(BF$5,'Project Info'!$I$15:$M$15,0)),0)</f>
        <v>0</v>
      </c>
      <c r="BG75" s="131">
        <f>IFERROR(BG15*INDEX('Project Info'!$I62:$M62,MATCH(BG$5,'Project Info'!$I$15:$M$15,0)),0)</f>
        <v>0</v>
      </c>
      <c r="BH75" s="131">
        <f>IFERROR(BH15*INDEX('Project Info'!$I62:$M62,MATCH(BH$5,'Project Info'!$I$15:$M$15,0)),0)</f>
        <v>0</v>
      </c>
      <c r="BI75" s="91">
        <f t="shared" si="115"/>
        <v>0</v>
      </c>
      <c r="BJ75" s="132">
        <f t="shared" si="116"/>
        <v>0</v>
      </c>
      <c r="BK75" s="105"/>
      <c r="BL75" s="91">
        <f t="shared" si="104"/>
        <v>0</v>
      </c>
      <c r="BM75" s="91">
        <f t="shared" si="105"/>
        <v>0</v>
      </c>
      <c r="BN75" s="91">
        <f t="shared" si="106"/>
        <v>0</v>
      </c>
      <c r="BO75" s="91">
        <f t="shared" si="107"/>
        <v>0</v>
      </c>
      <c r="BP75" s="91">
        <f t="shared" si="108"/>
        <v>0</v>
      </c>
      <c r="BQ75" s="91">
        <f t="shared" si="110"/>
        <v>0</v>
      </c>
      <c r="BR75" s="111">
        <f t="shared" si="111"/>
        <v>1</v>
      </c>
      <c r="BS75" s="111">
        <f t="shared" si="112"/>
        <v>0</v>
      </c>
    </row>
    <row r="76" spans="1:94">
      <c r="A76" s="105" t="str">
        <f t="shared" si="101"/>
        <v xml:space="preserve"> </v>
      </c>
      <c r="B76" s="105"/>
      <c r="C76" s="91">
        <f>IFERROR(C16*INDEX('Project Info'!$I63:$M63,MATCH(C$5,'Project Info'!$I$15:$M$15,0)),0)</f>
        <v>0</v>
      </c>
      <c r="D76" s="91">
        <f>IFERROR(D16*INDEX('Project Info'!$I63:$M63,MATCH(D$5,'Project Info'!$I$15:$M$15,0)),0)</f>
        <v>0</v>
      </c>
      <c r="E76" s="91">
        <f>IFERROR(E16*INDEX('Project Info'!$I63:$M63,MATCH(E$5,'Project Info'!$I$15:$M$15,0)),0)</f>
        <v>0</v>
      </c>
      <c r="F76" s="91">
        <f>IFERROR(F16*INDEX('Project Info'!$I63:$M63,MATCH(F$5,'Project Info'!$I$15:$M$15,0)),0)</f>
        <v>0</v>
      </c>
      <c r="G76" s="91">
        <f>IFERROR(G16*INDEX('Project Info'!$I63:$M63,MATCH(G$5,'Project Info'!$I$15:$M$15,0)),0)</f>
        <v>0</v>
      </c>
      <c r="H76" s="91">
        <f>IFERROR(H16*INDEX('Project Info'!$I63:$M63,MATCH(H$5,'Project Info'!$I$15:$M$15,0)),0)</f>
        <v>0</v>
      </c>
      <c r="I76" s="91">
        <f>IFERROR(I16*INDEX('Project Info'!$I63:$M63,MATCH(I$5,'Project Info'!$I$15:$M$15,0)),0)</f>
        <v>0</v>
      </c>
      <c r="J76" s="91">
        <f>IFERROR(J16*INDEX('Project Info'!$I63:$M63,MATCH(J$5,'Project Info'!$I$15:$M$15,0)),0)</f>
        <v>0</v>
      </c>
      <c r="K76" s="91">
        <f>IFERROR(K16*INDEX('Project Info'!$I63:$M63,MATCH(K$5,'Project Info'!$I$15:$M$15,0)),0)</f>
        <v>0</v>
      </c>
      <c r="L76" s="91">
        <f>IFERROR(L16*INDEX('Project Info'!$I63:$M63,MATCH(L$5,'Project Info'!$I$15:$M$15,0)),0)</f>
        <v>0</v>
      </c>
      <c r="M76" s="91">
        <f>IFERROR(M16*INDEX('Project Info'!$I63:$M63,MATCH(M$5,'Project Info'!$I$15:$M$15,0)),0)</f>
        <v>0</v>
      </c>
      <c r="N76" s="91">
        <f>IFERROR(N16*INDEX('Project Info'!$I63:$M63,MATCH(N$5,'Project Info'!$I$15:$M$15,0)),0)</f>
        <v>0</v>
      </c>
      <c r="O76" s="91">
        <f>IFERROR(O16*INDEX('Project Info'!$I63:$M63,MATCH(O$5,'Project Info'!$I$15:$M$15,0)),0)</f>
        <v>0</v>
      </c>
      <c r="P76" s="91">
        <f>IFERROR(P16*INDEX('Project Info'!$I63:$M63,MATCH(P$5,'Project Info'!$I$15:$M$15,0)),0)</f>
        <v>0</v>
      </c>
      <c r="Q76" s="91">
        <f>IFERROR(Q16*INDEX('Project Info'!$I63:$M63,MATCH(Q$5,'Project Info'!$I$15:$M$15,0)),0)</f>
        <v>0</v>
      </c>
      <c r="R76" s="91">
        <f>IFERROR(R16*INDEX('Project Info'!$I63:$M63,MATCH(R$5,'Project Info'!$I$15:$M$15,0)),0)</f>
        <v>0</v>
      </c>
      <c r="S76" s="91">
        <f>IFERROR(S16*INDEX('Project Info'!$I63:$M63,MATCH(S$5,'Project Info'!$I$15:$M$15,0)),0)</f>
        <v>0</v>
      </c>
      <c r="T76" s="91">
        <f>IFERROR(T16*INDEX('Project Info'!$I63:$M63,MATCH(T$5,'Project Info'!$I$15:$M$15,0)),0)</f>
        <v>0</v>
      </c>
      <c r="U76" s="91">
        <f>IFERROR(U16*INDEX('Project Info'!$I63:$M63,MATCH(U$5,'Project Info'!$I$15:$M$15,0)),0)</f>
        <v>0</v>
      </c>
      <c r="V76" s="91">
        <f>IFERROR(V16*INDEX('Project Info'!$I63:$M63,MATCH(V$5,'Project Info'!$I$15:$M$15,0)),0)</f>
        <v>0</v>
      </c>
      <c r="W76" s="91">
        <f>IFERROR(W16*INDEX('Project Info'!$I63:$M63,MATCH(W$5,'Project Info'!$I$15:$M$15,0)),0)</f>
        <v>0</v>
      </c>
      <c r="X76" s="91">
        <f>IFERROR(X16*INDEX('Project Info'!$I63:$M63,MATCH(X$5,'Project Info'!$I$15:$M$15,0)),0)</f>
        <v>0</v>
      </c>
      <c r="Y76" s="91">
        <f>IFERROR(Y16*INDEX('Project Info'!$I63:$M63,MATCH(Y$5,'Project Info'!$I$15:$M$15,0)),0)</f>
        <v>0</v>
      </c>
      <c r="Z76" s="91">
        <f>IFERROR(Z16*INDEX('Project Info'!$I63:$M63,MATCH(Z$5,'Project Info'!$I$15:$M$15,0)),0)</f>
        <v>0</v>
      </c>
      <c r="AA76" s="91">
        <f>IFERROR(AA16*INDEX('Project Info'!$I63:$M63,MATCH(AA$5,'Project Info'!$I$15:$M$15,0)),0)</f>
        <v>0</v>
      </c>
      <c r="AB76" s="105"/>
      <c r="AC76" s="91">
        <f t="shared" si="102"/>
        <v>0</v>
      </c>
      <c r="AD76" s="91">
        <f t="shared" si="102"/>
        <v>0</v>
      </c>
      <c r="AE76" s="91">
        <f t="shared" si="102"/>
        <v>0</v>
      </c>
      <c r="AF76" s="91">
        <f t="shared" si="102"/>
        <v>0</v>
      </c>
      <c r="AG76" s="91">
        <f t="shared" si="102"/>
        <v>0</v>
      </c>
      <c r="AH76" s="91">
        <f t="shared" si="102"/>
        <v>0</v>
      </c>
      <c r="AI76" s="91">
        <f t="shared" si="102"/>
        <v>0</v>
      </c>
      <c r="AJ76" s="91">
        <f t="shared" si="102"/>
        <v>0</v>
      </c>
      <c r="AK76" s="91">
        <f t="shared" si="102"/>
        <v>0</v>
      </c>
      <c r="AL76" s="91">
        <f t="shared" si="102"/>
        <v>0</v>
      </c>
      <c r="AM76" s="91">
        <f t="shared" si="102"/>
        <v>0</v>
      </c>
      <c r="AN76" s="91">
        <f t="shared" si="102"/>
        <v>0</v>
      </c>
      <c r="AO76" s="91">
        <f t="shared" si="102"/>
        <v>0</v>
      </c>
      <c r="AP76" s="91">
        <f t="shared" si="102"/>
        <v>0</v>
      </c>
      <c r="AQ76" s="91">
        <f t="shared" si="102"/>
        <v>0</v>
      </c>
      <c r="AR76" s="91">
        <f t="shared" si="102"/>
        <v>0</v>
      </c>
      <c r="AS76" s="105"/>
      <c r="AT76" s="91">
        <f t="shared" si="103"/>
        <v>0</v>
      </c>
      <c r="AU76" s="91">
        <f t="shared" si="103"/>
        <v>0</v>
      </c>
      <c r="AV76" s="91">
        <f t="shared" si="103"/>
        <v>0</v>
      </c>
      <c r="AW76" s="91">
        <f t="shared" si="103"/>
        <v>0</v>
      </c>
      <c r="AX76" s="91">
        <f t="shared" si="103"/>
        <v>0</v>
      </c>
      <c r="AY76" s="91">
        <f t="shared" si="109"/>
        <v>0</v>
      </c>
      <c r="AZ76" s="132">
        <f t="shared" si="113"/>
        <v>1</v>
      </c>
      <c r="BA76" s="132">
        <f t="shared" si="114"/>
        <v>0</v>
      </c>
      <c r="BB76" s="105"/>
      <c r="BC76" s="131">
        <f>IFERROR(BC16*INDEX('Project Info'!$I63:$M63,MATCH(BC$5,'Project Info'!$I$15:$M$15,0)),0)</f>
        <v>0</v>
      </c>
      <c r="BD76" s="131">
        <f>IFERROR(BD16*INDEX('Project Info'!$I63:$M63,MATCH(BD$5,'Project Info'!$I$15:$M$15,0)),0)</f>
        <v>0</v>
      </c>
      <c r="BE76" s="131">
        <f>IFERROR(BE16*INDEX('Project Info'!$I63:$M63,MATCH(BE$5,'Project Info'!$I$15:$M$15,0)),0)</f>
        <v>0</v>
      </c>
      <c r="BF76" s="131">
        <f>IFERROR(BF16*INDEX('Project Info'!$I63:$M63,MATCH(BF$5,'Project Info'!$I$15:$M$15,0)),0)</f>
        <v>0</v>
      </c>
      <c r="BG76" s="131">
        <f>IFERROR(BG16*INDEX('Project Info'!$I63:$M63,MATCH(BG$5,'Project Info'!$I$15:$M$15,0)),0)</f>
        <v>0</v>
      </c>
      <c r="BH76" s="131">
        <f>IFERROR(BH16*INDEX('Project Info'!$I63:$M63,MATCH(BH$5,'Project Info'!$I$15:$M$15,0)),0)</f>
        <v>0</v>
      </c>
      <c r="BI76" s="91">
        <f t="shared" si="115"/>
        <v>0</v>
      </c>
      <c r="BJ76" s="132">
        <f t="shared" si="116"/>
        <v>0</v>
      </c>
      <c r="BK76" s="105"/>
      <c r="BL76" s="91">
        <f t="shared" si="104"/>
        <v>0</v>
      </c>
      <c r="BM76" s="91">
        <f t="shared" si="105"/>
        <v>0</v>
      </c>
      <c r="BN76" s="91">
        <f t="shared" si="106"/>
        <v>0</v>
      </c>
      <c r="BO76" s="91">
        <f t="shared" si="107"/>
        <v>0</v>
      </c>
      <c r="BP76" s="91">
        <f t="shared" si="108"/>
        <v>0</v>
      </c>
      <c r="BQ76" s="91">
        <f t="shared" si="110"/>
        <v>0</v>
      </c>
      <c r="BR76" s="111">
        <f t="shared" si="111"/>
        <v>1</v>
      </c>
      <c r="BS76" s="111">
        <f t="shared" si="112"/>
        <v>0</v>
      </c>
    </row>
    <row r="77" spans="1:94">
      <c r="A77" s="105" t="str">
        <f t="shared" si="101"/>
        <v xml:space="preserve"> </v>
      </c>
      <c r="B77" s="105"/>
      <c r="C77" s="91">
        <f>IFERROR(C17*INDEX('Project Info'!$I64:$M64,MATCH(C$5,'Project Info'!$I$15:$M$15,0)),0)</f>
        <v>0</v>
      </c>
      <c r="D77" s="91">
        <f>IFERROR(D17*INDEX('Project Info'!$I64:$M64,MATCH(D$5,'Project Info'!$I$15:$M$15,0)),0)</f>
        <v>0</v>
      </c>
      <c r="E77" s="91">
        <f>IFERROR(E17*INDEX('Project Info'!$I64:$M64,MATCH(E$5,'Project Info'!$I$15:$M$15,0)),0)</f>
        <v>0</v>
      </c>
      <c r="F77" s="91">
        <f>IFERROR(F17*INDEX('Project Info'!$I64:$M64,MATCH(F$5,'Project Info'!$I$15:$M$15,0)),0)</f>
        <v>0</v>
      </c>
      <c r="G77" s="91">
        <f>IFERROR(G17*INDEX('Project Info'!$I64:$M64,MATCH(G$5,'Project Info'!$I$15:$M$15,0)),0)</f>
        <v>0</v>
      </c>
      <c r="H77" s="91">
        <f>IFERROR(H17*INDEX('Project Info'!$I64:$M64,MATCH(H$5,'Project Info'!$I$15:$M$15,0)),0)</f>
        <v>0</v>
      </c>
      <c r="I77" s="91">
        <f>IFERROR(I17*INDEX('Project Info'!$I64:$M64,MATCH(I$5,'Project Info'!$I$15:$M$15,0)),0)</f>
        <v>0</v>
      </c>
      <c r="J77" s="91">
        <f>IFERROR(J17*INDEX('Project Info'!$I64:$M64,MATCH(J$5,'Project Info'!$I$15:$M$15,0)),0)</f>
        <v>0</v>
      </c>
      <c r="K77" s="91">
        <f>IFERROR(K17*INDEX('Project Info'!$I64:$M64,MATCH(K$5,'Project Info'!$I$15:$M$15,0)),0)</f>
        <v>0</v>
      </c>
      <c r="L77" s="91">
        <f>IFERROR(L17*INDEX('Project Info'!$I64:$M64,MATCH(L$5,'Project Info'!$I$15:$M$15,0)),0)</f>
        <v>0</v>
      </c>
      <c r="M77" s="91">
        <f>IFERROR(M17*INDEX('Project Info'!$I64:$M64,MATCH(M$5,'Project Info'!$I$15:$M$15,0)),0)</f>
        <v>0</v>
      </c>
      <c r="N77" s="91">
        <f>IFERROR(N17*INDEX('Project Info'!$I64:$M64,MATCH(N$5,'Project Info'!$I$15:$M$15,0)),0)</f>
        <v>0</v>
      </c>
      <c r="O77" s="91">
        <f>IFERROR(O17*INDEX('Project Info'!$I64:$M64,MATCH(O$5,'Project Info'!$I$15:$M$15,0)),0)</f>
        <v>0</v>
      </c>
      <c r="P77" s="91">
        <f>IFERROR(P17*INDEX('Project Info'!$I64:$M64,MATCH(P$5,'Project Info'!$I$15:$M$15,0)),0)</f>
        <v>0</v>
      </c>
      <c r="Q77" s="91">
        <f>IFERROR(Q17*INDEX('Project Info'!$I64:$M64,MATCH(Q$5,'Project Info'!$I$15:$M$15,0)),0)</f>
        <v>0</v>
      </c>
      <c r="R77" s="91">
        <f>IFERROR(R17*INDEX('Project Info'!$I64:$M64,MATCH(R$5,'Project Info'!$I$15:$M$15,0)),0)</f>
        <v>0</v>
      </c>
      <c r="S77" s="91">
        <f>IFERROR(S17*INDEX('Project Info'!$I64:$M64,MATCH(S$5,'Project Info'!$I$15:$M$15,0)),0)</f>
        <v>0</v>
      </c>
      <c r="T77" s="91">
        <f>IFERROR(T17*INDEX('Project Info'!$I64:$M64,MATCH(T$5,'Project Info'!$I$15:$M$15,0)),0)</f>
        <v>0</v>
      </c>
      <c r="U77" s="91">
        <f>IFERROR(U17*INDEX('Project Info'!$I64:$M64,MATCH(U$5,'Project Info'!$I$15:$M$15,0)),0)</f>
        <v>0</v>
      </c>
      <c r="V77" s="91">
        <f>IFERROR(V17*INDEX('Project Info'!$I64:$M64,MATCH(V$5,'Project Info'!$I$15:$M$15,0)),0)</f>
        <v>0</v>
      </c>
      <c r="W77" s="91">
        <f>IFERROR(W17*INDEX('Project Info'!$I64:$M64,MATCH(W$5,'Project Info'!$I$15:$M$15,0)),0)</f>
        <v>0</v>
      </c>
      <c r="X77" s="91">
        <f>IFERROR(X17*INDEX('Project Info'!$I64:$M64,MATCH(X$5,'Project Info'!$I$15:$M$15,0)),0)</f>
        <v>0</v>
      </c>
      <c r="Y77" s="91">
        <f>IFERROR(Y17*INDEX('Project Info'!$I64:$M64,MATCH(Y$5,'Project Info'!$I$15:$M$15,0)),0)</f>
        <v>0</v>
      </c>
      <c r="Z77" s="91">
        <f>IFERROR(Z17*INDEX('Project Info'!$I64:$M64,MATCH(Z$5,'Project Info'!$I$15:$M$15,0)),0)</f>
        <v>0</v>
      </c>
      <c r="AA77" s="91">
        <f>IFERROR(AA17*INDEX('Project Info'!$I64:$M64,MATCH(AA$5,'Project Info'!$I$15:$M$15,0)),0)</f>
        <v>0</v>
      </c>
      <c r="AB77" s="105"/>
      <c r="AC77" s="91">
        <f t="shared" si="102"/>
        <v>0</v>
      </c>
      <c r="AD77" s="91">
        <f t="shared" si="102"/>
        <v>0</v>
      </c>
      <c r="AE77" s="91">
        <f t="shared" si="102"/>
        <v>0</v>
      </c>
      <c r="AF77" s="91">
        <f t="shared" si="102"/>
        <v>0</v>
      </c>
      <c r="AG77" s="91">
        <f t="shared" si="102"/>
        <v>0</v>
      </c>
      <c r="AH77" s="91">
        <f t="shared" si="102"/>
        <v>0</v>
      </c>
      <c r="AI77" s="91">
        <f t="shared" si="102"/>
        <v>0</v>
      </c>
      <c r="AJ77" s="91">
        <f t="shared" si="102"/>
        <v>0</v>
      </c>
      <c r="AK77" s="91">
        <f t="shared" si="102"/>
        <v>0</v>
      </c>
      <c r="AL77" s="91">
        <f t="shared" si="102"/>
        <v>0</v>
      </c>
      <c r="AM77" s="91">
        <f t="shared" si="102"/>
        <v>0</v>
      </c>
      <c r="AN77" s="91">
        <f t="shared" si="102"/>
        <v>0</v>
      </c>
      <c r="AO77" s="91">
        <f t="shared" si="102"/>
        <v>0</v>
      </c>
      <c r="AP77" s="91">
        <f t="shared" si="102"/>
        <v>0</v>
      </c>
      <c r="AQ77" s="91">
        <f t="shared" si="102"/>
        <v>0</v>
      </c>
      <c r="AR77" s="91">
        <f t="shared" si="102"/>
        <v>0</v>
      </c>
      <c r="AS77" s="105"/>
      <c r="AT77" s="91">
        <f t="shared" si="103"/>
        <v>0</v>
      </c>
      <c r="AU77" s="91">
        <f t="shared" si="103"/>
        <v>0</v>
      </c>
      <c r="AV77" s="91">
        <f t="shared" si="103"/>
        <v>0</v>
      </c>
      <c r="AW77" s="91">
        <f t="shared" si="103"/>
        <v>0</v>
      </c>
      <c r="AX77" s="91">
        <f t="shared" si="103"/>
        <v>0</v>
      </c>
      <c r="AY77" s="91">
        <f t="shared" si="109"/>
        <v>0</v>
      </c>
      <c r="AZ77" s="132">
        <f t="shared" si="113"/>
        <v>1</v>
      </c>
      <c r="BA77" s="132">
        <f t="shared" si="114"/>
        <v>0</v>
      </c>
      <c r="BB77" s="105"/>
      <c r="BC77" s="131">
        <f>IFERROR(BC17*INDEX('Project Info'!$I64:$M64,MATCH(BC$5,'Project Info'!$I$15:$M$15,0)),0)</f>
        <v>0</v>
      </c>
      <c r="BD77" s="131">
        <f>IFERROR(BD17*INDEX('Project Info'!$I64:$M64,MATCH(BD$5,'Project Info'!$I$15:$M$15,0)),0)</f>
        <v>0</v>
      </c>
      <c r="BE77" s="131">
        <f>IFERROR(BE17*INDEX('Project Info'!$I64:$M64,MATCH(BE$5,'Project Info'!$I$15:$M$15,0)),0)</f>
        <v>0</v>
      </c>
      <c r="BF77" s="131">
        <f>IFERROR(BF17*INDEX('Project Info'!$I64:$M64,MATCH(BF$5,'Project Info'!$I$15:$M$15,0)),0)</f>
        <v>0</v>
      </c>
      <c r="BG77" s="131">
        <f>IFERROR(BG17*INDEX('Project Info'!$I64:$M64,MATCH(BG$5,'Project Info'!$I$15:$M$15,0)),0)</f>
        <v>0</v>
      </c>
      <c r="BH77" s="131">
        <f>IFERROR(BH17*INDEX('Project Info'!$I64:$M64,MATCH(BH$5,'Project Info'!$I$15:$M$15,0)),0)</f>
        <v>0</v>
      </c>
      <c r="BI77" s="91">
        <f t="shared" si="115"/>
        <v>0</v>
      </c>
      <c r="BJ77" s="132">
        <f t="shared" si="116"/>
        <v>0</v>
      </c>
      <c r="BK77" s="105"/>
      <c r="BL77" s="91">
        <f t="shared" si="104"/>
        <v>0</v>
      </c>
      <c r="BM77" s="91">
        <f t="shared" si="105"/>
        <v>0</v>
      </c>
      <c r="BN77" s="91">
        <f t="shared" si="106"/>
        <v>0</v>
      </c>
      <c r="BO77" s="91">
        <f t="shared" si="107"/>
        <v>0</v>
      </c>
      <c r="BP77" s="91">
        <f t="shared" si="108"/>
        <v>0</v>
      </c>
      <c r="BQ77" s="91">
        <f t="shared" si="110"/>
        <v>0</v>
      </c>
      <c r="BR77" s="111">
        <f t="shared" si="111"/>
        <v>1</v>
      </c>
      <c r="BS77" s="111">
        <f t="shared" si="112"/>
        <v>0</v>
      </c>
    </row>
    <row r="78" spans="1:94">
      <c r="A78" s="105" t="str">
        <f t="shared" si="101"/>
        <v xml:space="preserve"> </v>
      </c>
      <c r="B78" s="105"/>
      <c r="C78" s="91">
        <f>IFERROR(C18*INDEX('Project Info'!$I65:$M65,MATCH(C$5,'Project Info'!$I$15:$M$15,0)),0)</f>
        <v>0</v>
      </c>
      <c r="D78" s="91">
        <f>IFERROR(D18*INDEX('Project Info'!$I65:$M65,MATCH(D$5,'Project Info'!$I$15:$M$15,0)),0)</f>
        <v>0</v>
      </c>
      <c r="E78" s="91">
        <f>IFERROR(E18*INDEX('Project Info'!$I65:$M65,MATCH(E$5,'Project Info'!$I$15:$M$15,0)),0)</f>
        <v>0</v>
      </c>
      <c r="F78" s="91">
        <f>IFERROR(F18*INDEX('Project Info'!$I65:$M65,MATCH(F$5,'Project Info'!$I$15:$M$15,0)),0)</f>
        <v>0</v>
      </c>
      <c r="G78" s="91">
        <f>IFERROR(G18*INDEX('Project Info'!$I65:$M65,MATCH(G$5,'Project Info'!$I$15:$M$15,0)),0)</f>
        <v>0</v>
      </c>
      <c r="H78" s="91">
        <f>IFERROR(H18*INDEX('Project Info'!$I65:$M65,MATCH(H$5,'Project Info'!$I$15:$M$15,0)),0)</f>
        <v>0</v>
      </c>
      <c r="I78" s="91">
        <f>IFERROR(I18*INDEX('Project Info'!$I65:$M65,MATCH(I$5,'Project Info'!$I$15:$M$15,0)),0)</f>
        <v>0</v>
      </c>
      <c r="J78" s="91">
        <f>IFERROR(J18*INDEX('Project Info'!$I65:$M65,MATCH(J$5,'Project Info'!$I$15:$M$15,0)),0)</f>
        <v>0</v>
      </c>
      <c r="K78" s="91">
        <f>IFERROR(K18*INDEX('Project Info'!$I65:$M65,MATCH(K$5,'Project Info'!$I$15:$M$15,0)),0)</f>
        <v>0</v>
      </c>
      <c r="L78" s="91">
        <f>IFERROR(L18*INDEX('Project Info'!$I65:$M65,MATCH(L$5,'Project Info'!$I$15:$M$15,0)),0)</f>
        <v>0</v>
      </c>
      <c r="M78" s="91">
        <f>IFERROR(M18*INDEX('Project Info'!$I65:$M65,MATCH(M$5,'Project Info'!$I$15:$M$15,0)),0)</f>
        <v>0</v>
      </c>
      <c r="N78" s="91">
        <f>IFERROR(N18*INDEX('Project Info'!$I65:$M65,MATCH(N$5,'Project Info'!$I$15:$M$15,0)),0)</f>
        <v>0</v>
      </c>
      <c r="O78" s="91">
        <f>IFERROR(O18*INDEX('Project Info'!$I65:$M65,MATCH(O$5,'Project Info'!$I$15:$M$15,0)),0)</f>
        <v>0</v>
      </c>
      <c r="P78" s="91">
        <f>IFERROR(P18*INDEX('Project Info'!$I65:$M65,MATCH(P$5,'Project Info'!$I$15:$M$15,0)),0)</f>
        <v>0</v>
      </c>
      <c r="Q78" s="91">
        <f>IFERROR(Q18*INDEX('Project Info'!$I65:$M65,MATCH(Q$5,'Project Info'!$I$15:$M$15,0)),0)</f>
        <v>0</v>
      </c>
      <c r="R78" s="91">
        <f>IFERROR(R18*INDEX('Project Info'!$I65:$M65,MATCH(R$5,'Project Info'!$I$15:$M$15,0)),0)</f>
        <v>0</v>
      </c>
      <c r="S78" s="91">
        <f>IFERROR(S18*INDEX('Project Info'!$I65:$M65,MATCH(S$5,'Project Info'!$I$15:$M$15,0)),0)</f>
        <v>0</v>
      </c>
      <c r="T78" s="91">
        <f>IFERROR(T18*INDEX('Project Info'!$I65:$M65,MATCH(T$5,'Project Info'!$I$15:$M$15,0)),0)</f>
        <v>0</v>
      </c>
      <c r="U78" s="91">
        <f>IFERROR(U18*INDEX('Project Info'!$I65:$M65,MATCH(U$5,'Project Info'!$I$15:$M$15,0)),0)</f>
        <v>0</v>
      </c>
      <c r="V78" s="91">
        <f>IFERROR(V18*INDEX('Project Info'!$I65:$M65,MATCH(V$5,'Project Info'!$I$15:$M$15,0)),0)</f>
        <v>0</v>
      </c>
      <c r="W78" s="91">
        <f>IFERROR(W18*INDEX('Project Info'!$I65:$M65,MATCH(W$5,'Project Info'!$I$15:$M$15,0)),0)</f>
        <v>0</v>
      </c>
      <c r="X78" s="91">
        <f>IFERROR(X18*INDEX('Project Info'!$I65:$M65,MATCH(X$5,'Project Info'!$I$15:$M$15,0)),0)</f>
        <v>0</v>
      </c>
      <c r="Y78" s="91">
        <f>IFERROR(Y18*INDEX('Project Info'!$I65:$M65,MATCH(Y$5,'Project Info'!$I$15:$M$15,0)),0)</f>
        <v>0</v>
      </c>
      <c r="Z78" s="91">
        <f>IFERROR(Z18*INDEX('Project Info'!$I65:$M65,MATCH(Z$5,'Project Info'!$I$15:$M$15,0)),0)</f>
        <v>0</v>
      </c>
      <c r="AA78" s="91">
        <f>IFERROR(AA18*INDEX('Project Info'!$I65:$M65,MATCH(AA$5,'Project Info'!$I$15:$M$15,0)),0)</f>
        <v>0</v>
      </c>
      <c r="AB78" s="105"/>
      <c r="AC78" s="91">
        <f t="shared" si="102"/>
        <v>0</v>
      </c>
      <c r="AD78" s="91">
        <f t="shared" si="102"/>
        <v>0</v>
      </c>
      <c r="AE78" s="91">
        <f t="shared" si="102"/>
        <v>0</v>
      </c>
      <c r="AF78" s="91">
        <f t="shared" si="102"/>
        <v>0</v>
      </c>
      <c r="AG78" s="91">
        <f t="shared" si="102"/>
        <v>0</v>
      </c>
      <c r="AH78" s="91">
        <f t="shared" si="102"/>
        <v>0</v>
      </c>
      <c r="AI78" s="91">
        <f t="shared" si="102"/>
        <v>0</v>
      </c>
      <c r="AJ78" s="91">
        <f t="shared" si="102"/>
        <v>0</v>
      </c>
      <c r="AK78" s="91">
        <f t="shared" si="102"/>
        <v>0</v>
      </c>
      <c r="AL78" s="91">
        <f t="shared" si="102"/>
        <v>0</v>
      </c>
      <c r="AM78" s="91">
        <f t="shared" si="102"/>
        <v>0</v>
      </c>
      <c r="AN78" s="91">
        <f t="shared" si="102"/>
        <v>0</v>
      </c>
      <c r="AO78" s="91">
        <f t="shared" si="102"/>
        <v>0</v>
      </c>
      <c r="AP78" s="91">
        <f t="shared" si="102"/>
        <v>0</v>
      </c>
      <c r="AQ78" s="91">
        <f t="shared" si="102"/>
        <v>0</v>
      </c>
      <c r="AR78" s="91">
        <f t="shared" si="102"/>
        <v>0</v>
      </c>
      <c r="AS78" s="105"/>
      <c r="AT78" s="91">
        <f t="shared" si="103"/>
        <v>0</v>
      </c>
      <c r="AU78" s="91">
        <f t="shared" si="103"/>
        <v>0</v>
      </c>
      <c r="AV78" s="91">
        <f t="shared" si="103"/>
        <v>0</v>
      </c>
      <c r="AW78" s="91">
        <f t="shared" si="103"/>
        <v>0</v>
      </c>
      <c r="AX78" s="91">
        <f t="shared" si="103"/>
        <v>0</v>
      </c>
      <c r="AY78" s="91">
        <f t="shared" si="109"/>
        <v>0</v>
      </c>
      <c r="AZ78" s="132">
        <f t="shared" si="113"/>
        <v>1</v>
      </c>
      <c r="BA78" s="132">
        <f t="shared" si="114"/>
        <v>0</v>
      </c>
      <c r="BB78" s="105"/>
      <c r="BC78" s="131">
        <f>IFERROR(BC18*INDEX('Project Info'!$I65:$M65,MATCH(BC$5,'Project Info'!$I$15:$M$15,0)),0)</f>
        <v>0</v>
      </c>
      <c r="BD78" s="131">
        <f>IFERROR(BD18*INDEX('Project Info'!$I65:$M65,MATCH(BD$5,'Project Info'!$I$15:$M$15,0)),0)</f>
        <v>0</v>
      </c>
      <c r="BE78" s="131">
        <f>IFERROR(BE18*INDEX('Project Info'!$I65:$M65,MATCH(BE$5,'Project Info'!$I$15:$M$15,0)),0)</f>
        <v>0</v>
      </c>
      <c r="BF78" s="131">
        <f>IFERROR(BF18*INDEX('Project Info'!$I65:$M65,MATCH(BF$5,'Project Info'!$I$15:$M$15,0)),0)</f>
        <v>0</v>
      </c>
      <c r="BG78" s="131">
        <f>IFERROR(BG18*INDEX('Project Info'!$I65:$M65,MATCH(BG$5,'Project Info'!$I$15:$M$15,0)),0)</f>
        <v>0</v>
      </c>
      <c r="BH78" s="131">
        <f>IFERROR(BH18*INDEX('Project Info'!$I65:$M65,MATCH(BH$5,'Project Info'!$I$15:$M$15,0)),0)</f>
        <v>0</v>
      </c>
      <c r="BI78" s="91">
        <f t="shared" si="115"/>
        <v>0</v>
      </c>
      <c r="BJ78" s="132">
        <f t="shared" si="116"/>
        <v>0</v>
      </c>
      <c r="BK78" s="105"/>
      <c r="BL78" s="91">
        <f t="shared" si="104"/>
        <v>0</v>
      </c>
      <c r="BM78" s="91">
        <f t="shared" si="105"/>
        <v>0</v>
      </c>
      <c r="BN78" s="91">
        <f t="shared" si="106"/>
        <v>0</v>
      </c>
      <c r="BO78" s="91">
        <f t="shared" si="107"/>
        <v>0</v>
      </c>
      <c r="BP78" s="91">
        <f t="shared" si="108"/>
        <v>0</v>
      </c>
      <c r="BQ78" s="91">
        <f t="shared" si="110"/>
        <v>0</v>
      </c>
      <c r="BR78" s="111">
        <f t="shared" si="111"/>
        <v>1</v>
      </c>
      <c r="BS78" s="111">
        <f t="shared" si="112"/>
        <v>0</v>
      </c>
    </row>
    <row r="79" spans="1:94">
      <c r="A79" s="105" t="str">
        <f t="shared" si="101"/>
        <v xml:space="preserve"> </v>
      </c>
      <c r="B79" s="105"/>
      <c r="C79" s="91">
        <f>IFERROR(C19*INDEX('Project Info'!$I66:$M66,MATCH(C$5,'Project Info'!$I$15:$M$15,0)),0)</f>
        <v>0</v>
      </c>
      <c r="D79" s="91">
        <f>IFERROR(D19*INDEX('Project Info'!$I66:$M66,MATCH(D$5,'Project Info'!$I$15:$M$15,0)),0)</f>
        <v>0</v>
      </c>
      <c r="E79" s="91">
        <f>IFERROR(E19*INDEX('Project Info'!$I66:$M66,MATCH(E$5,'Project Info'!$I$15:$M$15,0)),0)</f>
        <v>0</v>
      </c>
      <c r="F79" s="91">
        <f>IFERROR(F19*INDEX('Project Info'!$I66:$M66,MATCH(F$5,'Project Info'!$I$15:$M$15,0)),0)</f>
        <v>0</v>
      </c>
      <c r="G79" s="91">
        <f>IFERROR(G19*INDEX('Project Info'!$I66:$M66,MATCH(G$5,'Project Info'!$I$15:$M$15,0)),0)</f>
        <v>0</v>
      </c>
      <c r="H79" s="91">
        <f>IFERROR(H19*INDEX('Project Info'!$I66:$M66,MATCH(H$5,'Project Info'!$I$15:$M$15,0)),0)</f>
        <v>0</v>
      </c>
      <c r="I79" s="91">
        <f>IFERROR(I19*INDEX('Project Info'!$I66:$M66,MATCH(I$5,'Project Info'!$I$15:$M$15,0)),0)</f>
        <v>0</v>
      </c>
      <c r="J79" s="91">
        <f>IFERROR(J19*INDEX('Project Info'!$I66:$M66,MATCH(J$5,'Project Info'!$I$15:$M$15,0)),0)</f>
        <v>0</v>
      </c>
      <c r="K79" s="91">
        <f>IFERROR(K19*INDEX('Project Info'!$I66:$M66,MATCH(K$5,'Project Info'!$I$15:$M$15,0)),0)</f>
        <v>0</v>
      </c>
      <c r="L79" s="91">
        <f>IFERROR(L19*INDEX('Project Info'!$I66:$M66,MATCH(L$5,'Project Info'!$I$15:$M$15,0)),0)</f>
        <v>0</v>
      </c>
      <c r="M79" s="91">
        <f>IFERROR(M19*INDEX('Project Info'!$I66:$M66,MATCH(M$5,'Project Info'!$I$15:$M$15,0)),0)</f>
        <v>0</v>
      </c>
      <c r="N79" s="91">
        <f>IFERROR(N19*INDEX('Project Info'!$I66:$M66,MATCH(N$5,'Project Info'!$I$15:$M$15,0)),0)</f>
        <v>0</v>
      </c>
      <c r="O79" s="91">
        <f>IFERROR(O19*INDEX('Project Info'!$I66:$M66,MATCH(O$5,'Project Info'!$I$15:$M$15,0)),0)</f>
        <v>0</v>
      </c>
      <c r="P79" s="91">
        <f>IFERROR(P19*INDEX('Project Info'!$I66:$M66,MATCH(P$5,'Project Info'!$I$15:$M$15,0)),0)</f>
        <v>0</v>
      </c>
      <c r="Q79" s="91">
        <f>IFERROR(Q19*INDEX('Project Info'!$I66:$M66,MATCH(Q$5,'Project Info'!$I$15:$M$15,0)),0)</f>
        <v>0</v>
      </c>
      <c r="R79" s="91">
        <f>IFERROR(R19*INDEX('Project Info'!$I66:$M66,MATCH(R$5,'Project Info'!$I$15:$M$15,0)),0)</f>
        <v>0</v>
      </c>
      <c r="S79" s="91">
        <f>IFERROR(S19*INDEX('Project Info'!$I66:$M66,MATCH(S$5,'Project Info'!$I$15:$M$15,0)),0)</f>
        <v>0</v>
      </c>
      <c r="T79" s="91">
        <f>IFERROR(T19*INDEX('Project Info'!$I66:$M66,MATCH(T$5,'Project Info'!$I$15:$M$15,0)),0)</f>
        <v>0</v>
      </c>
      <c r="U79" s="91">
        <f>IFERROR(U19*INDEX('Project Info'!$I66:$M66,MATCH(U$5,'Project Info'!$I$15:$M$15,0)),0)</f>
        <v>0</v>
      </c>
      <c r="V79" s="91">
        <f>IFERROR(V19*INDEX('Project Info'!$I66:$M66,MATCH(V$5,'Project Info'!$I$15:$M$15,0)),0)</f>
        <v>0</v>
      </c>
      <c r="W79" s="91">
        <f>IFERROR(W19*INDEX('Project Info'!$I66:$M66,MATCH(W$5,'Project Info'!$I$15:$M$15,0)),0)</f>
        <v>0</v>
      </c>
      <c r="X79" s="91">
        <f>IFERROR(X19*INDEX('Project Info'!$I66:$M66,MATCH(X$5,'Project Info'!$I$15:$M$15,0)),0)</f>
        <v>0</v>
      </c>
      <c r="Y79" s="91">
        <f>IFERROR(Y19*INDEX('Project Info'!$I66:$M66,MATCH(Y$5,'Project Info'!$I$15:$M$15,0)),0)</f>
        <v>0</v>
      </c>
      <c r="Z79" s="91">
        <f>IFERROR(Z19*INDEX('Project Info'!$I66:$M66,MATCH(Z$5,'Project Info'!$I$15:$M$15,0)),0)</f>
        <v>0</v>
      </c>
      <c r="AA79" s="91">
        <f>IFERROR(AA19*INDEX('Project Info'!$I66:$M66,MATCH(AA$5,'Project Info'!$I$15:$M$15,0)),0)</f>
        <v>0</v>
      </c>
      <c r="AB79" s="105"/>
      <c r="AC79" s="91">
        <f t="shared" si="102"/>
        <v>0</v>
      </c>
      <c r="AD79" s="91">
        <f t="shared" si="102"/>
        <v>0</v>
      </c>
      <c r="AE79" s="91">
        <f t="shared" si="102"/>
        <v>0</v>
      </c>
      <c r="AF79" s="91">
        <f t="shared" si="102"/>
        <v>0</v>
      </c>
      <c r="AG79" s="91">
        <f t="shared" si="102"/>
        <v>0</v>
      </c>
      <c r="AH79" s="91">
        <f t="shared" si="102"/>
        <v>0</v>
      </c>
      <c r="AI79" s="91">
        <f t="shared" si="102"/>
        <v>0</v>
      </c>
      <c r="AJ79" s="91">
        <f t="shared" si="102"/>
        <v>0</v>
      </c>
      <c r="AK79" s="91">
        <f t="shared" si="102"/>
        <v>0</v>
      </c>
      <c r="AL79" s="91">
        <f t="shared" si="102"/>
        <v>0</v>
      </c>
      <c r="AM79" s="91">
        <f t="shared" si="102"/>
        <v>0</v>
      </c>
      <c r="AN79" s="91">
        <f t="shared" si="102"/>
        <v>0</v>
      </c>
      <c r="AO79" s="91">
        <f t="shared" si="102"/>
        <v>0</v>
      </c>
      <c r="AP79" s="91">
        <f t="shared" si="102"/>
        <v>0</v>
      </c>
      <c r="AQ79" s="91">
        <f t="shared" si="102"/>
        <v>0</v>
      </c>
      <c r="AR79" s="91">
        <f t="shared" si="102"/>
        <v>0</v>
      </c>
      <c r="AS79" s="105"/>
      <c r="AT79" s="91">
        <f t="shared" si="103"/>
        <v>0</v>
      </c>
      <c r="AU79" s="91">
        <f t="shared" si="103"/>
        <v>0</v>
      </c>
      <c r="AV79" s="91">
        <f t="shared" si="103"/>
        <v>0</v>
      </c>
      <c r="AW79" s="91">
        <f t="shared" si="103"/>
        <v>0</v>
      </c>
      <c r="AX79" s="91">
        <f t="shared" si="103"/>
        <v>0</v>
      </c>
      <c r="AY79" s="91">
        <f t="shared" si="109"/>
        <v>0</v>
      </c>
      <c r="AZ79" s="132">
        <f t="shared" si="113"/>
        <v>1</v>
      </c>
      <c r="BA79" s="132">
        <f t="shared" si="114"/>
        <v>0</v>
      </c>
      <c r="BB79" s="105"/>
      <c r="BC79" s="131">
        <f>IFERROR(BC19*INDEX('Project Info'!$I66:$M66,MATCH(BC$5,'Project Info'!$I$15:$M$15,0)),0)</f>
        <v>0</v>
      </c>
      <c r="BD79" s="131">
        <f>IFERROR(BD19*INDEX('Project Info'!$I66:$M66,MATCH(BD$5,'Project Info'!$I$15:$M$15,0)),0)</f>
        <v>0</v>
      </c>
      <c r="BE79" s="131">
        <f>IFERROR(BE19*INDEX('Project Info'!$I66:$M66,MATCH(BE$5,'Project Info'!$I$15:$M$15,0)),0)</f>
        <v>0</v>
      </c>
      <c r="BF79" s="131">
        <f>IFERROR(BF19*INDEX('Project Info'!$I66:$M66,MATCH(BF$5,'Project Info'!$I$15:$M$15,0)),0)</f>
        <v>0</v>
      </c>
      <c r="BG79" s="131">
        <f>IFERROR(BG19*INDEX('Project Info'!$I66:$M66,MATCH(BG$5,'Project Info'!$I$15:$M$15,0)),0)</f>
        <v>0</v>
      </c>
      <c r="BH79" s="131">
        <f>IFERROR(BH19*INDEX('Project Info'!$I66:$M66,MATCH(BH$5,'Project Info'!$I$15:$M$15,0)),0)</f>
        <v>0</v>
      </c>
      <c r="BI79" s="91">
        <f t="shared" si="115"/>
        <v>0</v>
      </c>
      <c r="BJ79" s="132">
        <f t="shared" si="116"/>
        <v>0</v>
      </c>
      <c r="BK79" s="105"/>
      <c r="BL79" s="91">
        <f t="shared" si="104"/>
        <v>0</v>
      </c>
      <c r="BM79" s="91">
        <f t="shared" si="105"/>
        <v>0</v>
      </c>
      <c r="BN79" s="91">
        <f t="shared" si="106"/>
        <v>0</v>
      </c>
      <c r="BO79" s="91">
        <f t="shared" si="107"/>
        <v>0</v>
      </c>
      <c r="BP79" s="91">
        <f t="shared" si="108"/>
        <v>0</v>
      </c>
      <c r="BQ79" s="91">
        <f>SUM(BL79:BP79)</f>
        <v>0</v>
      </c>
      <c r="BR79" s="111">
        <f t="shared" si="111"/>
        <v>1</v>
      </c>
      <c r="BS79" s="111">
        <f t="shared" si="112"/>
        <v>0</v>
      </c>
    </row>
    <row r="80" spans="1:94">
      <c r="A80" s="105" t="str">
        <f t="shared" si="101"/>
        <v xml:space="preserve"> </v>
      </c>
      <c r="B80" s="105"/>
      <c r="C80" s="91">
        <f>IFERROR(C20*INDEX('Project Info'!$I67:$M67,MATCH(C$5,'Project Info'!$I$15:$M$15,0)),0)</f>
        <v>0</v>
      </c>
      <c r="D80" s="91">
        <f>IFERROR(D20*INDEX('Project Info'!$I67:$M67,MATCH(D$5,'Project Info'!$I$15:$M$15,0)),0)</f>
        <v>0</v>
      </c>
      <c r="E80" s="91">
        <f>IFERROR(E20*INDEX('Project Info'!$I67:$M67,MATCH(E$5,'Project Info'!$I$15:$M$15,0)),0)</f>
        <v>0</v>
      </c>
      <c r="F80" s="91">
        <f>IFERROR(F20*INDEX('Project Info'!$I67:$M67,MATCH(F$5,'Project Info'!$I$15:$M$15,0)),0)</f>
        <v>0</v>
      </c>
      <c r="G80" s="91">
        <f>IFERROR(G20*INDEX('Project Info'!$I67:$M67,MATCH(G$5,'Project Info'!$I$15:$M$15,0)),0)</f>
        <v>0</v>
      </c>
      <c r="H80" s="91">
        <f>IFERROR(H20*INDEX('Project Info'!$I67:$M67,MATCH(H$5,'Project Info'!$I$15:$M$15,0)),0)</f>
        <v>0</v>
      </c>
      <c r="I80" s="91">
        <f>IFERROR(I20*INDEX('Project Info'!$I67:$M67,MATCH(I$5,'Project Info'!$I$15:$M$15,0)),0)</f>
        <v>0</v>
      </c>
      <c r="J80" s="91">
        <f>IFERROR(J20*INDEX('Project Info'!$I67:$M67,MATCH(J$5,'Project Info'!$I$15:$M$15,0)),0)</f>
        <v>0</v>
      </c>
      <c r="K80" s="91">
        <f>IFERROR(K20*INDEX('Project Info'!$I67:$M67,MATCH(K$5,'Project Info'!$I$15:$M$15,0)),0)</f>
        <v>0</v>
      </c>
      <c r="L80" s="91">
        <f>IFERROR(L20*INDEX('Project Info'!$I67:$M67,MATCH(L$5,'Project Info'!$I$15:$M$15,0)),0)</f>
        <v>0</v>
      </c>
      <c r="M80" s="91">
        <f>IFERROR(M20*INDEX('Project Info'!$I67:$M67,MATCH(M$5,'Project Info'!$I$15:$M$15,0)),0)</f>
        <v>0</v>
      </c>
      <c r="N80" s="91">
        <f>IFERROR(N20*INDEX('Project Info'!$I67:$M67,MATCH(N$5,'Project Info'!$I$15:$M$15,0)),0)</f>
        <v>0</v>
      </c>
      <c r="O80" s="91">
        <f>IFERROR(O20*INDEX('Project Info'!$I67:$M67,MATCH(O$5,'Project Info'!$I$15:$M$15,0)),0)</f>
        <v>0</v>
      </c>
      <c r="P80" s="91">
        <f>IFERROR(P20*INDEX('Project Info'!$I67:$M67,MATCH(P$5,'Project Info'!$I$15:$M$15,0)),0)</f>
        <v>0</v>
      </c>
      <c r="Q80" s="91">
        <f>IFERROR(Q20*INDEX('Project Info'!$I67:$M67,MATCH(Q$5,'Project Info'!$I$15:$M$15,0)),0)</f>
        <v>0</v>
      </c>
      <c r="R80" s="91">
        <f>IFERROR(R20*INDEX('Project Info'!$I67:$M67,MATCH(R$5,'Project Info'!$I$15:$M$15,0)),0)</f>
        <v>0</v>
      </c>
      <c r="S80" s="91">
        <f>IFERROR(S20*INDEX('Project Info'!$I67:$M67,MATCH(S$5,'Project Info'!$I$15:$M$15,0)),0)</f>
        <v>0</v>
      </c>
      <c r="T80" s="91">
        <f>IFERROR(T20*INDEX('Project Info'!$I67:$M67,MATCH(T$5,'Project Info'!$I$15:$M$15,0)),0)</f>
        <v>0</v>
      </c>
      <c r="U80" s="91">
        <f>IFERROR(U20*INDEX('Project Info'!$I67:$M67,MATCH(U$5,'Project Info'!$I$15:$M$15,0)),0)</f>
        <v>0</v>
      </c>
      <c r="V80" s="91">
        <f>IFERROR(V20*INDEX('Project Info'!$I67:$M67,MATCH(V$5,'Project Info'!$I$15:$M$15,0)),0)</f>
        <v>0</v>
      </c>
      <c r="W80" s="91">
        <f>IFERROR(W20*INDEX('Project Info'!$I67:$M67,MATCH(W$5,'Project Info'!$I$15:$M$15,0)),0)</f>
        <v>0</v>
      </c>
      <c r="X80" s="91">
        <f>IFERROR(X20*INDEX('Project Info'!$I67:$M67,MATCH(X$5,'Project Info'!$I$15:$M$15,0)),0)</f>
        <v>0</v>
      </c>
      <c r="Y80" s="91">
        <f>IFERROR(Y20*INDEX('Project Info'!$I67:$M67,MATCH(Y$5,'Project Info'!$I$15:$M$15,0)),0)</f>
        <v>0</v>
      </c>
      <c r="Z80" s="91">
        <f>IFERROR(Z20*INDEX('Project Info'!$I67:$M67,MATCH(Z$5,'Project Info'!$I$15:$M$15,0)),0)</f>
        <v>0</v>
      </c>
      <c r="AA80" s="91">
        <f>IFERROR(AA20*INDEX('Project Info'!$I67:$M67,MATCH(AA$5,'Project Info'!$I$15:$M$15,0)),0)</f>
        <v>0</v>
      </c>
      <c r="AB80" s="105"/>
      <c r="AC80" s="91">
        <f t="shared" si="102"/>
        <v>0</v>
      </c>
      <c r="AD80" s="91">
        <f t="shared" si="102"/>
        <v>0</v>
      </c>
      <c r="AE80" s="91">
        <f t="shared" si="102"/>
        <v>0</v>
      </c>
      <c r="AF80" s="91">
        <f t="shared" si="102"/>
        <v>0</v>
      </c>
      <c r="AG80" s="91">
        <f t="shared" si="102"/>
        <v>0</v>
      </c>
      <c r="AH80" s="91">
        <f t="shared" si="102"/>
        <v>0</v>
      </c>
      <c r="AI80" s="91">
        <f t="shared" si="102"/>
        <v>0</v>
      </c>
      <c r="AJ80" s="91">
        <f t="shared" si="102"/>
        <v>0</v>
      </c>
      <c r="AK80" s="91">
        <f t="shared" si="102"/>
        <v>0</v>
      </c>
      <c r="AL80" s="91">
        <f t="shared" si="102"/>
        <v>0</v>
      </c>
      <c r="AM80" s="91">
        <f t="shared" si="102"/>
        <v>0</v>
      </c>
      <c r="AN80" s="91">
        <f t="shared" si="102"/>
        <v>0</v>
      </c>
      <c r="AO80" s="91">
        <f t="shared" si="102"/>
        <v>0</v>
      </c>
      <c r="AP80" s="91">
        <f t="shared" si="102"/>
        <v>0</v>
      </c>
      <c r="AQ80" s="91">
        <f t="shared" si="102"/>
        <v>0</v>
      </c>
      <c r="AR80" s="91">
        <f t="shared" si="102"/>
        <v>0</v>
      </c>
      <c r="AS80" s="105"/>
      <c r="AT80" s="91">
        <f t="shared" si="103"/>
        <v>0</v>
      </c>
      <c r="AU80" s="91">
        <f t="shared" si="103"/>
        <v>0</v>
      </c>
      <c r="AV80" s="91">
        <f t="shared" si="103"/>
        <v>0</v>
      </c>
      <c r="AW80" s="91">
        <f t="shared" si="103"/>
        <v>0</v>
      </c>
      <c r="AX80" s="91">
        <f t="shared" si="103"/>
        <v>0</v>
      </c>
      <c r="AY80" s="91">
        <f t="shared" si="109"/>
        <v>0</v>
      </c>
      <c r="AZ80" s="132">
        <f t="shared" si="113"/>
        <v>1</v>
      </c>
      <c r="BA80" s="132">
        <f t="shared" si="114"/>
        <v>0</v>
      </c>
      <c r="BB80" s="105"/>
      <c r="BC80" s="131">
        <f>IFERROR(BC20*INDEX('Project Info'!$I67:$M67,MATCH(BC$5,'Project Info'!$I$15:$M$15,0)),0)</f>
        <v>0</v>
      </c>
      <c r="BD80" s="131">
        <f>IFERROR(BD20*INDEX('Project Info'!$I67:$M67,MATCH(BD$5,'Project Info'!$I$15:$M$15,0)),0)</f>
        <v>0</v>
      </c>
      <c r="BE80" s="131">
        <f>IFERROR(BE20*INDEX('Project Info'!$I67:$M67,MATCH(BE$5,'Project Info'!$I$15:$M$15,0)),0)</f>
        <v>0</v>
      </c>
      <c r="BF80" s="131">
        <f>IFERROR(BF20*INDEX('Project Info'!$I67:$M67,MATCH(BF$5,'Project Info'!$I$15:$M$15,0)),0)</f>
        <v>0</v>
      </c>
      <c r="BG80" s="131">
        <f>IFERROR(BG20*INDEX('Project Info'!$I67:$M67,MATCH(BG$5,'Project Info'!$I$15:$M$15,0)),0)</f>
        <v>0</v>
      </c>
      <c r="BH80" s="131">
        <f>IFERROR(BH20*INDEX('Project Info'!$I67:$M67,MATCH(BH$5,'Project Info'!$I$15:$M$15,0)),0)</f>
        <v>0</v>
      </c>
      <c r="BI80" s="91">
        <f t="shared" si="115"/>
        <v>0</v>
      </c>
      <c r="BJ80" s="132">
        <f t="shared" si="116"/>
        <v>0</v>
      </c>
      <c r="BK80" s="105"/>
      <c r="BL80" s="91">
        <f t="shared" si="104"/>
        <v>0</v>
      </c>
      <c r="BM80" s="91">
        <f t="shared" si="105"/>
        <v>0</v>
      </c>
      <c r="BN80" s="91">
        <f t="shared" si="106"/>
        <v>0</v>
      </c>
      <c r="BO80" s="91">
        <f t="shared" si="107"/>
        <v>0</v>
      </c>
      <c r="BP80" s="91">
        <f t="shared" si="108"/>
        <v>0</v>
      </c>
      <c r="BQ80" s="91">
        <f>SUM(BL80:BP80)</f>
        <v>0</v>
      </c>
      <c r="BR80" s="111">
        <f t="shared" si="111"/>
        <v>1</v>
      </c>
      <c r="BS80" s="111">
        <f t="shared" si="112"/>
        <v>0</v>
      </c>
    </row>
    <row r="81" spans="1:71">
      <c r="A81" s="105" t="str">
        <f t="shared" si="101"/>
        <v xml:space="preserve"> </v>
      </c>
      <c r="B81" s="105"/>
      <c r="C81" s="91">
        <f>IFERROR(C21*INDEX('Project Info'!$I68:$M68,MATCH(C$5,'Project Info'!$I$15:$M$15,0)),0)</f>
        <v>0</v>
      </c>
      <c r="D81" s="91">
        <f>IFERROR(D21*INDEX('Project Info'!$I68:$M68,MATCH(D$5,'Project Info'!$I$15:$M$15,0)),0)</f>
        <v>0</v>
      </c>
      <c r="E81" s="91">
        <f>IFERROR(E21*INDEX('Project Info'!$I68:$M68,MATCH(E$5,'Project Info'!$I$15:$M$15,0)),0)</f>
        <v>0</v>
      </c>
      <c r="F81" s="91">
        <f>IFERROR(F21*INDEX('Project Info'!$I68:$M68,MATCH(F$5,'Project Info'!$I$15:$M$15,0)),0)</f>
        <v>0</v>
      </c>
      <c r="G81" s="91">
        <f>IFERROR(G21*INDEX('Project Info'!$I68:$M68,MATCH(G$5,'Project Info'!$I$15:$M$15,0)),0)</f>
        <v>0</v>
      </c>
      <c r="H81" s="91">
        <f>IFERROR(H21*INDEX('Project Info'!$I68:$M68,MATCH(H$5,'Project Info'!$I$15:$M$15,0)),0)</f>
        <v>0</v>
      </c>
      <c r="I81" s="91">
        <f>IFERROR(I21*INDEX('Project Info'!$I68:$M68,MATCH(I$5,'Project Info'!$I$15:$M$15,0)),0)</f>
        <v>0</v>
      </c>
      <c r="J81" s="91">
        <f>IFERROR(J21*INDEX('Project Info'!$I68:$M68,MATCH(J$5,'Project Info'!$I$15:$M$15,0)),0)</f>
        <v>0</v>
      </c>
      <c r="K81" s="91">
        <f>IFERROR(K21*INDEX('Project Info'!$I68:$M68,MATCH(K$5,'Project Info'!$I$15:$M$15,0)),0)</f>
        <v>0</v>
      </c>
      <c r="L81" s="91">
        <f>IFERROR(L21*INDEX('Project Info'!$I68:$M68,MATCH(L$5,'Project Info'!$I$15:$M$15,0)),0)</f>
        <v>0</v>
      </c>
      <c r="M81" s="91">
        <f>IFERROR(M21*INDEX('Project Info'!$I68:$M68,MATCH(M$5,'Project Info'!$I$15:$M$15,0)),0)</f>
        <v>0</v>
      </c>
      <c r="N81" s="91">
        <f>IFERROR(N21*INDEX('Project Info'!$I68:$M68,MATCH(N$5,'Project Info'!$I$15:$M$15,0)),0)</f>
        <v>0</v>
      </c>
      <c r="O81" s="91">
        <f>IFERROR(O21*INDEX('Project Info'!$I68:$M68,MATCH(O$5,'Project Info'!$I$15:$M$15,0)),0)</f>
        <v>0</v>
      </c>
      <c r="P81" s="91">
        <f>IFERROR(P21*INDEX('Project Info'!$I68:$M68,MATCH(P$5,'Project Info'!$I$15:$M$15,0)),0)</f>
        <v>0</v>
      </c>
      <c r="Q81" s="91">
        <f>IFERROR(Q21*INDEX('Project Info'!$I68:$M68,MATCH(Q$5,'Project Info'!$I$15:$M$15,0)),0)</f>
        <v>0</v>
      </c>
      <c r="R81" s="91">
        <f>IFERROR(R21*INDEX('Project Info'!$I68:$M68,MATCH(R$5,'Project Info'!$I$15:$M$15,0)),0)</f>
        <v>0</v>
      </c>
      <c r="S81" s="91">
        <f>IFERROR(S21*INDEX('Project Info'!$I68:$M68,MATCH(S$5,'Project Info'!$I$15:$M$15,0)),0)</f>
        <v>0</v>
      </c>
      <c r="T81" s="91">
        <f>IFERROR(T21*INDEX('Project Info'!$I68:$M68,MATCH(T$5,'Project Info'!$I$15:$M$15,0)),0)</f>
        <v>0</v>
      </c>
      <c r="U81" s="91">
        <f>IFERROR(U21*INDEX('Project Info'!$I68:$M68,MATCH(U$5,'Project Info'!$I$15:$M$15,0)),0)</f>
        <v>0</v>
      </c>
      <c r="V81" s="91">
        <f>IFERROR(V21*INDEX('Project Info'!$I68:$M68,MATCH(V$5,'Project Info'!$I$15:$M$15,0)),0)</f>
        <v>0</v>
      </c>
      <c r="W81" s="91">
        <f>IFERROR(W21*INDEX('Project Info'!$I68:$M68,MATCH(W$5,'Project Info'!$I$15:$M$15,0)),0)</f>
        <v>0</v>
      </c>
      <c r="X81" s="91">
        <f>IFERROR(X21*INDEX('Project Info'!$I68:$M68,MATCH(X$5,'Project Info'!$I$15:$M$15,0)),0)</f>
        <v>0</v>
      </c>
      <c r="Y81" s="91">
        <f>IFERROR(Y21*INDEX('Project Info'!$I68:$M68,MATCH(Y$5,'Project Info'!$I$15:$M$15,0)),0)</f>
        <v>0</v>
      </c>
      <c r="Z81" s="91">
        <f>IFERROR(Z21*INDEX('Project Info'!$I68:$M68,MATCH(Z$5,'Project Info'!$I$15:$M$15,0)),0)</f>
        <v>0</v>
      </c>
      <c r="AA81" s="91">
        <f>IFERROR(AA21*INDEX('Project Info'!$I68:$M68,MATCH(AA$5,'Project Info'!$I$15:$M$15,0)),0)</f>
        <v>0</v>
      </c>
      <c r="AB81" s="105"/>
      <c r="AC81" s="91">
        <f t="shared" si="102"/>
        <v>0</v>
      </c>
      <c r="AD81" s="91">
        <f t="shared" si="102"/>
        <v>0</v>
      </c>
      <c r="AE81" s="91">
        <f t="shared" si="102"/>
        <v>0</v>
      </c>
      <c r="AF81" s="91">
        <f t="shared" si="102"/>
        <v>0</v>
      </c>
      <c r="AG81" s="91">
        <f t="shared" si="102"/>
        <v>0</v>
      </c>
      <c r="AH81" s="91">
        <f t="shared" si="102"/>
        <v>0</v>
      </c>
      <c r="AI81" s="91">
        <f t="shared" si="102"/>
        <v>0</v>
      </c>
      <c r="AJ81" s="91">
        <f t="shared" si="102"/>
        <v>0</v>
      </c>
      <c r="AK81" s="91">
        <f t="shared" si="102"/>
        <v>0</v>
      </c>
      <c r="AL81" s="91">
        <f t="shared" si="102"/>
        <v>0</v>
      </c>
      <c r="AM81" s="91">
        <f t="shared" si="102"/>
        <v>0</v>
      </c>
      <c r="AN81" s="91">
        <f t="shared" si="102"/>
        <v>0</v>
      </c>
      <c r="AO81" s="91">
        <f t="shared" si="102"/>
        <v>0</v>
      </c>
      <c r="AP81" s="91">
        <f t="shared" si="102"/>
        <v>0</v>
      </c>
      <c r="AQ81" s="91">
        <f t="shared" si="102"/>
        <v>0</v>
      </c>
      <c r="AR81" s="91">
        <f t="shared" si="102"/>
        <v>0</v>
      </c>
      <c r="AS81" s="105"/>
      <c r="AT81" s="91">
        <f t="shared" si="103"/>
        <v>0</v>
      </c>
      <c r="AU81" s="91">
        <f t="shared" si="103"/>
        <v>0</v>
      </c>
      <c r="AV81" s="91">
        <f t="shared" si="103"/>
        <v>0</v>
      </c>
      <c r="AW81" s="91">
        <f t="shared" si="103"/>
        <v>0</v>
      </c>
      <c r="AX81" s="91">
        <f t="shared" si="103"/>
        <v>0</v>
      </c>
      <c r="AY81" s="91">
        <f t="shared" si="109"/>
        <v>0</v>
      </c>
      <c r="AZ81" s="132">
        <f t="shared" si="113"/>
        <v>1</v>
      </c>
      <c r="BA81" s="132">
        <f t="shared" si="114"/>
        <v>0</v>
      </c>
      <c r="BB81" s="105"/>
      <c r="BC81" s="131">
        <f>IFERROR(BC21*INDEX('Project Info'!$I68:$M68,MATCH(BC$5,'Project Info'!$I$15:$M$15,0)),0)</f>
        <v>0</v>
      </c>
      <c r="BD81" s="131">
        <f>IFERROR(BD21*INDEX('Project Info'!$I68:$M68,MATCH(BD$5,'Project Info'!$I$15:$M$15,0)),0)</f>
        <v>0</v>
      </c>
      <c r="BE81" s="131">
        <f>IFERROR(BE21*INDEX('Project Info'!$I68:$M68,MATCH(BE$5,'Project Info'!$I$15:$M$15,0)),0)</f>
        <v>0</v>
      </c>
      <c r="BF81" s="131">
        <f>IFERROR(BF21*INDEX('Project Info'!$I68:$M68,MATCH(BF$5,'Project Info'!$I$15:$M$15,0)),0)</f>
        <v>0</v>
      </c>
      <c r="BG81" s="131">
        <f>IFERROR(BG21*INDEX('Project Info'!$I68:$M68,MATCH(BG$5,'Project Info'!$I$15:$M$15,0)),0)</f>
        <v>0</v>
      </c>
      <c r="BH81" s="131">
        <f>IFERROR(BH21*INDEX('Project Info'!$I68:$M68,MATCH(BH$5,'Project Info'!$I$15:$M$15,0)),0)</f>
        <v>0</v>
      </c>
      <c r="BI81" s="91">
        <f t="shared" si="115"/>
        <v>0</v>
      </c>
      <c r="BJ81" s="132">
        <f t="shared" si="116"/>
        <v>0</v>
      </c>
      <c r="BK81" s="105"/>
      <c r="BL81" s="91">
        <f t="shared" si="104"/>
        <v>0</v>
      </c>
      <c r="BM81" s="91">
        <f t="shared" si="105"/>
        <v>0</v>
      </c>
      <c r="BN81" s="91">
        <f t="shared" si="106"/>
        <v>0</v>
      </c>
      <c r="BO81" s="91">
        <f t="shared" si="107"/>
        <v>0</v>
      </c>
      <c r="BP81" s="91">
        <f t="shared" si="108"/>
        <v>0</v>
      </c>
      <c r="BQ81" s="91">
        <f>SUM(BL81:BP81)</f>
        <v>0</v>
      </c>
      <c r="BR81" s="111">
        <f t="shared" si="111"/>
        <v>1</v>
      </c>
      <c r="BS81" s="111">
        <f t="shared" si="112"/>
        <v>0</v>
      </c>
    </row>
    <row r="82" spans="1:71">
      <c r="A82" s="105"/>
      <c r="B82" s="105"/>
      <c r="C82" s="105"/>
      <c r="D82" s="105"/>
      <c r="E82" s="105"/>
      <c r="F82" s="105"/>
      <c r="G82" s="105"/>
      <c r="H82" s="105"/>
      <c r="I82" s="105"/>
      <c r="J82" s="105"/>
      <c r="K82" s="105"/>
      <c r="L82" s="105"/>
      <c r="M82" s="105"/>
      <c r="N82" s="105"/>
      <c r="O82" s="105"/>
      <c r="P82" s="105"/>
      <c r="Q82" s="105"/>
      <c r="R82" s="105"/>
      <c r="S82" s="105"/>
      <c r="T82" s="105"/>
      <c r="U82" s="105"/>
      <c r="V82" s="105"/>
      <c r="W82" s="105"/>
      <c r="X82" s="105"/>
      <c r="Y82" s="105"/>
      <c r="Z82" s="105"/>
      <c r="AA82" s="105"/>
      <c r="AB82" s="105"/>
      <c r="AC82" s="105"/>
      <c r="AD82" s="105"/>
      <c r="AE82" s="105"/>
      <c r="AF82" s="105"/>
      <c r="AG82" s="105"/>
      <c r="AH82" s="105"/>
      <c r="AI82" s="105"/>
      <c r="AJ82" s="105"/>
      <c r="AK82" s="105"/>
      <c r="AL82" s="105"/>
      <c r="AM82" s="105"/>
      <c r="AN82" s="105"/>
      <c r="AO82" s="105"/>
      <c r="AP82" s="105"/>
      <c r="AQ82" s="105"/>
      <c r="AR82" s="105"/>
      <c r="AS82" s="105"/>
      <c r="AT82" s="105"/>
      <c r="AU82" s="105"/>
      <c r="AV82" s="105"/>
      <c r="AW82" s="105"/>
      <c r="AX82" s="105"/>
      <c r="AY82" s="105"/>
      <c r="AZ82" s="105"/>
      <c r="BA82" s="105"/>
      <c r="BB82" s="105"/>
      <c r="BC82" s="105"/>
      <c r="BD82" s="105"/>
      <c r="BE82" s="105"/>
      <c r="BF82" s="105"/>
      <c r="BG82" s="105"/>
      <c r="BH82" s="105"/>
      <c r="BI82" s="105"/>
      <c r="BJ82" s="105"/>
      <c r="BK82" s="105"/>
      <c r="BL82" s="105"/>
      <c r="BM82" s="105"/>
      <c r="BN82" s="105"/>
      <c r="BO82" s="105"/>
      <c r="BP82" s="105"/>
      <c r="BQ82" s="105"/>
      <c r="BR82" s="105"/>
      <c r="BS82" s="105"/>
    </row>
    <row r="83" spans="1:71" ht="14.4" thickBot="1">
      <c r="A83" s="194" t="str">
        <f>CONCATENATE(Menus!C26," Intensity"," (",'Project Info'!G22,"/",'Project Info'!$E$7, ")")</f>
        <v>Carbon Emissions Intensity (kg CO2e/ft²)</v>
      </c>
      <c r="B83" s="194"/>
      <c r="C83" s="194"/>
      <c r="D83" s="194"/>
      <c r="E83" s="194"/>
      <c r="F83" s="194"/>
      <c r="G83" s="194"/>
      <c r="H83" s="194"/>
      <c r="I83" s="194"/>
      <c r="J83" s="194"/>
      <c r="K83" s="194"/>
      <c r="L83" s="194"/>
      <c r="M83" s="194"/>
      <c r="N83" s="194"/>
      <c r="O83" s="194"/>
      <c r="P83" s="194"/>
      <c r="Q83" s="194"/>
      <c r="R83" s="194"/>
      <c r="S83" s="194"/>
      <c r="T83" s="194"/>
      <c r="U83" s="194"/>
      <c r="V83" s="194"/>
      <c r="W83" s="194"/>
      <c r="X83" s="194"/>
      <c r="Y83" s="194"/>
      <c r="Z83" s="194"/>
      <c r="AA83" s="194"/>
      <c r="AB83" s="105"/>
      <c r="AC83" s="105"/>
      <c r="AD83" s="105"/>
      <c r="AE83" s="105"/>
      <c r="AF83" s="105"/>
      <c r="AG83" s="105"/>
      <c r="AH83" s="105"/>
      <c r="AI83" s="105"/>
      <c r="AJ83" s="105"/>
      <c r="AK83" s="105"/>
      <c r="AL83" s="105"/>
      <c r="AM83" s="105"/>
      <c r="AN83" s="105"/>
      <c r="AO83" s="105"/>
      <c r="AP83" s="105"/>
      <c r="AQ83" s="105"/>
      <c r="AR83" s="105"/>
      <c r="AS83" s="105"/>
      <c r="AT83" s="105"/>
      <c r="AU83" s="105"/>
      <c r="AV83" s="105"/>
      <c r="AW83" s="105"/>
      <c r="AX83" s="105"/>
      <c r="AY83" s="105"/>
      <c r="AZ83" s="105"/>
      <c r="BA83" s="105"/>
      <c r="BB83" s="105"/>
      <c r="BC83" s="105"/>
      <c r="BD83" s="105"/>
      <c r="BE83" s="105"/>
      <c r="BF83" s="105"/>
      <c r="BG83" s="105"/>
      <c r="BH83" s="105"/>
      <c r="BI83" s="105"/>
      <c r="BJ83" s="105"/>
      <c r="BK83" s="105"/>
      <c r="BL83" s="105"/>
      <c r="BM83" s="105"/>
      <c r="BN83" s="105"/>
      <c r="BO83" s="105"/>
      <c r="BP83" s="105"/>
      <c r="BQ83" s="105"/>
      <c r="BR83" s="105"/>
      <c r="BS83" s="105"/>
    </row>
    <row r="84" spans="1:71">
      <c r="A84" s="105" t="str">
        <f t="shared" ref="A84:A96" si="117">A9</f>
        <v>LEED Baseline</v>
      </c>
      <c r="B84" s="145">
        <f t="shared" ref="B84:B96" si="118">B24</f>
        <v>13652</v>
      </c>
      <c r="C84" s="103">
        <f t="shared" ref="C84:AA84" si="119">IFERROR(C69/$B84,0)</f>
        <v>0.3324903128372621</v>
      </c>
      <c r="D84" s="103">
        <f t="shared" si="119"/>
        <v>0</v>
      </c>
      <c r="E84" s="103">
        <f t="shared" si="119"/>
        <v>0</v>
      </c>
      <c r="F84" s="103">
        <f t="shared" si="119"/>
        <v>0</v>
      </c>
      <c r="G84" s="103">
        <f t="shared" si="119"/>
        <v>1.2391892653550738</v>
      </c>
      <c r="H84" s="103">
        <f t="shared" si="119"/>
        <v>0</v>
      </c>
      <c r="I84" s="103">
        <f t="shared" si="119"/>
        <v>1.3301683919853837</v>
      </c>
      <c r="J84" s="103">
        <f t="shared" si="119"/>
        <v>0</v>
      </c>
      <c r="K84" s="103">
        <f t="shared" si="119"/>
        <v>1.5618108064469438</v>
      </c>
      <c r="L84" s="103">
        <f t="shared" si="119"/>
        <v>0</v>
      </c>
      <c r="M84" s="103">
        <f t="shared" si="119"/>
        <v>0</v>
      </c>
      <c r="N84" s="103">
        <f t="shared" si="119"/>
        <v>0</v>
      </c>
      <c r="O84" s="103">
        <f t="shared" si="119"/>
        <v>1.5159661448980715</v>
      </c>
      <c r="P84" s="103">
        <f t="shared" si="119"/>
        <v>0</v>
      </c>
      <c r="Q84" s="103">
        <f t="shared" si="119"/>
        <v>0</v>
      </c>
      <c r="R84" s="103">
        <f t="shared" si="119"/>
        <v>0</v>
      </c>
      <c r="S84" s="103">
        <f t="shared" si="119"/>
        <v>0</v>
      </c>
      <c r="T84" s="103">
        <f t="shared" si="119"/>
        <v>0</v>
      </c>
      <c r="U84" s="103">
        <f t="shared" si="119"/>
        <v>0</v>
      </c>
      <c r="V84" s="103">
        <f t="shared" si="119"/>
        <v>0</v>
      </c>
      <c r="W84" s="103">
        <f t="shared" si="119"/>
        <v>0</v>
      </c>
      <c r="X84" s="103">
        <f t="shared" si="119"/>
        <v>0</v>
      </c>
      <c r="Y84" s="103">
        <f t="shared" si="119"/>
        <v>0</v>
      </c>
      <c r="Z84" s="103">
        <f t="shared" si="119"/>
        <v>0</v>
      </c>
      <c r="AA84" s="103">
        <f t="shared" si="119"/>
        <v>0</v>
      </c>
      <c r="AB84" s="105"/>
      <c r="AC84" s="91">
        <f t="shared" ref="AC84:AR96" si="120">SUMIF($C$4:$AA$4,AC$4,$C84:$AA84)</f>
        <v>0.3324903128372621</v>
      </c>
      <c r="AD84" s="91">
        <f t="shared" si="120"/>
        <v>1.2391892653550738</v>
      </c>
      <c r="AE84" s="91">
        <f t="shared" si="120"/>
        <v>1.3301683919853837</v>
      </c>
      <c r="AF84" s="91">
        <f t="shared" si="120"/>
        <v>0</v>
      </c>
      <c r="AG84" s="91">
        <f t="shared" si="120"/>
        <v>1.5618108064469438</v>
      </c>
      <c r="AH84" s="91">
        <f t="shared" si="120"/>
        <v>0</v>
      </c>
      <c r="AI84" s="91">
        <f t="shared" si="120"/>
        <v>1.5159661448980715</v>
      </c>
      <c r="AJ84" s="91">
        <f t="shared" si="120"/>
        <v>0</v>
      </c>
      <c r="AK84" s="91">
        <f t="shared" si="120"/>
        <v>0</v>
      </c>
      <c r="AL84" s="91">
        <f t="shared" si="120"/>
        <v>0</v>
      </c>
      <c r="AM84" s="91">
        <f t="shared" si="120"/>
        <v>0</v>
      </c>
      <c r="AN84" s="91">
        <f t="shared" si="120"/>
        <v>0</v>
      </c>
      <c r="AO84" s="91">
        <f t="shared" si="120"/>
        <v>0</v>
      </c>
      <c r="AP84" s="91">
        <f t="shared" si="120"/>
        <v>0</v>
      </c>
      <c r="AQ84" s="91">
        <f t="shared" si="120"/>
        <v>0</v>
      </c>
      <c r="AR84" s="91">
        <f t="shared" si="120"/>
        <v>0</v>
      </c>
      <c r="AS84" s="105"/>
      <c r="AT84" s="91">
        <f t="shared" ref="AT84:AX96" si="121">SUMIF($C$5:$AA$5,"="&amp;AT$5,$C84:$AA84)</f>
        <v>5.9796249215227348</v>
      </c>
      <c r="AU84" s="91">
        <f t="shared" si="121"/>
        <v>0</v>
      </c>
      <c r="AV84" s="91">
        <f t="shared" si="121"/>
        <v>0</v>
      </c>
      <c r="AW84" s="91">
        <f t="shared" si="121"/>
        <v>0</v>
      </c>
      <c r="AX84" s="91">
        <f t="shared" si="121"/>
        <v>0</v>
      </c>
      <c r="AY84" s="91">
        <f>SUM(AT84:AX84)</f>
        <v>5.9796249215227348</v>
      </c>
      <c r="AZ84" s="110"/>
      <c r="BA84" s="110"/>
      <c r="BB84" s="105"/>
      <c r="BC84" s="110"/>
      <c r="BD84" s="110"/>
      <c r="BE84" s="110"/>
      <c r="BF84" s="110"/>
      <c r="BG84" s="110"/>
      <c r="BH84" s="110"/>
      <c r="BI84" s="110"/>
      <c r="BJ84" s="110"/>
      <c r="BK84" s="105"/>
      <c r="BL84" s="91">
        <f t="shared" ref="BL84:BL96" si="122">AT84-(SUMIF($BC$5:$BH$5,"="&amp;BL$5,$BC84:$BH84))</f>
        <v>5.9796249215227348</v>
      </c>
      <c r="BM84" s="91">
        <f t="shared" ref="BM84:BM96" si="123">AU84-(SUMIF($BC$5:$BH$5,"="&amp;BM$5,$BC84:$BH84))</f>
        <v>0</v>
      </c>
      <c r="BN84" s="91">
        <f t="shared" ref="BN84:BN96" si="124">AV84-(SUMIF($BC$5:$BH$5,"="&amp;BN$5,$BC84:$BH84))</f>
        <v>0</v>
      </c>
      <c r="BO84" s="91">
        <f t="shared" ref="BO84:BO96" si="125">AW84-(SUMIF($BC$5:$BH$5,"="&amp;BO$5,$BC84:$BH84))</f>
        <v>0</v>
      </c>
      <c r="BP84" s="91">
        <f t="shared" ref="BP84:BP96" si="126">AX84-(SUMIF($BC$5:$BH$5,"="&amp;BP$5,$BC84:$BH84))</f>
        <v>0</v>
      </c>
      <c r="BQ84" s="91">
        <f>SUM(BL84:BP84)</f>
        <v>5.9796249215227348</v>
      </c>
      <c r="BR84" s="110"/>
      <c r="BS84" s="110"/>
    </row>
    <row r="85" spans="1:71">
      <c r="A85" s="105" t="str">
        <f t="shared" si="117"/>
        <v>Code Baseline</v>
      </c>
      <c r="B85" s="145">
        <f t="shared" si="118"/>
        <v>13652</v>
      </c>
      <c r="C85" s="103">
        <f t="shared" ref="C85:AA85" si="127">IFERROR(C70/$B85,0)</f>
        <v>0</v>
      </c>
      <c r="D85" s="103">
        <f t="shared" si="127"/>
        <v>0</v>
      </c>
      <c r="E85" s="103">
        <f t="shared" si="127"/>
        <v>0</v>
      </c>
      <c r="F85" s="103">
        <f t="shared" si="127"/>
        <v>0</v>
      </c>
      <c r="G85" s="103">
        <f t="shared" si="127"/>
        <v>0</v>
      </c>
      <c r="H85" s="103">
        <f t="shared" si="127"/>
        <v>0</v>
      </c>
      <c r="I85" s="103">
        <f t="shared" si="127"/>
        <v>0</v>
      </c>
      <c r="J85" s="103">
        <f t="shared" si="127"/>
        <v>0</v>
      </c>
      <c r="K85" s="103">
        <f t="shared" si="127"/>
        <v>0</v>
      </c>
      <c r="L85" s="103">
        <f t="shared" si="127"/>
        <v>0</v>
      </c>
      <c r="M85" s="103">
        <f t="shared" si="127"/>
        <v>0</v>
      </c>
      <c r="N85" s="103">
        <f t="shared" si="127"/>
        <v>0</v>
      </c>
      <c r="O85" s="103">
        <f t="shared" si="127"/>
        <v>0</v>
      </c>
      <c r="P85" s="103">
        <f t="shared" si="127"/>
        <v>0</v>
      </c>
      <c r="Q85" s="103">
        <f t="shared" si="127"/>
        <v>0</v>
      </c>
      <c r="R85" s="103">
        <f t="shared" si="127"/>
        <v>0</v>
      </c>
      <c r="S85" s="103">
        <f t="shared" si="127"/>
        <v>0</v>
      </c>
      <c r="T85" s="103">
        <f t="shared" si="127"/>
        <v>0</v>
      </c>
      <c r="U85" s="103">
        <f t="shared" si="127"/>
        <v>0</v>
      </c>
      <c r="V85" s="103">
        <f t="shared" si="127"/>
        <v>0</v>
      </c>
      <c r="W85" s="103">
        <f t="shared" si="127"/>
        <v>0</v>
      </c>
      <c r="X85" s="103">
        <f t="shared" si="127"/>
        <v>0</v>
      </c>
      <c r="Y85" s="103">
        <f t="shared" si="127"/>
        <v>0</v>
      </c>
      <c r="Z85" s="103">
        <f t="shared" si="127"/>
        <v>0</v>
      </c>
      <c r="AA85" s="103">
        <f t="shared" si="127"/>
        <v>0</v>
      </c>
      <c r="AB85" s="105"/>
      <c r="AC85" s="91">
        <f t="shared" si="120"/>
        <v>0</v>
      </c>
      <c r="AD85" s="91">
        <f t="shared" si="120"/>
        <v>0</v>
      </c>
      <c r="AE85" s="91">
        <f t="shared" si="120"/>
        <v>0</v>
      </c>
      <c r="AF85" s="91">
        <f t="shared" si="120"/>
        <v>0</v>
      </c>
      <c r="AG85" s="91">
        <f t="shared" si="120"/>
        <v>0</v>
      </c>
      <c r="AH85" s="91">
        <f t="shared" si="120"/>
        <v>0</v>
      </c>
      <c r="AI85" s="91">
        <f t="shared" si="120"/>
        <v>0</v>
      </c>
      <c r="AJ85" s="91">
        <f t="shared" si="120"/>
        <v>0</v>
      </c>
      <c r="AK85" s="91">
        <f t="shared" si="120"/>
        <v>0</v>
      </c>
      <c r="AL85" s="91">
        <f t="shared" si="120"/>
        <v>0</v>
      </c>
      <c r="AM85" s="91">
        <f t="shared" si="120"/>
        <v>0</v>
      </c>
      <c r="AN85" s="91">
        <f t="shared" si="120"/>
        <v>0</v>
      </c>
      <c r="AO85" s="91">
        <f t="shared" si="120"/>
        <v>0</v>
      </c>
      <c r="AP85" s="91">
        <f t="shared" si="120"/>
        <v>0</v>
      </c>
      <c r="AQ85" s="91">
        <f t="shared" si="120"/>
        <v>0</v>
      </c>
      <c r="AR85" s="91">
        <f t="shared" si="120"/>
        <v>0</v>
      </c>
      <c r="AS85" s="105"/>
      <c r="AT85" s="91">
        <f t="shared" si="121"/>
        <v>0</v>
      </c>
      <c r="AU85" s="91">
        <f t="shared" si="121"/>
        <v>0</v>
      </c>
      <c r="AV85" s="91">
        <f t="shared" si="121"/>
        <v>0</v>
      </c>
      <c r="AW85" s="91">
        <f t="shared" si="121"/>
        <v>0</v>
      </c>
      <c r="AX85" s="91">
        <f t="shared" si="121"/>
        <v>0</v>
      </c>
      <c r="AY85" s="91">
        <f t="shared" ref="AY85:AY96" si="128">SUM(AT85:AX85)</f>
        <v>0</v>
      </c>
      <c r="AZ85" s="110"/>
      <c r="BA85" s="110"/>
      <c r="BB85" s="105"/>
      <c r="BC85" s="110"/>
      <c r="BD85" s="110"/>
      <c r="BE85" s="110"/>
      <c r="BF85" s="110"/>
      <c r="BG85" s="110"/>
      <c r="BH85" s="110"/>
      <c r="BI85" s="110"/>
      <c r="BJ85" s="110"/>
      <c r="BK85" s="105"/>
      <c r="BL85" s="91">
        <f t="shared" si="122"/>
        <v>0</v>
      </c>
      <c r="BM85" s="91">
        <f t="shared" si="123"/>
        <v>0</v>
      </c>
      <c r="BN85" s="91">
        <f t="shared" si="124"/>
        <v>0</v>
      </c>
      <c r="BO85" s="91">
        <f t="shared" si="125"/>
        <v>0</v>
      </c>
      <c r="BP85" s="91">
        <f t="shared" si="126"/>
        <v>0</v>
      </c>
      <c r="BQ85" s="91">
        <f t="shared" ref="BQ85:BQ93" si="129">SUM(BL85:BP85)</f>
        <v>0</v>
      </c>
      <c r="BR85" s="110"/>
      <c r="BS85" s="110"/>
    </row>
    <row r="86" spans="1:71" s="136" customFormat="1">
      <c r="A86" s="134" t="str">
        <f t="shared" si="117"/>
        <v xml:space="preserve"> </v>
      </c>
      <c r="B86" s="146">
        <f t="shared" si="118"/>
        <v>13652</v>
      </c>
      <c r="C86" s="140">
        <f t="shared" ref="C86:AA86" si="130">IFERROR(C71/$B86,0)</f>
        <v>0</v>
      </c>
      <c r="D86" s="140">
        <f t="shared" si="130"/>
        <v>0</v>
      </c>
      <c r="E86" s="140">
        <f t="shared" si="130"/>
        <v>0</v>
      </c>
      <c r="F86" s="140">
        <f t="shared" si="130"/>
        <v>0</v>
      </c>
      <c r="G86" s="140">
        <f t="shared" si="130"/>
        <v>0</v>
      </c>
      <c r="H86" s="140">
        <f t="shared" si="130"/>
        <v>0</v>
      </c>
      <c r="I86" s="140">
        <f t="shared" si="130"/>
        <v>0</v>
      </c>
      <c r="J86" s="140">
        <f t="shared" si="130"/>
        <v>0</v>
      </c>
      <c r="K86" s="140">
        <f t="shared" si="130"/>
        <v>0</v>
      </c>
      <c r="L86" s="140">
        <f t="shared" si="130"/>
        <v>0</v>
      </c>
      <c r="M86" s="140">
        <f t="shared" si="130"/>
        <v>0</v>
      </c>
      <c r="N86" s="140">
        <f t="shared" si="130"/>
        <v>0</v>
      </c>
      <c r="O86" s="140">
        <f t="shared" si="130"/>
        <v>0</v>
      </c>
      <c r="P86" s="140">
        <f t="shared" si="130"/>
        <v>0</v>
      </c>
      <c r="Q86" s="140">
        <f t="shared" si="130"/>
        <v>0</v>
      </c>
      <c r="R86" s="140">
        <f t="shared" si="130"/>
        <v>0</v>
      </c>
      <c r="S86" s="140">
        <f t="shared" si="130"/>
        <v>0</v>
      </c>
      <c r="T86" s="140">
        <f t="shared" si="130"/>
        <v>0</v>
      </c>
      <c r="U86" s="140">
        <f t="shared" si="130"/>
        <v>0</v>
      </c>
      <c r="V86" s="140">
        <f t="shared" si="130"/>
        <v>0</v>
      </c>
      <c r="W86" s="140">
        <f t="shared" si="130"/>
        <v>0</v>
      </c>
      <c r="X86" s="140">
        <f t="shared" si="130"/>
        <v>0</v>
      </c>
      <c r="Y86" s="140">
        <f t="shared" si="130"/>
        <v>0</v>
      </c>
      <c r="Z86" s="140">
        <f t="shared" si="130"/>
        <v>0</v>
      </c>
      <c r="AA86" s="140">
        <f t="shared" si="130"/>
        <v>0</v>
      </c>
      <c r="AB86" s="134"/>
      <c r="AC86" s="135">
        <f t="shared" si="120"/>
        <v>0</v>
      </c>
      <c r="AD86" s="135">
        <f t="shared" si="120"/>
        <v>0</v>
      </c>
      <c r="AE86" s="135">
        <f t="shared" si="120"/>
        <v>0</v>
      </c>
      <c r="AF86" s="135">
        <f t="shared" si="120"/>
        <v>0</v>
      </c>
      <c r="AG86" s="135">
        <f t="shared" si="120"/>
        <v>0</v>
      </c>
      <c r="AH86" s="135">
        <f t="shared" si="120"/>
        <v>0</v>
      </c>
      <c r="AI86" s="135">
        <f t="shared" si="120"/>
        <v>0</v>
      </c>
      <c r="AJ86" s="135">
        <f t="shared" si="120"/>
        <v>0</v>
      </c>
      <c r="AK86" s="135">
        <f t="shared" si="120"/>
        <v>0</v>
      </c>
      <c r="AL86" s="135">
        <f t="shared" si="120"/>
        <v>0</v>
      </c>
      <c r="AM86" s="135">
        <f t="shared" si="120"/>
        <v>0</v>
      </c>
      <c r="AN86" s="135">
        <f t="shared" si="120"/>
        <v>0</v>
      </c>
      <c r="AO86" s="135">
        <f t="shared" si="120"/>
        <v>0</v>
      </c>
      <c r="AP86" s="135">
        <f t="shared" si="120"/>
        <v>0</v>
      </c>
      <c r="AQ86" s="135">
        <f t="shared" si="120"/>
        <v>0</v>
      </c>
      <c r="AR86" s="135">
        <f t="shared" si="120"/>
        <v>0</v>
      </c>
      <c r="AS86" s="134"/>
      <c r="AT86" s="135">
        <f t="shared" si="121"/>
        <v>0</v>
      </c>
      <c r="AU86" s="135">
        <f t="shared" si="121"/>
        <v>0</v>
      </c>
      <c r="AV86" s="135">
        <f t="shared" si="121"/>
        <v>0</v>
      </c>
      <c r="AW86" s="135">
        <f t="shared" si="121"/>
        <v>0</v>
      </c>
      <c r="AX86" s="135">
        <f t="shared" si="121"/>
        <v>0</v>
      </c>
      <c r="AY86" s="135">
        <f t="shared" si="128"/>
        <v>0</v>
      </c>
      <c r="AZ86" s="137"/>
      <c r="BA86" s="137"/>
      <c r="BB86" s="134"/>
      <c r="BC86" s="137"/>
      <c r="BD86" s="137"/>
      <c r="BE86" s="137"/>
      <c r="BF86" s="137"/>
      <c r="BG86" s="137"/>
      <c r="BH86" s="137"/>
      <c r="BI86" s="137"/>
      <c r="BJ86" s="137"/>
      <c r="BK86" s="134"/>
      <c r="BL86" s="135">
        <f t="shared" si="122"/>
        <v>0</v>
      </c>
      <c r="BM86" s="135">
        <f t="shared" si="123"/>
        <v>0</v>
      </c>
      <c r="BN86" s="135">
        <f t="shared" si="124"/>
        <v>0</v>
      </c>
      <c r="BO86" s="135">
        <f t="shared" si="125"/>
        <v>0</v>
      </c>
      <c r="BP86" s="135">
        <f t="shared" si="126"/>
        <v>0</v>
      </c>
      <c r="BQ86" s="135">
        <f t="shared" si="129"/>
        <v>0</v>
      </c>
      <c r="BR86" s="137"/>
      <c r="BS86" s="137"/>
    </row>
    <row r="87" spans="1:71">
      <c r="A87" s="105" t="str">
        <f t="shared" si="117"/>
        <v>Proposed Design</v>
      </c>
      <c r="B87" s="145">
        <f t="shared" si="118"/>
        <v>13652</v>
      </c>
      <c r="C87" s="138">
        <f t="shared" ref="C87:AA87" si="131">IFERROR(C72/$B87,0)</f>
        <v>0.3324903128372621</v>
      </c>
      <c r="D87" s="138">
        <f t="shared" si="131"/>
        <v>0</v>
      </c>
      <c r="E87" s="138">
        <f t="shared" si="131"/>
        <v>0</v>
      </c>
      <c r="F87" s="138">
        <f t="shared" si="131"/>
        <v>0</v>
      </c>
      <c r="G87" s="138">
        <f t="shared" si="131"/>
        <v>1.2391892653550738</v>
      </c>
      <c r="H87" s="138">
        <f t="shared" si="131"/>
        <v>0</v>
      </c>
      <c r="I87" s="138">
        <f t="shared" si="131"/>
        <v>1.3301683919853837</v>
      </c>
      <c r="J87" s="138">
        <f t="shared" si="131"/>
        <v>0</v>
      </c>
      <c r="K87" s="138">
        <f t="shared" si="131"/>
        <v>1.5618108064469438</v>
      </c>
      <c r="L87" s="138">
        <f t="shared" si="131"/>
        <v>0</v>
      </c>
      <c r="M87" s="138">
        <f t="shared" si="131"/>
        <v>0</v>
      </c>
      <c r="N87" s="138">
        <f t="shared" si="131"/>
        <v>0</v>
      </c>
      <c r="O87" s="138">
        <f t="shared" si="131"/>
        <v>1.5159661448980715</v>
      </c>
      <c r="P87" s="138">
        <f t="shared" si="131"/>
        <v>0</v>
      </c>
      <c r="Q87" s="138">
        <f t="shared" si="131"/>
        <v>0</v>
      </c>
      <c r="R87" s="138">
        <f t="shared" si="131"/>
        <v>0</v>
      </c>
      <c r="S87" s="138">
        <f t="shared" si="131"/>
        <v>0</v>
      </c>
      <c r="T87" s="138">
        <f t="shared" si="131"/>
        <v>0</v>
      </c>
      <c r="U87" s="138">
        <f t="shared" si="131"/>
        <v>0</v>
      </c>
      <c r="V87" s="138">
        <f t="shared" si="131"/>
        <v>0</v>
      </c>
      <c r="W87" s="138">
        <f t="shared" si="131"/>
        <v>0</v>
      </c>
      <c r="X87" s="138">
        <f t="shared" si="131"/>
        <v>0</v>
      </c>
      <c r="Y87" s="138">
        <f t="shared" si="131"/>
        <v>0</v>
      </c>
      <c r="Z87" s="138">
        <f t="shared" si="131"/>
        <v>0</v>
      </c>
      <c r="AA87" s="138">
        <f t="shared" si="131"/>
        <v>0</v>
      </c>
      <c r="AB87" s="105"/>
      <c r="AC87" s="131">
        <f t="shared" si="120"/>
        <v>0.3324903128372621</v>
      </c>
      <c r="AD87" s="131">
        <f t="shared" si="120"/>
        <v>1.2391892653550738</v>
      </c>
      <c r="AE87" s="131">
        <f t="shared" si="120"/>
        <v>1.3301683919853837</v>
      </c>
      <c r="AF87" s="131">
        <f t="shared" si="120"/>
        <v>0</v>
      </c>
      <c r="AG87" s="131">
        <f t="shared" si="120"/>
        <v>1.5618108064469438</v>
      </c>
      <c r="AH87" s="131">
        <f t="shared" si="120"/>
        <v>0</v>
      </c>
      <c r="AI87" s="131">
        <f t="shared" si="120"/>
        <v>1.5159661448980715</v>
      </c>
      <c r="AJ87" s="131">
        <f t="shared" si="120"/>
        <v>0</v>
      </c>
      <c r="AK87" s="131">
        <f t="shared" si="120"/>
        <v>0</v>
      </c>
      <c r="AL87" s="131">
        <f t="shared" si="120"/>
        <v>0</v>
      </c>
      <c r="AM87" s="131">
        <f t="shared" si="120"/>
        <v>0</v>
      </c>
      <c r="AN87" s="131">
        <f t="shared" si="120"/>
        <v>0</v>
      </c>
      <c r="AO87" s="131">
        <f t="shared" si="120"/>
        <v>0</v>
      </c>
      <c r="AP87" s="131">
        <f t="shared" si="120"/>
        <v>0</v>
      </c>
      <c r="AQ87" s="131">
        <f t="shared" si="120"/>
        <v>0</v>
      </c>
      <c r="AR87" s="131">
        <f t="shared" si="120"/>
        <v>0</v>
      </c>
      <c r="AS87" s="105"/>
      <c r="AT87" s="131">
        <f t="shared" si="121"/>
        <v>5.9796249215227348</v>
      </c>
      <c r="AU87" s="131">
        <f t="shared" si="121"/>
        <v>0</v>
      </c>
      <c r="AV87" s="131">
        <f t="shared" si="121"/>
        <v>0</v>
      </c>
      <c r="AW87" s="131">
        <f t="shared" si="121"/>
        <v>0</v>
      </c>
      <c r="AX87" s="131">
        <f t="shared" si="121"/>
        <v>0</v>
      </c>
      <c r="AY87" s="131">
        <f t="shared" si="128"/>
        <v>5.9796249215227348</v>
      </c>
      <c r="AZ87" s="132">
        <f>IFERROR(1-($AY87/$AY$84),0)</f>
        <v>0</v>
      </c>
      <c r="BA87" s="132">
        <f>IFERROR(1-($AY87/$AY$85),0)</f>
        <v>0</v>
      </c>
      <c r="BB87" s="105"/>
      <c r="BC87" s="131">
        <f>IFERROR(BC72/$B87,0)</f>
        <v>0</v>
      </c>
      <c r="BD87" s="131">
        <f t="shared" ref="BD87:BH87" si="132">IFERROR(BD72/$B87,0)</f>
        <v>0</v>
      </c>
      <c r="BE87" s="131">
        <f t="shared" si="132"/>
        <v>0</v>
      </c>
      <c r="BF87" s="131">
        <f t="shared" si="132"/>
        <v>0</v>
      </c>
      <c r="BG87" s="131">
        <f t="shared" si="132"/>
        <v>0</v>
      </c>
      <c r="BH87" s="131">
        <f t="shared" si="132"/>
        <v>0</v>
      </c>
      <c r="BI87" s="91">
        <f>SUM(BC87:BH87)</f>
        <v>0</v>
      </c>
      <c r="BJ87" s="132">
        <f>IFERROR(BI87/AY87,0)</f>
        <v>0</v>
      </c>
      <c r="BK87" s="105"/>
      <c r="BL87" s="131">
        <f t="shared" si="122"/>
        <v>5.9796249215227348</v>
      </c>
      <c r="BM87" s="131">
        <f t="shared" si="123"/>
        <v>0</v>
      </c>
      <c r="BN87" s="131">
        <f t="shared" si="124"/>
        <v>0</v>
      </c>
      <c r="BO87" s="131">
        <f t="shared" si="125"/>
        <v>0</v>
      </c>
      <c r="BP87" s="131">
        <f t="shared" si="126"/>
        <v>0</v>
      </c>
      <c r="BQ87" s="131">
        <f t="shared" si="129"/>
        <v>5.9796249215227348</v>
      </c>
      <c r="BR87" s="132">
        <f>IFERROR(1-($BQ87/$BQ$84),0)</f>
        <v>0</v>
      </c>
      <c r="BS87" s="132">
        <f>IFERROR(1-($BQ87/$BQ$85),0)</f>
        <v>0</v>
      </c>
    </row>
    <row r="88" spans="1:71">
      <c r="A88" s="105" t="str">
        <f t="shared" si="117"/>
        <v xml:space="preserve"> </v>
      </c>
      <c r="B88" s="145">
        <f t="shared" si="118"/>
        <v>13652</v>
      </c>
      <c r="C88" s="103">
        <f t="shared" ref="C88:AA88" si="133">IFERROR(C73/$B88,0)</f>
        <v>0</v>
      </c>
      <c r="D88" s="103">
        <f t="shared" si="133"/>
        <v>0</v>
      </c>
      <c r="E88" s="103">
        <f t="shared" si="133"/>
        <v>0</v>
      </c>
      <c r="F88" s="103">
        <f t="shared" si="133"/>
        <v>0</v>
      </c>
      <c r="G88" s="103">
        <f t="shared" si="133"/>
        <v>0</v>
      </c>
      <c r="H88" s="103">
        <f t="shared" si="133"/>
        <v>0</v>
      </c>
      <c r="I88" s="103">
        <f t="shared" si="133"/>
        <v>0</v>
      </c>
      <c r="J88" s="103">
        <f t="shared" si="133"/>
        <v>0</v>
      </c>
      <c r="K88" s="103">
        <f t="shared" si="133"/>
        <v>0</v>
      </c>
      <c r="L88" s="103">
        <f t="shared" si="133"/>
        <v>0</v>
      </c>
      <c r="M88" s="103">
        <f t="shared" si="133"/>
        <v>0</v>
      </c>
      <c r="N88" s="103">
        <f t="shared" si="133"/>
        <v>0</v>
      </c>
      <c r="O88" s="103">
        <f t="shared" si="133"/>
        <v>0</v>
      </c>
      <c r="P88" s="103">
        <f t="shared" si="133"/>
        <v>0</v>
      </c>
      <c r="Q88" s="103">
        <f t="shared" si="133"/>
        <v>0</v>
      </c>
      <c r="R88" s="103">
        <f t="shared" si="133"/>
        <v>0</v>
      </c>
      <c r="S88" s="103">
        <f t="shared" si="133"/>
        <v>0</v>
      </c>
      <c r="T88" s="103">
        <f t="shared" si="133"/>
        <v>0</v>
      </c>
      <c r="U88" s="103">
        <f t="shared" si="133"/>
        <v>0</v>
      </c>
      <c r="V88" s="103">
        <f t="shared" si="133"/>
        <v>0</v>
      </c>
      <c r="W88" s="103">
        <f t="shared" si="133"/>
        <v>0</v>
      </c>
      <c r="X88" s="103">
        <f t="shared" si="133"/>
        <v>0</v>
      </c>
      <c r="Y88" s="103">
        <f t="shared" si="133"/>
        <v>0</v>
      </c>
      <c r="Z88" s="103">
        <f t="shared" si="133"/>
        <v>0</v>
      </c>
      <c r="AA88" s="103">
        <f t="shared" si="133"/>
        <v>0</v>
      </c>
      <c r="AB88" s="105"/>
      <c r="AC88" s="91">
        <f t="shared" si="120"/>
        <v>0</v>
      </c>
      <c r="AD88" s="91">
        <f t="shared" si="120"/>
        <v>0</v>
      </c>
      <c r="AE88" s="91">
        <f t="shared" si="120"/>
        <v>0</v>
      </c>
      <c r="AF88" s="91">
        <f t="shared" si="120"/>
        <v>0</v>
      </c>
      <c r="AG88" s="91">
        <f t="shared" si="120"/>
        <v>0</v>
      </c>
      <c r="AH88" s="91">
        <f t="shared" si="120"/>
        <v>0</v>
      </c>
      <c r="AI88" s="91">
        <f t="shared" si="120"/>
        <v>0</v>
      </c>
      <c r="AJ88" s="91">
        <f t="shared" si="120"/>
        <v>0</v>
      </c>
      <c r="AK88" s="91">
        <f t="shared" si="120"/>
        <v>0</v>
      </c>
      <c r="AL88" s="91">
        <f t="shared" si="120"/>
        <v>0</v>
      </c>
      <c r="AM88" s="91">
        <f t="shared" si="120"/>
        <v>0</v>
      </c>
      <c r="AN88" s="91">
        <f t="shared" si="120"/>
        <v>0</v>
      </c>
      <c r="AO88" s="91">
        <f t="shared" si="120"/>
        <v>0</v>
      </c>
      <c r="AP88" s="91">
        <f t="shared" si="120"/>
        <v>0</v>
      </c>
      <c r="AQ88" s="91">
        <f t="shared" si="120"/>
        <v>0</v>
      </c>
      <c r="AR88" s="91">
        <f t="shared" si="120"/>
        <v>0</v>
      </c>
      <c r="AS88" s="105"/>
      <c r="AT88" s="91">
        <f t="shared" si="121"/>
        <v>0</v>
      </c>
      <c r="AU88" s="91">
        <f t="shared" si="121"/>
        <v>0</v>
      </c>
      <c r="AV88" s="91">
        <f t="shared" si="121"/>
        <v>0</v>
      </c>
      <c r="AW88" s="91">
        <f t="shared" si="121"/>
        <v>0</v>
      </c>
      <c r="AX88" s="91">
        <f t="shared" si="121"/>
        <v>0</v>
      </c>
      <c r="AY88" s="91">
        <f t="shared" si="128"/>
        <v>0</v>
      </c>
      <c r="AZ88" s="132">
        <f t="shared" ref="AZ88:AZ96" si="134">IFERROR(1-($AY88/$AY$84),0)</f>
        <v>1</v>
      </c>
      <c r="BA88" s="132">
        <f t="shared" ref="BA88:BA96" si="135">IFERROR(1-($AY88/$AY$85),0)</f>
        <v>0</v>
      </c>
      <c r="BB88" s="105"/>
      <c r="BC88" s="131">
        <f t="shared" ref="BC88:BH96" si="136">IFERROR(BC73/$B88,0)</f>
        <v>0</v>
      </c>
      <c r="BD88" s="131">
        <f t="shared" si="136"/>
        <v>0</v>
      </c>
      <c r="BE88" s="131">
        <f t="shared" si="136"/>
        <v>0</v>
      </c>
      <c r="BF88" s="131">
        <f t="shared" si="136"/>
        <v>0</v>
      </c>
      <c r="BG88" s="131">
        <f t="shared" si="136"/>
        <v>0</v>
      </c>
      <c r="BH88" s="131">
        <f t="shared" si="136"/>
        <v>0</v>
      </c>
      <c r="BI88" s="91">
        <f t="shared" ref="BI88:BI96" si="137">SUM(BC88:BH88)</f>
        <v>0</v>
      </c>
      <c r="BJ88" s="132">
        <f t="shared" ref="BJ88:BJ96" si="138">IFERROR(BI88/AY88,0)</f>
        <v>0</v>
      </c>
      <c r="BK88" s="105"/>
      <c r="BL88" s="91">
        <f t="shared" si="122"/>
        <v>0</v>
      </c>
      <c r="BM88" s="91">
        <f t="shared" si="123"/>
        <v>0</v>
      </c>
      <c r="BN88" s="91">
        <f t="shared" si="124"/>
        <v>0</v>
      </c>
      <c r="BO88" s="91">
        <f t="shared" si="125"/>
        <v>0</v>
      </c>
      <c r="BP88" s="91">
        <f t="shared" si="126"/>
        <v>0</v>
      </c>
      <c r="BQ88" s="91">
        <f t="shared" si="129"/>
        <v>0</v>
      </c>
      <c r="BR88" s="132">
        <f t="shared" ref="BR88:BR96" si="139">IFERROR(1-($BQ88/$BQ$84),0)</f>
        <v>1</v>
      </c>
      <c r="BS88" s="132">
        <f t="shared" ref="BS88:BS96" si="140">IFERROR(1-($BQ88/$BQ$85),0)</f>
        <v>0</v>
      </c>
    </row>
    <row r="89" spans="1:71">
      <c r="A89" s="105" t="str">
        <f t="shared" si="117"/>
        <v xml:space="preserve"> </v>
      </c>
      <c r="B89" s="145">
        <f t="shared" si="118"/>
        <v>13652</v>
      </c>
      <c r="C89" s="103">
        <f t="shared" ref="C89:AA89" si="141">IFERROR(C74/$B89,0)</f>
        <v>0</v>
      </c>
      <c r="D89" s="103">
        <f t="shared" si="141"/>
        <v>0</v>
      </c>
      <c r="E89" s="103">
        <f t="shared" si="141"/>
        <v>0</v>
      </c>
      <c r="F89" s="103">
        <f t="shared" si="141"/>
        <v>0</v>
      </c>
      <c r="G89" s="103">
        <f t="shared" si="141"/>
        <v>0</v>
      </c>
      <c r="H89" s="103">
        <f t="shared" si="141"/>
        <v>0</v>
      </c>
      <c r="I89" s="103">
        <f t="shared" si="141"/>
        <v>0</v>
      </c>
      <c r="J89" s="103">
        <f t="shared" si="141"/>
        <v>0</v>
      </c>
      <c r="K89" s="103">
        <f t="shared" si="141"/>
        <v>0</v>
      </c>
      <c r="L89" s="103">
        <f t="shared" si="141"/>
        <v>0</v>
      </c>
      <c r="M89" s="103">
        <f t="shared" si="141"/>
        <v>0</v>
      </c>
      <c r="N89" s="103">
        <f t="shared" si="141"/>
        <v>0</v>
      </c>
      <c r="O89" s="103">
        <f t="shared" si="141"/>
        <v>0</v>
      </c>
      <c r="P89" s="103">
        <f t="shared" si="141"/>
        <v>0</v>
      </c>
      <c r="Q89" s="103">
        <f t="shared" si="141"/>
        <v>0</v>
      </c>
      <c r="R89" s="103">
        <f t="shared" si="141"/>
        <v>0</v>
      </c>
      <c r="S89" s="103">
        <f t="shared" si="141"/>
        <v>0</v>
      </c>
      <c r="T89" s="103">
        <f t="shared" si="141"/>
        <v>0</v>
      </c>
      <c r="U89" s="103">
        <f t="shared" si="141"/>
        <v>0</v>
      </c>
      <c r="V89" s="103">
        <f t="shared" si="141"/>
        <v>0</v>
      </c>
      <c r="W89" s="103">
        <f t="shared" si="141"/>
        <v>0</v>
      </c>
      <c r="X89" s="103">
        <f t="shared" si="141"/>
        <v>0</v>
      </c>
      <c r="Y89" s="103">
        <f t="shared" si="141"/>
        <v>0</v>
      </c>
      <c r="Z89" s="103">
        <f t="shared" si="141"/>
        <v>0</v>
      </c>
      <c r="AA89" s="103">
        <f t="shared" si="141"/>
        <v>0</v>
      </c>
      <c r="AB89" s="105"/>
      <c r="AC89" s="91">
        <f t="shared" si="120"/>
        <v>0</v>
      </c>
      <c r="AD89" s="91">
        <f t="shared" si="120"/>
        <v>0</v>
      </c>
      <c r="AE89" s="91">
        <f t="shared" si="120"/>
        <v>0</v>
      </c>
      <c r="AF89" s="91">
        <f t="shared" si="120"/>
        <v>0</v>
      </c>
      <c r="AG89" s="91">
        <f t="shared" si="120"/>
        <v>0</v>
      </c>
      <c r="AH89" s="91">
        <f t="shared" si="120"/>
        <v>0</v>
      </c>
      <c r="AI89" s="91">
        <f t="shared" si="120"/>
        <v>0</v>
      </c>
      <c r="AJ89" s="91">
        <f t="shared" si="120"/>
        <v>0</v>
      </c>
      <c r="AK89" s="91">
        <f t="shared" si="120"/>
        <v>0</v>
      </c>
      <c r="AL89" s="91">
        <f t="shared" si="120"/>
        <v>0</v>
      </c>
      <c r="AM89" s="91">
        <f t="shared" si="120"/>
        <v>0</v>
      </c>
      <c r="AN89" s="91">
        <f t="shared" si="120"/>
        <v>0</v>
      </c>
      <c r="AO89" s="91">
        <f t="shared" si="120"/>
        <v>0</v>
      </c>
      <c r="AP89" s="91">
        <f t="shared" si="120"/>
        <v>0</v>
      </c>
      <c r="AQ89" s="91">
        <f t="shared" si="120"/>
        <v>0</v>
      </c>
      <c r="AR89" s="91">
        <f t="shared" si="120"/>
        <v>0</v>
      </c>
      <c r="AS89" s="105"/>
      <c r="AT89" s="91">
        <f t="shared" si="121"/>
        <v>0</v>
      </c>
      <c r="AU89" s="91">
        <f t="shared" si="121"/>
        <v>0</v>
      </c>
      <c r="AV89" s="91">
        <f t="shared" si="121"/>
        <v>0</v>
      </c>
      <c r="AW89" s="91">
        <f t="shared" si="121"/>
        <v>0</v>
      </c>
      <c r="AX89" s="91">
        <f t="shared" si="121"/>
        <v>0</v>
      </c>
      <c r="AY89" s="91">
        <f t="shared" si="128"/>
        <v>0</v>
      </c>
      <c r="AZ89" s="132">
        <f t="shared" si="134"/>
        <v>1</v>
      </c>
      <c r="BA89" s="132">
        <f t="shared" si="135"/>
        <v>0</v>
      </c>
      <c r="BB89" s="105"/>
      <c r="BC89" s="131">
        <f t="shared" si="136"/>
        <v>0</v>
      </c>
      <c r="BD89" s="131">
        <f t="shared" si="136"/>
        <v>0</v>
      </c>
      <c r="BE89" s="131">
        <f t="shared" si="136"/>
        <v>0</v>
      </c>
      <c r="BF89" s="131">
        <f t="shared" si="136"/>
        <v>0</v>
      </c>
      <c r="BG89" s="131">
        <f t="shared" si="136"/>
        <v>0</v>
      </c>
      <c r="BH89" s="131">
        <f t="shared" si="136"/>
        <v>0</v>
      </c>
      <c r="BI89" s="91">
        <f t="shared" si="137"/>
        <v>0</v>
      </c>
      <c r="BJ89" s="132">
        <f t="shared" si="138"/>
        <v>0</v>
      </c>
      <c r="BK89" s="105"/>
      <c r="BL89" s="91">
        <f t="shared" si="122"/>
        <v>0</v>
      </c>
      <c r="BM89" s="91">
        <f t="shared" si="123"/>
        <v>0</v>
      </c>
      <c r="BN89" s="91">
        <f t="shared" si="124"/>
        <v>0</v>
      </c>
      <c r="BO89" s="91">
        <f t="shared" si="125"/>
        <v>0</v>
      </c>
      <c r="BP89" s="91">
        <f t="shared" si="126"/>
        <v>0</v>
      </c>
      <c r="BQ89" s="91">
        <f t="shared" si="129"/>
        <v>0</v>
      </c>
      <c r="BR89" s="132">
        <f t="shared" si="139"/>
        <v>1</v>
      </c>
      <c r="BS89" s="132">
        <f t="shared" si="140"/>
        <v>0</v>
      </c>
    </row>
    <row r="90" spans="1:71">
      <c r="A90" s="105" t="str">
        <f t="shared" si="117"/>
        <v xml:space="preserve"> </v>
      </c>
      <c r="B90" s="145">
        <f t="shared" si="118"/>
        <v>13652</v>
      </c>
      <c r="C90" s="103">
        <f t="shared" ref="C90:AA90" si="142">IFERROR(C75/$B90,0)</f>
        <v>0</v>
      </c>
      <c r="D90" s="103">
        <f t="shared" si="142"/>
        <v>0</v>
      </c>
      <c r="E90" s="103">
        <f t="shared" si="142"/>
        <v>0</v>
      </c>
      <c r="F90" s="103">
        <f t="shared" si="142"/>
        <v>0</v>
      </c>
      <c r="G90" s="103">
        <f t="shared" si="142"/>
        <v>0</v>
      </c>
      <c r="H90" s="103">
        <f t="shared" si="142"/>
        <v>0</v>
      </c>
      <c r="I90" s="103">
        <f t="shared" si="142"/>
        <v>0</v>
      </c>
      <c r="J90" s="103">
        <f t="shared" si="142"/>
        <v>0</v>
      </c>
      <c r="K90" s="103">
        <f t="shared" si="142"/>
        <v>0</v>
      </c>
      <c r="L90" s="103">
        <f t="shared" si="142"/>
        <v>0</v>
      </c>
      <c r="M90" s="103">
        <f t="shared" si="142"/>
        <v>0</v>
      </c>
      <c r="N90" s="103">
        <f t="shared" si="142"/>
        <v>0</v>
      </c>
      <c r="O90" s="103">
        <f t="shared" si="142"/>
        <v>0</v>
      </c>
      <c r="P90" s="103">
        <f t="shared" si="142"/>
        <v>0</v>
      </c>
      <c r="Q90" s="103">
        <f t="shared" si="142"/>
        <v>0</v>
      </c>
      <c r="R90" s="103">
        <f t="shared" si="142"/>
        <v>0</v>
      </c>
      <c r="S90" s="103">
        <f t="shared" si="142"/>
        <v>0</v>
      </c>
      <c r="T90" s="103">
        <f t="shared" si="142"/>
        <v>0</v>
      </c>
      <c r="U90" s="103">
        <f t="shared" si="142"/>
        <v>0</v>
      </c>
      <c r="V90" s="103">
        <f t="shared" si="142"/>
        <v>0</v>
      </c>
      <c r="W90" s="103">
        <f t="shared" si="142"/>
        <v>0</v>
      </c>
      <c r="X90" s="103">
        <f t="shared" si="142"/>
        <v>0</v>
      </c>
      <c r="Y90" s="103">
        <f t="shared" si="142"/>
        <v>0</v>
      </c>
      <c r="Z90" s="103">
        <f t="shared" si="142"/>
        <v>0</v>
      </c>
      <c r="AA90" s="103">
        <f t="shared" si="142"/>
        <v>0</v>
      </c>
      <c r="AB90" s="105"/>
      <c r="AC90" s="91">
        <f t="shared" si="120"/>
        <v>0</v>
      </c>
      <c r="AD90" s="91">
        <f t="shared" si="120"/>
        <v>0</v>
      </c>
      <c r="AE90" s="91">
        <f t="shared" si="120"/>
        <v>0</v>
      </c>
      <c r="AF90" s="91">
        <f t="shared" si="120"/>
        <v>0</v>
      </c>
      <c r="AG90" s="91">
        <f t="shared" si="120"/>
        <v>0</v>
      </c>
      <c r="AH90" s="91">
        <f t="shared" si="120"/>
        <v>0</v>
      </c>
      <c r="AI90" s="91">
        <f t="shared" si="120"/>
        <v>0</v>
      </c>
      <c r="AJ90" s="91">
        <f t="shared" si="120"/>
        <v>0</v>
      </c>
      <c r="AK90" s="91">
        <f t="shared" si="120"/>
        <v>0</v>
      </c>
      <c r="AL90" s="91">
        <f t="shared" si="120"/>
        <v>0</v>
      </c>
      <c r="AM90" s="91">
        <f t="shared" si="120"/>
        <v>0</v>
      </c>
      <c r="AN90" s="91">
        <f t="shared" si="120"/>
        <v>0</v>
      </c>
      <c r="AO90" s="91">
        <f t="shared" si="120"/>
        <v>0</v>
      </c>
      <c r="AP90" s="91">
        <f t="shared" si="120"/>
        <v>0</v>
      </c>
      <c r="AQ90" s="91">
        <f t="shared" si="120"/>
        <v>0</v>
      </c>
      <c r="AR90" s="91">
        <f t="shared" si="120"/>
        <v>0</v>
      </c>
      <c r="AS90" s="105"/>
      <c r="AT90" s="91">
        <f t="shared" si="121"/>
        <v>0</v>
      </c>
      <c r="AU90" s="91">
        <f t="shared" si="121"/>
        <v>0</v>
      </c>
      <c r="AV90" s="91">
        <f t="shared" si="121"/>
        <v>0</v>
      </c>
      <c r="AW90" s="91">
        <f t="shared" si="121"/>
        <v>0</v>
      </c>
      <c r="AX90" s="91">
        <f t="shared" si="121"/>
        <v>0</v>
      </c>
      <c r="AY90" s="91">
        <f t="shared" si="128"/>
        <v>0</v>
      </c>
      <c r="AZ90" s="132">
        <f t="shared" si="134"/>
        <v>1</v>
      </c>
      <c r="BA90" s="132">
        <f t="shared" si="135"/>
        <v>0</v>
      </c>
      <c r="BB90" s="105"/>
      <c r="BC90" s="131">
        <f t="shared" si="136"/>
        <v>0</v>
      </c>
      <c r="BD90" s="131">
        <f t="shared" si="136"/>
        <v>0</v>
      </c>
      <c r="BE90" s="131">
        <f t="shared" si="136"/>
        <v>0</v>
      </c>
      <c r="BF90" s="131">
        <f t="shared" si="136"/>
        <v>0</v>
      </c>
      <c r="BG90" s="131">
        <f t="shared" si="136"/>
        <v>0</v>
      </c>
      <c r="BH90" s="131">
        <f t="shared" si="136"/>
        <v>0</v>
      </c>
      <c r="BI90" s="91">
        <f t="shared" si="137"/>
        <v>0</v>
      </c>
      <c r="BJ90" s="132">
        <f t="shared" si="138"/>
        <v>0</v>
      </c>
      <c r="BK90" s="105"/>
      <c r="BL90" s="91">
        <f t="shared" si="122"/>
        <v>0</v>
      </c>
      <c r="BM90" s="91">
        <f t="shared" si="123"/>
        <v>0</v>
      </c>
      <c r="BN90" s="91">
        <f t="shared" si="124"/>
        <v>0</v>
      </c>
      <c r="BO90" s="91">
        <f t="shared" si="125"/>
        <v>0</v>
      </c>
      <c r="BP90" s="91">
        <f t="shared" si="126"/>
        <v>0</v>
      </c>
      <c r="BQ90" s="91">
        <f t="shared" si="129"/>
        <v>0</v>
      </c>
      <c r="BR90" s="132">
        <f t="shared" si="139"/>
        <v>1</v>
      </c>
      <c r="BS90" s="132">
        <f t="shared" si="140"/>
        <v>0</v>
      </c>
    </row>
    <row r="91" spans="1:71">
      <c r="A91" s="105" t="str">
        <f t="shared" si="117"/>
        <v xml:space="preserve"> </v>
      </c>
      <c r="B91" s="145">
        <f t="shared" si="118"/>
        <v>13652</v>
      </c>
      <c r="C91" s="103">
        <f t="shared" ref="C91:AA91" si="143">IFERROR(C76/$B91,0)</f>
        <v>0</v>
      </c>
      <c r="D91" s="103">
        <f t="shared" si="143"/>
        <v>0</v>
      </c>
      <c r="E91" s="103">
        <f t="shared" si="143"/>
        <v>0</v>
      </c>
      <c r="F91" s="103">
        <f t="shared" si="143"/>
        <v>0</v>
      </c>
      <c r="G91" s="103">
        <f t="shared" si="143"/>
        <v>0</v>
      </c>
      <c r="H91" s="103">
        <f t="shared" si="143"/>
        <v>0</v>
      </c>
      <c r="I91" s="103">
        <f t="shared" si="143"/>
        <v>0</v>
      </c>
      <c r="J91" s="103">
        <f t="shared" si="143"/>
        <v>0</v>
      </c>
      <c r="K91" s="103">
        <f t="shared" si="143"/>
        <v>0</v>
      </c>
      <c r="L91" s="103">
        <f t="shared" si="143"/>
        <v>0</v>
      </c>
      <c r="M91" s="103">
        <f t="shared" si="143"/>
        <v>0</v>
      </c>
      <c r="N91" s="103">
        <f t="shared" si="143"/>
        <v>0</v>
      </c>
      <c r="O91" s="103">
        <f t="shared" si="143"/>
        <v>0</v>
      </c>
      <c r="P91" s="103">
        <f t="shared" si="143"/>
        <v>0</v>
      </c>
      <c r="Q91" s="103">
        <f t="shared" si="143"/>
        <v>0</v>
      </c>
      <c r="R91" s="103">
        <f t="shared" si="143"/>
        <v>0</v>
      </c>
      <c r="S91" s="103">
        <f t="shared" si="143"/>
        <v>0</v>
      </c>
      <c r="T91" s="103">
        <f t="shared" si="143"/>
        <v>0</v>
      </c>
      <c r="U91" s="103">
        <f t="shared" si="143"/>
        <v>0</v>
      </c>
      <c r="V91" s="103">
        <f t="shared" si="143"/>
        <v>0</v>
      </c>
      <c r="W91" s="103">
        <f t="shared" si="143"/>
        <v>0</v>
      </c>
      <c r="X91" s="103">
        <f t="shared" si="143"/>
        <v>0</v>
      </c>
      <c r="Y91" s="103">
        <f t="shared" si="143"/>
        <v>0</v>
      </c>
      <c r="Z91" s="103">
        <f t="shared" si="143"/>
        <v>0</v>
      </c>
      <c r="AA91" s="103">
        <f t="shared" si="143"/>
        <v>0</v>
      </c>
      <c r="AB91" s="105"/>
      <c r="AC91" s="91">
        <f t="shared" si="120"/>
        <v>0</v>
      </c>
      <c r="AD91" s="91">
        <f t="shared" si="120"/>
        <v>0</v>
      </c>
      <c r="AE91" s="91">
        <f t="shared" si="120"/>
        <v>0</v>
      </c>
      <c r="AF91" s="91">
        <f t="shared" si="120"/>
        <v>0</v>
      </c>
      <c r="AG91" s="91">
        <f t="shared" si="120"/>
        <v>0</v>
      </c>
      <c r="AH91" s="91">
        <f t="shared" si="120"/>
        <v>0</v>
      </c>
      <c r="AI91" s="91">
        <f t="shared" si="120"/>
        <v>0</v>
      </c>
      <c r="AJ91" s="91">
        <f t="shared" si="120"/>
        <v>0</v>
      </c>
      <c r="AK91" s="91">
        <f t="shared" si="120"/>
        <v>0</v>
      </c>
      <c r="AL91" s="91">
        <f t="shared" si="120"/>
        <v>0</v>
      </c>
      <c r="AM91" s="91">
        <f t="shared" si="120"/>
        <v>0</v>
      </c>
      <c r="AN91" s="91">
        <f t="shared" si="120"/>
        <v>0</v>
      </c>
      <c r="AO91" s="91">
        <f t="shared" si="120"/>
        <v>0</v>
      </c>
      <c r="AP91" s="91">
        <f t="shared" si="120"/>
        <v>0</v>
      </c>
      <c r="AQ91" s="91">
        <f t="shared" si="120"/>
        <v>0</v>
      </c>
      <c r="AR91" s="91">
        <f t="shared" si="120"/>
        <v>0</v>
      </c>
      <c r="AS91" s="105"/>
      <c r="AT91" s="91">
        <f t="shared" si="121"/>
        <v>0</v>
      </c>
      <c r="AU91" s="91">
        <f t="shared" si="121"/>
        <v>0</v>
      </c>
      <c r="AV91" s="91">
        <f t="shared" si="121"/>
        <v>0</v>
      </c>
      <c r="AW91" s="91">
        <f t="shared" si="121"/>
        <v>0</v>
      </c>
      <c r="AX91" s="91">
        <f t="shared" si="121"/>
        <v>0</v>
      </c>
      <c r="AY91" s="91">
        <f t="shared" si="128"/>
        <v>0</v>
      </c>
      <c r="AZ91" s="132">
        <f t="shared" si="134"/>
        <v>1</v>
      </c>
      <c r="BA91" s="132">
        <f t="shared" si="135"/>
        <v>0</v>
      </c>
      <c r="BB91" s="105"/>
      <c r="BC91" s="131">
        <f t="shared" si="136"/>
        <v>0</v>
      </c>
      <c r="BD91" s="131">
        <f t="shared" si="136"/>
        <v>0</v>
      </c>
      <c r="BE91" s="131">
        <f t="shared" si="136"/>
        <v>0</v>
      </c>
      <c r="BF91" s="131">
        <f t="shared" si="136"/>
        <v>0</v>
      </c>
      <c r="BG91" s="131">
        <f t="shared" si="136"/>
        <v>0</v>
      </c>
      <c r="BH91" s="131">
        <f t="shared" si="136"/>
        <v>0</v>
      </c>
      <c r="BI91" s="91">
        <f t="shared" si="137"/>
        <v>0</v>
      </c>
      <c r="BJ91" s="132">
        <f t="shared" si="138"/>
        <v>0</v>
      </c>
      <c r="BK91" s="105"/>
      <c r="BL91" s="91">
        <f t="shared" si="122"/>
        <v>0</v>
      </c>
      <c r="BM91" s="91">
        <f t="shared" si="123"/>
        <v>0</v>
      </c>
      <c r="BN91" s="91">
        <f t="shared" si="124"/>
        <v>0</v>
      </c>
      <c r="BO91" s="91">
        <f t="shared" si="125"/>
        <v>0</v>
      </c>
      <c r="BP91" s="91">
        <f t="shared" si="126"/>
        <v>0</v>
      </c>
      <c r="BQ91" s="91">
        <f t="shared" si="129"/>
        <v>0</v>
      </c>
      <c r="BR91" s="132">
        <f t="shared" si="139"/>
        <v>1</v>
      </c>
      <c r="BS91" s="132">
        <f t="shared" si="140"/>
        <v>0</v>
      </c>
    </row>
    <row r="92" spans="1:71">
      <c r="A92" s="105" t="str">
        <f t="shared" si="117"/>
        <v xml:space="preserve"> </v>
      </c>
      <c r="B92" s="145">
        <f t="shared" si="118"/>
        <v>13652</v>
      </c>
      <c r="C92" s="103">
        <f t="shared" ref="C92:AA92" si="144">IFERROR(C77/$B92,0)</f>
        <v>0</v>
      </c>
      <c r="D92" s="103">
        <f t="shared" si="144"/>
        <v>0</v>
      </c>
      <c r="E92" s="103">
        <f t="shared" si="144"/>
        <v>0</v>
      </c>
      <c r="F92" s="103">
        <f t="shared" si="144"/>
        <v>0</v>
      </c>
      <c r="G92" s="103">
        <f t="shared" si="144"/>
        <v>0</v>
      </c>
      <c r="H92" s="103">
        <f t="shared" si="144"/>
        <v>0</v>
      </c>
      <c r="I92" s="103">
        <f t="shared" si="144"/>
        <v>0</v>
      </c>
      <c r="J92" s="103">
        <f t="shared" si="144"/>
        <v>0</v>
      </c>
      <c r="K92" s="103">
        <f t="shared" si="144"/>
        <v>0</v>
      </c>
      <c r="L92" s="103">
        <f t="shared" si="144"/>
        <v>0</v>
      </c>
      <c r="M92" s="103">
        <f t="shared" si="144"/>
        <v>0</v>
      </c>
      <c r="N92" s="103">
        <f t="shared" si="144"/>
        <v>0</v>
      </c>
      <c r="O92" s="103">
        <f t="shared" si="144"/>
        <v>0</v>
      </c>
      <c r="P92" s="103">
        <f t="shared" si="144"/>
        <v>0</v>
      </c>
      <c r="Q92" s="103">
        <f t="shared" si="144"/>
        <v>0</v>
      </c>
      <c r="R92" s="103">
        <f t="shared" si="144"/>
        <v>0</v>
      </c>
      <c r="S92" s="103">
        <f t="shared" si="144"/>
        <v>0</v>
      </c>
      <c r="T92" s="103">
        <f t="shared" si="144"/>
        <v>0</v>
      </c>
      <c r="U92" s="103">
        <f t="shared" si="144"/>
        <v>0</v>
      </c>
      <c r="V92" s="103">
        <f t="shared" si="144"/>
        <v>0</v>
      </c>
      <c r="W92" s="103">
        <f t="shared" si="144"/>
        <v>0</v>
      </c>
      <c r="X92" s="103">
        <f t="shared" si="144"/>
        <v>0</v>
      </c>
      <c r="Y92" s="103">
        <f t="shared" si="144"/>
        <v>0</v>
      </c>
      <c r="Z92" s="103">
        <f t="shared" si="144"/>
        <v>0</v>
      </c>
      <c r="AA92" s="103">
        <f t="shared" si="144"/>
        <v>0</v>
      </c>
      <c r="AB92" s="105"/>
      <c r="AC92" s="91">
        <f t="shared" si="120"/>
        <v>0</v>
      </c>
      <c r="AD92" s="91">
        <f t="shared" si="120"/>
        <v>0</v>
      </c>
      <c r="AE92" s="91">
        <f t="shared" si="120"/>
        <v>0</v>
      </c>
      <c r="AF92" s="91">
        <f t="shared" si="120"/>
        <v>0</v>
      </c>
      <c r="AG92" s="91">
        <f t="shared" si="120"/>
        <v>0</v>
      </c>
      <c r="AH92" s="91">
        <f t="shared" si="120"/>
        <v>0</v>
      </c>
      <c r="AI92" s="91">
        <f t="shared" si="120"/>
        <v>0</v>
      </c>
      <c r="AJ92" s="91">
        <f t="shared" si="120"/>
        <v>0</v>
      </c>
      <c r="AK92" s="91">
        <f t="shared" si="120"/>
        <v>0</v>
      </c>
      <c r="AL92" s="91">
        <f t="shared" si="120"/>
        <v>0</v>
      </c>
      <c r="AM92" s="91">
        <f t="shared" si="120"/>
        <v>0</v>
      </c>
      <c r="AN92" s="91">
        <f t="shared" si="120"/>
        <v>0</v>
      </c>
      <c r="AO92" s="91">
        <f t="shared" si="120"/>
        <v>0</v>
      </c>
      <c r="AP92" s="91">
        <f t="shared" si="120"/>
        <v>0</v>
      </c>
      <c r="AQ92" s="91">
        <f t="shared" si="120"/>
        <v>0</v>
      </c>
      <c r="AR92" s="91">
        <f t="shared" si="120"/>
        <v>0</v>
      </c>
      <c r="AS92" s="105"/>
      <c r="AT92" s="91">
        <f t="shared" si="121"/>
        <v>0</v>
      </c>
      <c r="AU92" s="91">
        <f t="shared" si="121"/>
        <v>0</v>
      </c>
      <c r="AV92" s="91">
        <f t="shared" si="121"/>
        <v>0</v>
      </c>
      <c r="AW92" s="91">
        <f t="shared" si="121"/>
        <v>0</v>
      </c>
      <c r="AX92" s="91">
        <f t="shared" si="121"/>
        <v>0</v>
      </c>
      <c r="AY92" s="91">
        <f t="shared" si="128"/>
        <v>0</v>
      </c>
      <c r="AZ92" s="132">
        <f t="shared" si="134"/>
        <v>1</v>
      </c>
      <c r="BA92" s="132">
        <f t="shared" si="135"/>
        <v>0</v>
      </c>
      <c r="BB92" s="105"/>
      <c r="BC92" s="131">
        <f t="shared" si="136"/>
        <v>0</v>
      </c>
      <c r="BD92" s="131">
        <f t="shared" si="136"/>
        <v>0</v>
      </c>
      <c r="BE92" s="131">
        <f t="shared" si="136"/>
        <v>0</v>
      </c>
      <c r="BF92" s="131">
        <f t="shared" si="136"/>
        <v>0</v>
      </c>
      <c r="BG92" s="131">
        <f t="shared" si="136"/>
        <v>0</v>
      </c>
      <c r="BH92" s="131">
        <f t="shared" si="136"/>
        <v>0</v>
      </c>
      <c r="BI92" s="91">
        <f t="shared" si="137"/>
        <v>0</v>
      </c>
      <c r="BJ92" s="132">
        <f t="shared" si="138"/>
        <v>0</v>
      </c>
      <c r="BK92" s="105"/>
      <c r="BL92" s="91">
        <f t="shared" si="122"/>
        <v>0</v>
      </c>
      <c r="BM92" s="91">
        <f t="shared" si="123"/>
        <v>0</v>
      </c>
      <c r="BN92" s="91">
        <f t="shared" si="124"/>
        <v>0</v>
      </c>
      <c r="BO92" s="91">
        <f t="shared" si="125"/>
        <v>0</v>
      </c>
      <c r="BP92" s="91">
        <f t="shared" si="126"/>
        <v>0</v>
      </c>
      <c r="BQ92" s="91">
        <f t="shared" si="129"/>
        <v>0</v>
      </c>
      <c r="BR92" s="132">
        <f t="shared" si="139"/>
        <v>1</v>
      </c>
      <c r="BS92" s="132">
        <f t="shared" si="140"/>
        <v>0</v>
      </c>
    </row>
    <row r="93" spans="1:71">
      <c r="A93" s="105" t="str">
        <f t="shared" si="117"/>
        <v xml:space="preserve"> </v>
      </c>
      <c r="B93" s="145">
        <f t="shared" si="118"/>
        <v>13652</v>
      </c>
      <c r="C93" s="103">
        <f t="shared" ref="C93:AA93" si="145">IFERROR(C78/$B93,0)</f>
        <v>0</v>
      </c>
      <c r="D93" s="103">
        <f t="shared" si="145"/>
        <v>0</v>
      </c>
      <c r="E93" s="103">
        <f t="shared" si="145"/>
        <v>0</v>
      </c>
      <c r="F93" s="103">
        <f t="shared" si="145"/>
        <v>0</v>
      </c>
      <c r="G93" s="103">
        <f t="shared" si="145"/>
        <v>0</v>
      </c>
      <c r="H93" s="103">
        <f t="shared" si="145"/>
        <v>0</v>
      </c>
      <c r="I93" s="103">
        <f t="shared" si="145"/>
        <v>0</v>
      </c>
      <c r="J93" s="103">
        <f t="shared" si="145"/>
        <v>0</v>
      </c>
      <c r="K93" s="103">
        <f t="shared" si="145"/>
        <v>0</v>
      </c>
      <c r="L93" s="103">
        <f t="shared" si="145"/>
        <v>0</v>
      </c>
      <c r="M93" s="103">
        <f t="shared" si="145"/>
        <v>0</v>
      </c>
      <c r="N93" s="103">
        <f t="shared" si="145"/>
        <v>0</v>
      </c>
      <c r="O93" s="103">
        <f t="shared" si="145"/>
        <v>0</v>
      </c>
      <c r="P93" s="103">
        <f t="shared" si="145"/>
        <v>0</v>
      </c>
      <c r="Q93" s="103">
        <f t="shared" si="145"/>
        <v>0</v>
      </c>
      <c r="R93" s="103">
        <f t="shared" si="145"/>
        <v>0</v>
      </c>
      <c r="S93" s="103">
        <f t="shared" si="145"/>
        <v>0</v>
      </c>
      <c r="T93" s="103">
        <f t="shared" si="145"/>
        <v>0</v>
      </c>
      <c r="U93" s="103">
        <f t="shared" si="145"/>
        <v>0</v>
      </c>
      <c r="V93" s="103">
        <f t="shared" si="145"/>
        <v>0</v>
      </c>
      <c r="W93" s="103">
        <f t="shared" si="145"/>
        <v>0</v>
      </c>
      <c r="X93" s="103">
        <f t="shared" si="145"/>
        <v>0</v>
      </c>
      <c r="Y93" s="103">
        <f t="shared" si="145"/>
        <v>0</v>
      </c>
      <c r="Z93" s="103">
        <f t="shared" si="145"/>
        <v>0</v>
      </c>
      <c r="AA93" s="103">
        <f t="shared" si="145"/>
        <v>0</v>
      </c>
      <c r="AB93" s="105"/>
      <c r="AC93" s="91">
        <f t="shared" si="120"/>
        <v>0</v>
      </c>
      <c r="AD93" s="91">
        <f t="shared" si="120"/>
        <v>0</v>
      </c>
      <c r="AE93" s="91">
        <f t="shared" si="120"/>
        <v>0</v>
      </c>
      <c r="AF93" s="91">
        <f t="shared" si="120"/>
        <v>0</v>
      </c>
      <c r="AG93" s="91">
        <f t="shared" si="120"/>
        <v>0</v>
      </c>
      <c r="AH93" s="91">
        <f t="shared" si="120"/>
        <v>0</v>
      </c>
      <c r="AI93" s="91">
        <f t="shared" si="120"/>
        <v>0</v>
      </c>
      <c r="AJ93" s="91">
        <f t="shared" si="120"/>
        <v>0</v>
      </c>
      <c r="AK93" s="91">
        <f t="shared" si="120"/>
        <v>0</v>
      </c>
      <c r="AL93" s="91">
        <f t="shared" si="120"/>
        <v>0</v>
      </c>
      <c r="AM93" s="91">
        <f t="shared" si="120"/>
        <v>0</v>
      </c>
      <c r="AN93" s="91">
        <f t="shared" si="120"/>
        <v>0</v>
      </c>
      <c r="AO93" s="91">
        <f t="shared" si="120"/>
        <v>0</v>
      </c>
      <c r="AP93" s="91">
        <f t="shared" si="120"/>
        <v>0</v>
      </c>
      <c r="AQ93" s="91">
        <f t="shared" si="120"/>
        <v>0</v>
      </c>
      <c r="AR93" s="91">
        <f t="shared" si="120"/>
        <v>0</v>
      </c>
      <c r="AS93" s="105"/>
      <c r="AT93" s="91">
        <f t="shared" si="121"/>
        <v>0</v>
      </c>
      <c r="AU93" s="91">
        <f t="shared" si="121"/>
        <v>0</v>
      </c>
      <c r="AV93" s="91">
        <f t="shared" si="121"/>
        <v>0</v>
      </c>
      <c r="AW93" s="91">
        <f t="shared" si="121"/>
        <v>0</v>
      </c>
      <c r="AX93" s="91">
        <f t="shared" si="121"/>
        <v>0</v>
      </c>
      <c r="AY93" s="91">
        <f t="shared" si="128"/>
        <v>0</v>
      </c>
      <c r="AZ93" s="132">
        <f t="shared" si="134"/>
        <v>1</v>
      </c>
      <c r="BA93" s="132">
        <f t="shared" si="135"/>
        <v>0</v>
      </c>
      <c r="BB93" s="105"/>
      <c r="BC93" s="131">
        <f t="shared" si="136"/>
        <v>0</v>
      </c>
      <c r="BD93" s="131">
        <f t="shared" si="136"/>
        <v>0</v>
      </c>
      <c r="BE93" s="131">
        <f t="shared" si="136"/>
        <v>0</v>
      </c>
      <c r="BF93" s="131">
        <f t="shared" si="136"/>
        <v>0</v>
      </c>
      <c r="BG93" s="131">
        <f t="shared" si="136"/>
        <v>0</v>
      </c>
      <c r="BH93" s="131">
        <f t="shared" si="136"/>
        <v>0</v>
      </c>
      <c r="BI93" s="91">
        <f t="shared" si="137"/>
        <v>0</v>
      </c>
      <c r="BJ93" s="132">
        <f t="shared" si="138"/>
        <v>0</v>
      </c>
      <c r="BK93" s="105"/>
      <c r="BL93" s="91">
        <f t="shared" si="122"/>
        <v>0</v>
      </c>
      <c r="BM93" s="91">
        <f t="shared" si="123"/>
        <v>0</v>
      </c>
      <c r="BN93" s="91">
        <f t="shared" si="124"/>
        <v>0</v>
      </c>
      <c r="BO93" s="91">
        <f t="shared" si="125"/>
        <v>0</v>
      </c>
      <c r="BP93" s="91">
        <f t="shared" si="126"/>
        <v>0</v>
      </c>
      <c r="BQ93" s="91">
        <f t="shared" si="129"/>
        <v>0</v>
      </c>
      <c r="BR93" s="132">
        <f t="shared" si="139"/>
        <v>1</v>
      </c>
      <c r="BS93" s="132">
        <f t="shared" si="140"/>
        <v>0</v>
      </c>
    </row>
    <row r="94" spans="1:71">
      <c r="A94" s="105" t="str">
        <f t="shared" si="117"/>
        <v xml:space="preserve"> </v>
      </c>
      <c r="B94" s="145">
        <f t="shared" si="118"/>
        <v>13652</v>
      </c>
      <c r="C94" s="103">
        <f t="shared" ref="C94:AA94" si="146">IFERROR(C79/$B94,0)</f>
        <v>0</v>
      </c>
      <c r="D94" s="103">
        <f t="shared" si="146"/>
        <v>0</v>
      </c>
      <c r="E94" s="103">
        <f t="shared" si="146"/>
        <v>0</v>
      </c>
      <c r="F94" s="103">
        <f t="shared" si="146"/>
        <v>0</v>
      </c>
      <c r="G94" s="103">
        <f t="shared" si="146"/>
        <v>0</v>
      </c>
      <c r="H94" s="103">
        <f t="shared" si="146"/>
        <v>0</v>
      </c>
      <c r="I94" s="103">
        <f t="shared" si="146"/>
        <v>0</v>
      </c>
      <c r="J94" s="103">
        <f t="shared" si="146"/>
        <v>0</v>
      </c>
      <c r="K94" s="103">
        <f t="shared" si="146"/>
        <v>0</v>
      </c>
      <c r="L94" s="103">
        <f t="shared" si="146"/>
        <v>0</v>
      </c>
      <c r="M94" s="103">
        <f t="shared" si="146"/>
        <v>0</v>
      </c>
      <c r="N94" s="103">
        <f t="shared" si="146"/>
        <v>0</v>
      </c>
      <c r="O94" s="103">
        <f t="shared" si="146"/>
        <v>0</v>
      </c>
      <c r="P94" s="103">
        <f t="shared" si="146"/>
        <v>0</v>
      </c>
      <c r="Q94" s="103">
        <f t="shared" si="146"/>
        <v>0</v>
      </c>
      <c r="R94" s="103">
        <f t="shared" si="146"/>
        <v>0</v>
      </c>
      <c r="S94" s="103">
        <f t="shared" si="146"/>
        <v>0</v>
      </c>
      <c r="T94" s="103">
        <f t="shared" si="146"/>
        <v>0</v>
      </c>
      <c r="U94" s="103">
        <f t="shared" si="146"/>
        <v>0</v>
      </c>
      <c r="V94" s="103">
        <f t="shared" si="146"/>
        <v>0</v>
      </c>
      <c r="W94" s="103">
        <f t="shared" si="146"/>
        <v>0</v>
      </c>
      <c r="X94" s="103">
        <f t="shared" si="146"/>
        <v>0</v>
      </c>
      <c r="Y94" s="103">
        <f t="shared" si="146"/>
        <v>0</v>
      </c>
      <c r="Z94" s="103">
        <f t="shared" si="146"/>
        <v>0</v>
      </c>
      <c r="AA94" s="103">
        <f t="shared" si="146"/>
        <v>0</v>
      </c>
      <c r="AB94" s="105"/>
      <c r="AC94" s="91">
        <f t="shared" si="120"/>
        <v>0</v>
      </c>
      <c r="AD94" s="91">
        <f t="shared" si="120"/>
        <v>0</v>
      </c>
      <c r="AE94" s="91">
        <f t="shared" si="120"/>
        <v>0</v>
      </c>
      <c r="AF94" s="91">
        <f t="shared" si="120"/>
        <v>0</v>
      </c>
      <c r="AG94" s="91">
        <f t="shared" si="120"/>
        <v>0</v>
      </c>
      <c r="AH94" s="91">
        <f t="shared" si="120"/>
        <v>0</v>
      </c>
      <c r="AI94" s="91">
        <f t="shared" si="120"/>
        <v>0</v>
      </c>
      <c r="AJ94" s="91">
        <f t="shared" si="120"/>
        <v>0</v>
      </c>
      <c r="AK94" s="91">
        <f t="shared" si="120"/>
        <v>0</v>
      </c>
      <c r="AL94" s="91">
        <f t="shared" si="120"/>
        <v>0</v>
      </c>
      <c r="AM94" s="91">
        <f t="shared" si="120"/>
        <v>0</v>
      </c>
      <c r="AN94" s="91">
        <f t="shared" si="120"/>
        <v>0</v>
      </c>
      <c r="AO94" s="91">
        <f t="shared" si="120"/>
        <v>0</v>
      </c>
      <c r="AP94" s="91">
        <f t="shared" si="120"/>
        <v>0</v>
      </c>
      <c r="AQ94" s="91">
        <f t="shared" si="120"/>
        <v>0</v>
      </c>
      <c r="AR94" s="91">
        <f t="shared" si="120"/>
        <v>0</v>
      </c>
      <c r="AS94" s="105"/>
      <c r="AT94" s="91">
        <f t="shared" si="121"/>
        <v>0</v>
      </c>
      <c r="AU94" s="91">
        <f t="shared" si="121"/>
        <v>0</v>
      </c>
      <c r="AV94" s="91">
        <f t="shared" si="121"/>
        <v>0</v>
      </c>
      <c r="AW94" s="91">
        <f t="shared" si="121"/>
        <v>0</v>
      </c>
      <c r="AX94" s="91">
        <f t="shared" si="121"/>
        <v>0</v>
      </c>
      <c r="AY94" s="91">
        <f t="shared" si="128"/>
        <v>0</v>
      </c>
      <c r="AZ94" s="132">
        <f t="shared" si="134"/>
        <v>1</v>
      </c>
      <c r="BA94" s="132">
        <f t="shared" si="135"/>
        <v>0</v>
      </c>
      <c r="BB94" s="105"/>
      <c r="BC94" s="131">
        <f t="shared" si="136"/>
        <v>0</v>
      </c>
      <c r="BD94" s="131">
        <f t="shared" si="136"/>
        <v>0</v>
      </c>
      <c r="BE94" s="131">
        <f t="shared" si="136"/>
        <v>0</v>
      </c>
      <c r="BF94" s="131">
        <f t="shared" si="136"/>
        <v>0</v>
      </c>
      <c r="BG94" s="131">
        <f t="shared" si="136"/>
        <v>0</v>
      </c>
      <c r="BH94" s="131">
        <f t="shared" si="136"/>
        <v>0</v>
      </c>
      <c r="BI94" s="91">
        <f t="shared" si="137"/>
        <v>0</v>
      </c>
      <c r="BJ94" s="132">
        <f t="shared" si="138"/>
        <v>0</v>
      </c>
      <c r="BK94" s="105"/>
      <c r="BL94" s="91">
        <f t="shared" si="122"/>
        <v>0</v>
      </c>
      <c r="BM94" s="91">
        <f t="shared" si="123"/>
        <v>0</v>
      </c>
      <c r="BN94" s="91">
        <f t="shared" si="124"/>
        <v>0</v>
      </c>
      <c r="BO94" s="91">
        <f t="shared" si="125"/>
        <v>0</v>
      </c>
      <c r="BP94" s="91">
        <f t="shared" si="126"/>
        <v>0</v>
      </c>
      <c r="BQ94" s="91">
        <f>SUM(BL94:BP94)</f>
        <v>0</v>
      </c>
      <c r="BR94" s="132">
        <f t="shared" si="139"/>
        <v>1</v>
      </c>
      <c r="BS94" s="132">
        <f t="shared" si="140"/>
        <v>0</v>
      </c>
    </row>
    <row r="95" spans="1:71">
      <c r="A95" s="105" t="str">
        <f t="shared" si="117"/>
        <v xml:space="preserve"> </v>
      </c>
      <c r="B95" s="145">
        <f t="shared" si="118"/>
        <v>13652</v>
      </c>
      <c r="C95" s="103">
        <f t="shared" ref="C95:AA95" si="147">IFERROR(C80/$B95,0)</f>
        <v>0</v>
      </c>
      <c r="D95" s="103">
        <f t="shared" si="147"/>
        <v>0</v>
      </c>
      <c r="E95" s="103">
        <f t="shared" si="147"/>
        <v>0</v>
      </c>
      <c r="F95" s="103">
        <f t="shared" si="147"/>
        <v>0</v>
      </c>
      <c r="G95" s="103">
        <f t="shared" si="147"/>
        <v>0</v>
      </c>
      <c r="H95" s="103">
        <f t="shared" si="147"/>
        <v>0</v>
      </c>
      <c r="I95" s="103">
        <f t="shared" si="147"/>
        <v>0</v>
      </c>
      <c r="J95" s="103">
        <f t="shared" si="147"/>
        <v>0</v>
      </c>
      <c r="K95" s="103">
        <f t="shared" si="147"/>
        <v>0</v>
      </c>
      <c r="L95" s="103">
        <f t="shared" si="147"/>
        <v>0</v>
      </c>
      <c r="M95" s="103">
        <f t="shared" si="147"/>
        <v>0</v>
      </c>
      <c r="N95" s="103">
        <f t="shared" si="147"/>
        <v>0</v>
      </c>
      <c r="O95" s="103">
        <f t="shared" si="147"/>
        <v>0</v>
      </c>
      <c r="P95" s="103">
        <f t="shared" si="147"/>
        <v>0</v>
      </c>
      <c r="Q95" s="103">
        <f t="shared" si="147"/>
        <v>0</v>
      </c>
      <c r="R95" s="103">
        <f t="shared" si="147"/>
        <v>0</v>
      </c>
      <c r="S95" s="103">
        <f t="shared" si="147"/>
        <v>0</v>
      </c>
      <c r="T95" s="103">
        <f t="shared" si="147"/>
        <v>0</v>
      </c>
      <c r="U95" s="103">
        <f t="shared" si="147"/>
        <v>0</v>
      </c>
      <c r="V95" s="103">
        <f t="shared" si="147"/>
        <v>0</v>
      </c>
      <c r="W95" s="103">
        <f t="shared" si="147"/>
        <v>0</v>
      </c>
      <c r="X95" s="103">
        <f t="shared" si="147"/>
        <v>0</v>
      </c>
      <c r="Y95" s="103">
        <f t="shared" si="147"/>
        <v>0</v>
      </c>
      <c r="Z95" s="103">
        <f t="shared" si="147"/>
        <v>0</v>
      </c>
      <c r="AA95" s="103">
        <f t="shared" si="147"/>
        <v>0</v>
      </c>
      <c r="AB95" s="105"/>
      <c r="AC95" s="91">
        <f t="shared" si="120"/>
        <v>0</v>
      </c>
      <c r="AD95" s="91">
        <f t="shared" si="120"/>
        <v>0</v>
      </c>
      <c r="AE95" s="91">
        <f t="shared" si="120"/>
        <v>0</v>
      </c>
      <c r="AF95" s="91">
        <f t="shared" si="120"/>
        <v>0</v>
      </c>
      <c r="AG95" s="91">
        <f t="shared" si="120"/>
        <v>0</v>
      </c>
      <c r="AH95" s="91">
        <f t="shared" si="120"/>
        <v>0</v>
      </c>
      <c r="AI95" s="91">
        <f t="shared" si="120"/>
        <v>0</v>
      </c>
      <c r="AJ95" s="91">
        <f t="shared" si="120"/>
        <v>0</v>
      </c>
      <c r="AK95" s="91">
        <f t="shared" si="120"/>
        <v>0</v>
      </c>
      <c r="AL95" s="91">
        <f t="shared" si="120"/>
        <v>0</v>
      </c>
      <c r="AM95" s="91">
        <f t="shared" si="120"/>
        <v>0</v>
      </c>
      <c r="AN95" s="91">
        <f t="shared" si="120"/>
        <v>0</v>
      </c>
      <c r="AO95" s="91">
        <f t="shared" si="120"/>
        <v>0</v>
      </c>
      <c r="AP95" s="91">
        <f t="shared" si="120"/>
        <v>0</v>
      </c>
      <c r="AQ95" s="91">
        <f t="shared" si="120"/>
        <v>0</v>
      </c>
      <c r="AR95" s="91">
        <f t="shared" si="120"/>
        <v>0</v>
      </c>
      <c r="AS95" s="105"/>
      <c r="AT95" s="91">
        <f t="shared" si="121"/>
        <v>0</v>
      </c>
      <c r="AU95" s="91">
        <f t="shared" si="121"/>
        <v>0</v>
      </c>
      <c r="AV95" s="91">
        <f t="shared" si="121"/>
        <v>0</v>
      </c>
      <c r="AW95" s="91">
        <f t="shared" si="121"/>
        <v>0</v>
      </c>
      <c r="AX95" s="91">
        <f t="shared" si="121"/>
        <v>0</v>
      </c>
      <c r="AY95" s="91">
        <f t="shared" si="128"/>
        <v>0</v>
      </c>
      <c r="AZ95" s="132">
        <f t="shared" si="134"/>
        <v>1</v>
      </c>
      <c r="BA95" s="132">
        <f t="shared" si="135"/>
        <v>0</v>
      </c>
      <c r="BB95" s="105"/>
      <c r="BC95" s="131">
        <f t="shared" si="136"/>
        <v>0</v>
      </c>
      <c r="BD95" s="131">
        <f t="shared" si="136"/>
        <v>0</v>
      </c>
      <c r="BE95" s="131">
        <f t="shared" si="136"/>
        <v>0</v>
      </c>
      <c r="BF95" s="131">
        <f t="shared" si="136"/>
        <v>0</v>
      </c>
      <c r="BG95" s="131">
        <f t="shared" si="136"/>
        <v>0</v>
      </c>
      <c r="BH95" s="131">
        <f t="shared" si="136"/>
        <v>0</v>
      </c>
      <c r="BI95" s="91">
        <f t="shared" si="137"/>
        <v>0</v>
      </c>
      <c r="BJ95" s="132">
        <f t="shared" si="138"/>
        <v>0</v>
      </c>
      <c r="BK95" s="105"/>
      <c r="BL95" s="91">
        <f t="shared" si="122"/>
        <v>0</v>
      </c>
      <c r="BM95" s="91">
        <f t="shared" si="123"/>
        <v>0</v>
      </c>
      <c r="BN95" s="91">
        <f t="shared" si="124"/>
        <v>0</v>
      </c>
      <c r="BO95" s="91">
        <f t="shared" si="125"/>
        <v>0</v>
      </c>
      <c r="BP95" s="91">
        <f t="shared" si="126"/>
        <v>0</v>
      </c>
      <c r="BQ95" s="91">
        <f>SUM(BL95:BP95)</f>
        <v>0</v>
      </c>
      <c r="BR95" s="132">
        <f t="shared" si="139"/>
        <v>1</v>
      </c>
      <c r="BS95" s="132">
        <f t="shared" si="140"/>
        <v>0</v>
      </c>
    </row>
    <row r="96" spans="1:71">
      <c r="A96" s="105" t="str">
        <f t="shared" si="117"/>
        <v xml:space="preserve"> </v>
      </c>
      <c r="B96" s="145">
        <f t="shared" si="118"/>
        <v>13652</v>
      </c>
      <c r="C96" s="103">
        <f t="shared" ref="C96:AA96" si="148">IFERROR(C81/$B96,0)</f>
        <v>0</v>
      </c>
      <c r="D96" s="103">
        <f t="shared" si="148"/>
        <v>0</v>
      </c>
      <c r="E96" s="103">
        <f t="shared" si="148"/>
        <v>0</v>
      </c>
      <c r="F96" s="103">
        <f t="shared" si="148"/>
        <v>0</v>
      </c>
      <c r="G96" s="103">
        <f t="shared" si="148"/>
        <v>0</v>
      </c>
      <c r="H96" s="103">
        <f t="shared" si="148"/>
        <v>0</v>
      </c>
      <c r="I96" s="103">
        <f t="shared" si="148"/>
        <v>0</v>
      </c>
      <c r="J96" s="103">
        <f t="shared" si="148"/>
        <v>0</v>
      </c>
      <c r="K96" s="103">
        <f t="shared" si="148"/>
        <v>0</v>
      </c>
      <c r="L96" s="103">
        <f t="shared" si="148"/>
        <v>0</v>
      </c>
      <c r="M96" s="103">
        <f t="shared" si="148"/>
        <v>0</v>
      </c>
      <c r="N96" s="103">
        <f t="shared" si="148"/>
        <v>0</v>
      </c>
      <c r="O96" s="103">
        <f t="shared" si="148"/>
        <v>0</v>
      </c>
      <c r="P96" s="103">
        <f t="shared" si="148"/>
        <v>0</v>
      </c>
      <c r="Q96" s="103">
        <f t="shared" si="148"/>
        <v>0</v>
      </c>
      <c r="R96" s="103">
        <f t="shared" si="148"/>
        <v>0</v>
      </c>
      <c r="S96" s="103">
        <f t="shared" si="148"/>
        <v>0</v>
      </c>
      <c r="T96" s="103">
        <f t="shared" si="148"/>
        <v>0</v>
      </c>
      <c r="U96" s="103">
        <f t="shared" si="148"/>
        <v>0</v>
      </c>
      <c r="V96" s="103">
        <f t="shared" si="148"/>
        <v>0</v>
      </c>
      <c r="W96" s="103">
        <f t="shared" si="148"/>
        <v>0</v>
      </c>
      <c r="X96" s="103">
        <f t="shared" si="148"/>
        <v>0</v>
      </c>
      <c r="Y96" s="103">
        <f t="shared" si="148"/>
        <v>0</v>
      </c>
      <c r="Z96" s="103">
        <f t="shared" si="148"/>
        <v>0</v>
      </c>
      <c r="AA96" s="103">
        <f t="shared" si="148"/>
        <v>0</v>
      </c>
      <c r="AB96" s="105"/>
      <c r="AC96" s="91">
        <f t="shared" si="120"/>
        <v>0</v>
      </c>
      <c r="AD96" s="91">
        <f t="shared" si="120"/>
        <v>0</v>
      </c>
      <c r="AE96" s="91">
        <f t="shared" si="120"/>
        <v>0</v>
      </c>
      <c r="AF96" s="91">
        <f t="shared" si="120"/>
        <v>0</v>
      </c>
      <c r="AG96" s="91">
        <f t="shared" si="120"/>
        <v>0</v>
      </c>
      <c r="AH96" s="91">
        <f t="shared" si="120"/>
        <v>0</v>
      </c>
      <c r="AI96" s="91">
        <f t="shared" si="120"/>
        <v>0</v>
      </c>
      <c r="AJ96" s="91">
        <f t="shared" si="120"/>
        <v>0</v>
      </c>
      <c r="AK96" s="91">
        <f t="shared" si="120"/>
        <v>0</v>
      </c>
      <c r="AL96" s="91">
        <f t="shared" si="120"/>
        <v>0</v>
      </c>
      <c r="AM96" s="91">
        <f t="shared" si="120"/>
        <v>0</v>
      </c>
      <c r="AN96" s="91">
        <f t="shared" si="120"/>
        <v>0</v>
      </c>
      <c r="AO96" s="91">
        <f t="shared" si="120"/>
        <v>0</v>
      </c>
      <c r="AP96" s="91">
        <f t="shared" si="120"/>
        <v>0</v>
      </c>
      <c r="AQ96" s="91">
        <f t="shared" si="120"/>
        <v>0</v>
      </c>
      <c r="AR96" s="91">
        <f t="shared" si="120"/>
        <v>0</v>
      </c>
      <c r="AS96" s="105"/>
      <c r="AT96" s="91">
        <f t="shared" si="121"/>
        <v>0</v>
      </c>
      <c r="AU96" s="91">
        <f t="shared" si="121"/>
        <v>0</v>
      </c>
      <c r="AV96" s="91">
        <f t="shared" si="121"/>
        <v>0</v>
      </c>
      <c r="AW96" s="91">
        <f t="shared" si="121"/>
        <v>0</v>
      </c>
      <c r="AX96" s="91">
        <f t="shared" si="121"/>
        <v>0</v>
      </c>
      <c r="AY96" s="91">
        <f t="shared" si="128"/>
        <v>0</v>
      </c>
      <c r="AZ96" s="132">
        <f t="shared" si="134"/>
        <v>1</v>
      </c>
      <c r="BA96" s="132">
        <f t="shared" si="135"/>
        <v>0</v>
      </c>
      <c r="BB96" s="105"/>
      <c r="BC96" s="131">
        <f t="shared" si="136"/>
        <v>0</v>
      </c>
      <c r="BD96" s="131">
        <f t="shared" si="136"/>
        <v>0</v>
      </c>
      <c r="BE96" s="131">
        <f t="shared" si="136"/>
        <v>0</v>
      </c>
      <c r="BF96" s="131">
        <f t="shared" si="136"/>
        <v>0</v>
      </c>
      <c r="BG96" s="131">
        <f t="shared" si="136"/>
        <v>0</v>
      </c>
      <c r="BH96" s="131">
        <f t="shared" si="136"/>
        <v>0</v>
      </c>
      <c r="BI96" s="91">
        <f t="shared" si="137"/>
        <v>0</v>
      </c>
      <c r="BJ96" s="132">
        <f t="shared" si="138"/>
        <v>0</v>
      </c>
      <c r="BK96" s="105"/>
      <c r="BL96" s="91">
        <f t="shared" si="122"/>
        <v>0</v>
      </c>
      <c r="BM96" s="91">
        <f t="shared" si="123"/>
        <v>0</v>
      </c>
      <c r="BN96" s="91">
        <f t="shared" si="124"/>
        <v>0</v>
      </c>
      <c r="BO96" s="91">
        <f t="shared" si="125"/>
        <v>0</v>
      </c>
      <c r="BP96" s="91">
        <f t="shared" si="126"/>
        <v>0</v>
      </c>
      <c r="BQ96" s="91">
        <f>SUM(BL96:BP96)</f>
        <v>0</v>
      </c>
      <c r="BR96" s="132">
        <f t="shared" si="139"/>
        <v>1</v>
      </c>
      <c r="BS96" s="132">
        <f t="shared" si="140"/>
        <v>0</v>
      </c>
    </row>
    <row r="97" spans="1:71">
      <c r="A97" s="105"/>
      <c r="B97" s="105"/>
      <c r="C97" s="105"/>
      <c r="D97" s="105"/>
      <c r="E97" s="105"/>
      <c r="F97" s="105"/>
      <c r="G97" s="105"/>
      <c r="H97" s="105"/>
      <c r="I97" s="105"/>
      <c r="J97" s="105"/>
      <c r="K97" s="105"/>
      <c r="L97" s="105"/>
      <c r="M97" s="105"/>
      <c r="N97" s="105"/>
      <c r="O97" s="105"/>
      <c r="P97" s="105"/>
      <c r="Q97" s="105"/>
      <c r="R97" s="105"/>
      <c r="S97" s="105"/>
      <c r="T97" s="105"/>
      <c r="U97" s="105"/>
      <c r="V97" s="105"/>
      <c r="W97" s="105"/>
      <c r="X97" s="105"/>
      <c r="Y97" s="105"/>
      <c r="Z97" s="105"/>
      <c r="AA97" s="105"/>
      <c r="AB97" s="105"/>
      <c r="AC97" s="105"/>
      <c r="AD97" s="105"/>
      <c r="AE97" s="105"/>
      <c r="AF97" s="105"/>
      <c r="AG97" s="105"/>
      <c r="AH97" s="105"/>
      <c r="AI97" s="105"/>
      <c r="AJ97" s="105"/>
      <c r="AK97" s="105"/>
      <c r="AL97" s="105"/>
      <c r="AM97" s="105"/>
      <c r="AN97" s="105"/>
      <c r="AO97" s="105"/>
      <c r="AP97" s="105"/>
      <c r="AQ97" s="105"/>
      <c r="AR97" s="105"/>
      <c r="AS97" s="105"/>
      <c r="AT97" s="105"/>
      <c r="AU97" s="105"/>
      <c r="AV97" s="105"/>
      <c r="AW97" s="105"/>
      <c r="AX97" s="105"/>
      <c r="AY97" s="105"/>
      <c r="AZ97" s="105"/>
      <c r="BA97" s="105"/>
      <c r="BB97" s="105"/>
      <c r="BC97" s="105"/>
      <c r="BD97" s="105"/>
      <c r="BE97" s="105"/>
      <c r="BF97" s="105"/>
      <c r="BG97" s="105"/>
      <c r="BH97" s="105"/>
      <c r="BI97" s="105"/>
      <c r="BJ97" s="105"/>
      <c r="BK97" s="105"/>
      <c r="BL97" s="105"/>
      <c r="BM97" s="105"/>
      <c r="BN97" s="105"/>
      <c r="BO97" s="105"/>
      <c r="BP97" s="105"/>
      <c r="BQ97" s="105"/>
      <c r="BR97" s="105"/>
      <c r="BS97" s="105"/>
    </row>
    <row r="98" spans="1:71" ht="14.4" thickBot="1">
      <c r="A98" s="194" t="str">
        <f>CONCATENATE(Menus!C27," ($)")</f>
        <v>Energy Cost ($)</v>
      </c>
      <c r="B98" s="194"/>
      <c r="C98" s="194"/>
      <c r="D98" s="194"/>
      <c r="E98" s="194"/>
      <c r="F98" s="194"/>
      <c r="G98" s="194"/>
      <c r="H98" s="194"/>
      <c r="I98" s="194"/>
      <c r="J98" s="194"/>
      <c r="K98" s="194"/>
      <c r="L98" s="194"/>
      <c r="M98" s="194"/>
      <c r="N98" s="194"/>
      <c r="O98" s="194"/>
      <c r="P98" s="194"/>
      <c r="Q98" s="194"/>
      <c r="R98" s="194"/>
      <c r="S98" s="194"/>
      <c r="T98" s="194"/>
      <c r="U98" s="194"/>
      <c r="V98" s="194"/>
      <c r="W98" s="194"/>
      <c r="X98" s="194"/>
      <c r="Y98" s="194"/>
      <c r="Z98" s="194"/>
      <c r="AA98" s="194"/>
    </row>
    <row r="99" spans="1:71">
      <c r="A99" s="105" t="str">
        <f t="shared" ref="A99:A111" si="149">A9</f>
        <v>LEED Baseline</v>
      </c>
      <c r="B99" s="105"/>
      <c r="C99" s="112">
        <f>IFERROR(C9*INDEX('Project Info'!$I83:$M83,MATCH(C$5,'Project Info'!$I$15:$M$15,0)),0)</f>
        <v>1393.2068344206273</v>
      </c>
      <c r="D99" s="112">
        <f>IFERROR(D9*INDEX('Project Info'!$I83:$M83,MATCH(D$5,'Project Info'!$I$15:$M$15,0)),0)</f>
        <v>0</v>
      </c>
      <c r="E99" s="112">
        <f>IFERROR(E9*INDEX('Project Info'!$I83:$M83,MATCH(E$5,'Project Info'!$I$15:$M$15,0)),0)</f>
        <v>0</v>
      </c>
      <c r="F99" s="112">
        <f>IFERROR(F9*INDEX('Project Info'!$I83:$M83,MATCH(F$5,'Project Info'!$I$15:$M$15,0)),0)</f>
        <v>0</v>
      </c>
      <c r="G99" s="112">
        <f>IFERROR(G9*INDEX('Project Info'!$I83:$M83,MATCH(G$5,'Project Info'!$I$15:$M$15,0)),0)</f>
        <v>5192.4729442519947</v>
      </c>
      <c r="H99" s="112">
        <f>IFERROR(H9*INDEX('Project Info'!$I83:$M83,MATCH(H$5,'Project Info'!$I$15:$M$15,0)),0)</f>
        <v>0</v>
      </c>
      <c r="I99" s="112">
        <f>IFERROR(I9*INDEX('Project Info'!$I83:$M83,MATCH(I$5,'Project Info'!$I$15:$M$15,0)),0)</f>
        <v>5573.6953020684969</v>
      </c>
      <c r="J99" s="112">
        <f>IFERROR(J9*INDEX('Project Info'!$I83:$M83,MATCH(J$5,'Project Info'!$I$15:$M$15,0)),0)</f>
        <v>0</v>
      </c>
      <c r="K99" s="112">
        <f>IFERROR(K9*INDEX('Project Info'!$I83:$M83,MATCH(K$5,'Project Info'!$I$15:$M$15,0)),0)</f>
        <v>6544.3274754259792</v>
      </c>
      <c r="L99" s="112">
        <f>IFERROR(L9*INDEX('Project Info'!$I83:$M83,MATCH(L$5,'Project Info'!$I$15:$M$15,0)),0)</f>
        <v>0</v>
      </c>
      <c r="M99" s="112">
        <f>IFERROR(M9*INDEX('Project Info'!$I83:$M83,MATCH(M$5,'Project Info'!$I$15:$M$15,0)),0)</f>
        <v>0</v>
      </c>
      <c r="N99" s="112">
        <f>IFERROR(N9*INDEX('Project Info'!$I83:$M83,MATCH(N$5,'Project Info'!$I$15:$M$15,0)),0)</f>
        <v>0</v>
      </c>
      <c r="O99" s="112">
        <f>IFERROR(O9*INDEX('Project Info'!$I83:$M83,MATCH(O$5,'Project Info'!$I$15:$M$15,0)),0)</f>
        <v>6352.2283575703223</v>
      </c>
      <c r="P99" s="112">
        <f>IFERROR(P9*INDEX('Project Info'!$I83:$M83,MATCH(P$5,'Project Info'!$I$15:$M$15,0)),0)</f>
        <v>0</v>
      </c>
      <c r="Q99" s="112">
        <f>IFERROR(Q9*INDEX('Project Info'!$I83:$M83,MATCH(Q$5,'Project Info'!$I$15:$M$15,0)),0)</f>
        <v>0</v>
      </c>
      <c r="R99" s="112">
        <f>IFERROR(R9*INDEX('Project Info'!$I83:$M83,MATCH(R$5,'Project Info'!$I$15:$M$15,0)),0)</f>
        <v>0</v>
      </c>
      <c r="S99" s="112">
        <f>IFERROR(S9*INDEX('Project Info'!$I83:$M83,MATCH(S$5,'Project Info'!$I$15:$M$15,0)),0)</f>
        <v>0</v>
      </c>
      <c r="T99" s="112">
        <f>IFERROR(T9*INDEX('Project Info'!$I83:$M83,MATCH(T$5,'Project Info'!$I$15:$M$15,0)),0)</f>
        <v>0</v>
      </c>
      <c r="U99" s="112">
        <f>IFERROR(U9*INDEX('Project Info'!$I83:$M83,MATCH(U$5,'Project Info'!$I$15:$M$15,0)),0)</f>
        <v>0</v>
      </c>
      <c r="V99" s="112">
        <f>IFERROR(V9*INDEX('Project Info'!$I83:$M83,MATCH(V$5,'Project Info'!$I$15:$M$15,0)),0)</f>
        <v>0</v>
      </c>
      <c r="W99" s="112">
        <f>IFERROR(W9*INDEX('Project Info'!$I83:$M83,MATCH(W$5,'Project Info'!$I$15:$M$15,0)),0)</f>
        <v>0</v>
      </c>
      <c r="X99" s="112">
        <f>IFERROR(X9*INDEX('Project Info'!$I83:$M83,MATCH(X$5,'Project Info'!$I$15:$M$15,0)),0)</f>
        <v>0</v>
      </c>
      <c r="Y99" s="112">
        <f>IFERROR(Y9*INDEX('Project Info'!$I83:$M83,MATCH(Y$5,'Project Info'!$I$15:$M$15,0)),0)</f>
        <v>0</v>
      </c>
      <c r="Z99" s="112">
        <f>IFERROR(Z9*INDEX('Project Info'!$I83:$M83,MATCH(Z$5,'Project Info'!$I$15:$M$15,0)),0)</f>
        <v>0</v>
      </c>
      <c r="AA99" s="112">
        <f>IFERROR(AA9*INDEX('Project Info'!$I83:$M83,MATCH(AA$5,'Project Info'!$I$15:$M$15,0)),0)</f>
        <v>0</v>
      </c>
      <c r="AB99" s="105"/>
      <c r="AC99" s="112">
        <f t="shared" ref="AC99:AR111" si="150">SUMIF($C$4:$AA$4,AC$4,$C99:$AA99)</f>
        <v>1393.2068344206273</v>
      </c>
      <c r="AD99" s="112">
        <f t="shared" si="150"/>
        <v>5192.4729442519947</v>
      </c>
      <c r="AE99" s="112">
        <f t="shared" si="150"/>
        <v>5573.6953020684969</v>
      </c>
      <c r="AF99" s="112">
        <f t="shared" si="150"/>
        <v>0</v>
      </c>
      <c r="AG99" s="112">
        <f t="shared" si="150"/>
        <v>6544.3274754259792</v>
      </c>
      <c r="AH99" s="112">
        <f t="shared" si="150"/>
        <v>0</v>
      </c>
      <c r="AI99" s="112">
        <f t="shared" si="150"/>
        <v>6352.2283575703223</v>
      </c>
      <c r="AJ99" s="112">
        <f t="shared" si="150"/>
        <v>0</v>
      </c>
      <c r="AK99" s="112">
        <f t="shared" si="150"/>
        <v>0</v>
      </c>
      <c r="AL99" s="112">
        <f t="shared" si="150"/>
        <v>0</v>
      </c>
      <c r="AM99" s="112">
        <f t="shared" si="150"/>
        <v>0</v>
      </c>
      <c r="AN99" s="112">
        <f t="shared" si="150"/>
        <v>0</v>
      </c>
      <c r="AO99" s="112">
        <f t="shared" si="150"/>
        <v>0</v>
      </c>
      <c r="AP99" s="112">
        <f t="shared" si="150"/>
        <v>0</v>
      </c>
      <c r="AQ99" s="112">
        <f t="shared" si="150"/>
        <v>0</v>
      </c>
      <c r="AR99" s="112">
        <f t="shared" si="150"/>
        <v>0</v>
      </c>
      <c r="AS99" s="105"/>
      <c r="AT99" s="112">
        <f t="shared" ref="AT99:AX114" si="151">SUMIF($C$5:$AA$5,"="&amp;AT$5,$C99:$AA99)</f>
        <v>25055.930913737422</v>
      </c>
      <c r="AU99" s="112">
        <f t="shared" si="151"/>
        <v>0</v>
      </c>
      <c r="AV99" s="112">
        <f t="shared" si="151"/>
        <v>0</v>
      </c>
      <c r="AW99" s="112">
        <f t="shared" si="151"/>
        <v>0</v>
      </c>
      <c r="AX99" s="112">
        <f t="shared" si="151"/>
        <v>0</v>
      </c>
      <c r="AY99" s="112">
        <f>SUM(AT99:AX99)</f>
        <v>25055.930913737422</v>
      </c>
      <c r="AZ99" s="110"/>
      <c r="BA99" s="110"/>
      <c r="BB99" s="105"/>
      <c r="BC99" s="110"/>
      <c r="BD99" s="110"/>
      <c r="BE99" s="110"/>
      <c r="BF99" s="110"/>
      <c r="BG99" s="110"/>
      <c r="BH99" s="110"/>
      <c r="BI99" s="110"/>
      <c r="BJ99" s="110"/>
      <c r="BK99" s="105"/>
      <c r="BL99" s="112">
        <f>AT99-(SUMIF($BC$5:$BH$5,"="&amp;BL$5,$BC99:$BH99))</f>
        <v>25055.930913737422</v>
      </c>
      <c r="BM99" s="112">
        <f>AU99-(SUMIF($BC$5:$BH$5,"="&amp;BM$5,$BC99:$BH99))</f>
        <v>0</v>
      </c>
      <c r="BN99" s="112">
        <f>AV99-(SUMIF($BC$5:$BH$5,"="&amp;BN$5,$BC99:$BH99))</f>
        <v>0</v>
      </c>
      <c r="BO99" s="112">
        <f>AW99-(SUMIF($BC$5:$BH$5,"="&amp;BO$5,$BC99:$BH99))</f>
        <v>0</v>
      </c>
      <c r="BP99" s="112">
        <f>AX99-(SUMIF($BC$5:$BH$5,"="&amp;BP$5,$BC99:$BH99))</f>
        <v>0</v>
      </c>
      <c r="BQ99" s="112">
        <f>SUM(BL99:BP99)</f>
        <v>25055.930913737422</v>
      </c>
      <c r="BR99" s="110"/>
      <c r="BS99" s="110"/>
    </row>
    <row r="100" spans="1:71">
      <c r="A100" s="105" t="str">
        <f t="shared" si="149"/>
        <v>Code Baseline</v>
      </c>
      <c r="B100" s="105"/>
      <c r="C100" s="112">
        <f>IFERROR(C10*INDEX('Project Info'!$I84:$M84,MATCH(C$5,'Project Info'!$I$15:$M$15,0)),0)</f>
        <v>0</v>
      </c>
      <c r="D100" s="112">
        <f>IFERROR(D10*INDEX('Project Info'!$I84:$M84,MATCH(D$5,'Project Info'!$I$15:$M$15,0)),0)</f>
        <v>0</v>
      </c>
      <c r="E100" s="112">
        <f>IFERROR(E10*INDEX('Project Info'!$I84:$M84,MATCH(E$5,'Project Info'!$I$15:$M$15,0)),0)</f>
        <v>0</v>
      </c>
      <c r="F100" s="112">
        <f>IFERROR(F10*INDEX('Project Info'!$I84:$M84,MATCH(F$5,'Project Info'!$I$15:$M$15,0)),0)</f>
        <v>0</v>
      </c>
      <c r="G100" s="112">
        <f>IFERROR(G10*INDEX('Project Info'!$I84:$M84,MATCH(G$5,'Project Info'!$I$15:$M$15,0)),0)</f>
        <v>0</v>
      </c>
      <c r="H100" s="112">
        <f>IFERROR(H10*INDEX('Project Info'!$I84:$M84,MATCH(H$5,'Project Info'!$I$15:$M$15,0)),0)</f>
        <v>0</v>
      </c>
      <c r="I100" s="112">
        <f>IFERROR(I10*INDEX('Project Info'!$I84:$M84,MATCH(I$5,'Project Info'!$I$15:$M$15,0)),0)</f>
        <v>0</v>
      </c>
      <c r="J100" s="112">
        <f>IFERROR(J10*INDEX('Project Info'!$I84:$M84,MATCH(J$5,'Project Info'!$I$15:$M$15,0)),0)</f>
        <v>0</v>
      </c>
      <c r="K100" s="112">
        <f>IFERROR(K10*INDEX('Project Info'!$I84:$M84,MATCH(K$5,'Project Info'!$I$15:$M$15,0)),0)</f>
        <v>0</v>
      </c>
      <c r="L100" s="112">
        <f>IFERROR(L10*INDEX('Project Info'!$I84:$M84,MATCH(L$5,'Project Info'!$I$15:$M$15,0)),0)</f>
        <v>0</v>
      </c>
      <c r="M100" s="112">
        <f>IFERROR(M10*INDEX('Project Info'!$I84:$M84,MATCH(M$5,'Project Info'!$I$15:$M$15,0)),0)</f>
        <v>0</v>
      </c>
      <c r="N100" s="112">
        <f>IFERROR(N10*INDEX('Project Info'!$I84:$M84,MATCH(N$5,'Project Info'!$I$15:$M$15,0)),0)</f>
        <v>0</v>
      </c>
      <c r="O100" s="112">
        <f>IFERROR(O10*INDEX('Project Info'!$I84:$M84,MATCH(O$5,'Project Info'!$I$15:$M$15,0)),0)</f>
        <v>0</v>
      </c>
      <c r="P100" s="112">
        <f>IFERROR(P10*INDEX('Project Info'!$I84:$M84,MATCH(P$5,'Project Info'!$I$15:$M$15,0)),0)</f>
        <v>0</v>
      </c>
      <c r="Q100" s="112">
        <f>IFERROR(Q10*INDEX('Project Info'!$I84:$M84,MATCH(Q$5,'Project Info'!$I$15:$M$15,0)),0)</f>
        <v>0</v>
      </c>
      <c r="R100" s="112">
        <f>IFERROR(R10*INDEX('Project Info'!$I84:$M84,MATCH(R$5,'Project Info'!$I$15:$M$15,0)),0)</f>
        <v>0</v>
      </c>
      <c r="S100" s="112">
        <f>IFERROR(S10*INDEX('Project Info'!$I84:$M84,MATCH(S$5,'Project Info'!$I$15:$M$15,0)),0)</f>
        <v>0</v>
      </c>
      <c r="T100" s="112">
        <f>IFERROR(T10*INDEX('Project Info'!$I84:$M84,MATCH(T$5,'Project Info'!$I$15:$M$15,0)),0)</f>
        <v>0</v>
      </c>
      <c r="U100" s="112">
        <f>IFERROR(U10*INDEX('Project Info'!$I84:$M84,MATCH(U$5,'Project Info'!$I$15:$M$15,0)),0)</f>
        <v>0</v>
      </c>
      <c r="V100" s="112">
        <f>IFERROR(V10*INDEX('Project Info'!$I84:$M84,MATCH(V$5,'Project Info'!$I$15:$M$15,0)),0)</f>
        <v>0</v>
      </c>
      <c r="W100" s="112">
        <f>IFERROR(W10*INDEX('Project Info'!$I84:$M84,MATCH(W$5,'Project Info'!$I$15:$M$15,0)),0)</f>
        <v>0</v>
      </c>
      <c r="X100" s="112">
        <f>IFERROR(X10*INDEX('Project Info'!$I84:$M84,MATCH(X$5,'Project Info'!$I$15:$M$15,0)),0)</f>
        <v>0</v>
      </c>
      <c r="Y100" s="112">
        <f>IFERROR(Y10*INDEX('Project Info'!$I84:$M84,MATCH(Y$5,'Project Info'!$I$15:$M$15,0)),0)</f>
        <v>0</v>
      </c>
      <c r="Z100" s="112">
        <f>IFERROR(Z10*INDEX('Project Info'!$I84:$M84,MATCH(Z$5,'Project Info'!$I$15:$M$15,0)),0)</f>
        <v>0</v>
      </c>
      <c r="AA100" s="112">
        <f>IFERROR(AA10*INDEX('Project Info'!$I84:$M84,MATCH(AA$5,'Project Info'!$I$15:$M$15,0)),0)</f>
        <v>0</v>
      </c>
      <c r="AB100" s="105"/>
      <c r="AC100" s="112">
        <f t="shared" si="150"/>
        <v>0</v>
      </c>
      <c r="AD100" s="112">
        <f t="shared" si="150"/>
        <v>0</v>
      </c>
      <c r="AE100" s="112">
        <f t="shared" si="150"/>
        <v>0</v>
      </c>
      <c r="AF100" s="112">
        <f t="shared" si="150"/>
        <v>0</v>
      </c>
      <c r="AG100" s="112">
        <f t="shared" si="150"/>
        <v>0</v>
      </c>
      <c r="AH100" s="112">
        <f t="shared" si="150"/>
        <v>0</v>
      </c>
      <c r="AI100" s="112">
        <f t="shared" si="150"/>
        <v>0</v>
      </c>
      <c r="AJ100" s="112">
        <f t="shared" si="150"/>
        <v>0</v>
      </c>
      <c r="AK100" s="112">
        <f t="shared" si="150"/>
        <v>0</v>
      </c>
      <c r="AL100" s="112">
        <f t="shared" si="150"/>
        <v>0</v>
      </c>
      <c r="AM100" s="112">
        <f t="shared" si="150"/>
        <v>0</v>
      </c>
      <c r="AN100" s="112">
        <f t="shared" si="150"/>
        <v>0</v>
      </c>
      <c r="AO100" s="112">
        <f t="shared" si="150"/>
        <v>0</v>
      </c>
      <c r="AP100" s="112">
        <f t="shared" si="150"/>
        <v>0</v>
      </c>
      <c r="AQ100" s="112">
        <f t="shared" si="150"/>
        <v>0</v>
      </c>
      <c r="AR100" s="112">
        <f t="shared" si="150"/>
        <v>0</v>
      </c>
      <c r="AS100" s="105"/>
      <c r="AT100" s="112">
        <f t="shared" si="151"/>
        <v>0</v>
      </c>
      <c r="AU100" s="112">
        <f t="shared" si="151"/>
        <v>0</v>
      </c>
      <c r="AV100" s="112">
        <f t="shared" si="151"/>
        <v>0</v>
      </c>
      <c r="AW100" s="112">
        <f t="shared" si="151"/>
        <v>0</v>
      </c>
      <c r="AX100" s="112">
        <f t="shared" si="151"/>
        <v>0</v>
      </c>
      <c r="AY100" s="112">
        <f t="shared" ref="AY100:AY111" si="152">SUM(AT100:AX100)</f>
        <v>0</v>
      </c>
      <c r="AZ100" s="110"/>
      <c r="BA100" s="110"/>
      <c r="BB100" s="105"/>
      <c r="BC100" s="110"/>
      <c r="BD100" s="110"/>
      <c r="BE100" s="110"/>
      <c r="BF100" s="110"/>
      <c r="BG100" s="110"/>
      <c r="BH100" s="110"/>
      <c r="BI100" s="110"/>
      <c r="BJ100" s="110"/>
      <c r="BK100" s="105"/>
      <c r="BL100" s="112">
        <f t="shared" ref="BL100:BL111" si="153">AT100-(SUMIF($BC$5:$BH$5,"="&amp;BL$5,$BC100:$BH100))</f>
        <v>0</v>
      </c>
      <c r="BM100" s="112">
        <f t="shared" ref="BM100:BM111" si="154">AU100-(SUMIF($BC$5:$BH$5,"="&amp;BM$5,$BC100:$BH100))</f>
        <v>0</v>
      </c>
      <c r="BN100" s="112">
        <f t="shared" ref="BN100:BN111" si="155">AV100-(SUMIF($BC$5:$BH$5,"="&amp;BN$5,$BC100:$BH100))</f>
        <v>0</v>
      </c>
      <c r="BO100" s="112">
        <f t="shared" ref="BO100:BO111" si="156">AW100-(SUMIF($BC$5:$BH$5,"="&amp;BO$5,$BC100:$BH100))</f>
        <v>0</v>
      </c>
      <c r="BP100" s="112">
        <f t="shared" ref="BP100:BP111" si="157">AX100-(SUMIF($BC$5:$BH$5,"="&amp;BP$5,$BC100:$BH100))</f>
        <v>0</v>
      </c>
      <c r="BQ100" s="112">
        <f t="shared" ref="BQ100:BQ111" si="158">SUM(BL100:BP100)</f>
        <v>0</v>
      </c>
      <c r="BR100" s="110"/>
      <c r="BS100" s="110"/>
    </row>
    <row r="101" spans="1:71" s="136" customFormat="1">
      <c r="A101" s="134" t="str">
        <f t="shared" si="149"/>
        <v xml:space="preserve"> </v>
      </c>
      <c r="B101" s="134"/>
      <c r="C101" s="143">
        <f>IFERROR(C11*INDEX('Project Info'!$I85:$M85,MATCH(C$5,'Project Info'!$I$15:$M$15,0)),0)</f>
        <v>0</v>
      </c>
      <c r="D101" s="143">
        <f>IFERROR(D11*INDEX('Project Info'!$I85:$M85,MATCH(D$5,'Project Info'!$I$15:$M$15,0)),0)</f>
        <v>0</v>
      </c>
      <c r="E101" s="143">
        <f>IFERROR(E11*INDEX('Project Info'!$I85:$M85,MATCH(E$5,'Project Info'!$I$15:$M$15,0)),0)</f>
        <v>0</v>
      </c>
      <c r="F101" s="143">
        <f>IFERROR(F11*INDEX('Project Info'!$I85:$M85,MATCH(F$5,'Project Info'!$I$15:$M$15,0)),0)</f>
        <v>0</v>
      </c>
      <c r="G101" s="143">
        <f>IFERROR(G11*INDEX('Project Info'!$I85:$M85,MATCH(G$5,'Project Info'!$I$15:$M$15,0)),0)</f>
        <v>0</v>
      </c>
      <c r="H101" s="143">
        <f>IFERROR(H11*INDEX('Project Info'!$I85:$M85,MATCH(H$5,'Project Info'!$I$15:$M$15,0)),0)</f>
        <v>0</v>
      </c>
      <c r="I101" s="143">
        <f>IFERROR(I11*INDEX('Project Info'!$I85:$M85,MATCH(I$5,'Project Info'!$I$15:$M$15,0)),0)</f>
        <v>0</v>
      </c>
      <c r="J101" s="143">
        <f>IFERROR(J11*INDEX('Project Info'!$I85:$M85,MATCH(J$5,'Project Info'!$I$15:$M$15,0)),0)</f>
        <v>0</v>
      </c>
      <c r="K101" s="143">
        <f>IFERROR(K11*INDEX('Project Info'!$I85:$M85,MATCH(K$5,'Project Info'!$I$15:$M$15,0)),0)</f>
        <v>0</v>
      </c>
      <c r="L101" s="143">
        <f>IFERROR(L11*INDEX('Project Info'!$I85:$M85,MATCH(L$5,'Project Info'!$I$15:$M$15,0)),0)</f>
        <v>0</v>
      </c>
      <c r="M101" s="143">
        <f>IFERROR(M11*INDEX('Project Info'!$I85:$M85,MATCH(M$5,'Project Info'!$I$15:$M$15,0)),0)</f>
        <v>0</v>
      </c>
      <c r="N101" s="143">
        <f>IFERROR(N11*INDEX('Project Info'!$I85:$M85,MATCH(N$5,'Project Info'!$I$15:$M$15,0)),0)</f>
        <v>0</v>
      </c>
      <c r="O101" s="143">
        <f>IFERROR(O11*INDEX('Project Info'!$I85:$M85,MATCH(O$5,'Project Info'!$I$15:$M$15,0)),0)</f>
        <v>0</v>
      </c>
      <c r="P101" s="143">
        <f>IFERROR(P11*INDEX('Project Info'!$I85:$M85,MATCH(P$5,'Project Info'!$I$15:$M$15,0)),0)</f>
        <v>0</v>
      </c>
      <c r="Q101" s="143">
        <f>IFERROR(Q11*INDEX('Project Info'!$I85:$M85,MATCH(Q$5,'Project Info'!$I$15:$M$15,0)),0)</f>
        <v>0</v>
      </c>
      <c r="R101" s="143">
        <f>IFERROR(R11*INDEX('Project Info'!$I85:$M85,MATCH(R$5,'Project Info'!$I$15:$M$15,0)),0)</f>
        <v>0</v>
      </c>
      <c r="S101" s="143">
        <f>IFERROR(S11*INDEX('Project Info'!$I85:$M85,MATCH(S$5,'Project Info'!$I$15:$M$15,0)),0)</f>
        <v>0</v>
      </c>
      <c r="T101" s="143">
        <f>IFERROR(T11*INDEX('Project Info'!$I85:$M85,MATCH(T$5,'Project Info'!$I$15:$M$15,0)),0)</f>
        <v>0</v>
      </c>
      <c r="U101" s="143">
        <f>IFERROR(U11*INDEX('Project Info'!$I85:$M85,MATCH(U$5,'Project Info'!$I$15:$M$15,0)),0)</f>
        <v>0</v>
      </c>
      <c r="V101" s="143">
        <f>IFERROR(V11*INDEX('Project Info'!$I85:$M85,MATCH(V$5,'Project Info'!$I$15:$M$15,0)),0)</f>
        <v>0</v>
      </c>
      <c r="W101" s="143">
        <f>IFERROR(W11*INDEX('Project Info'!$I85:$M85,MATCH(W$5,'Project Info'!$I$15:$M$15,0)),0)</f>
        <v>0</v>
      </c>
      <c r="X101" s="143">
        <f>IFERROR(X11*INDEX('Project Info'!$I85:$M85,MATCH(X$5,'Project Info'!$I$15:$M$15,0)),0)</f>
        <v>0</v>
      </c>
      <c r="Y101" s="143">
        <f>IFERROR(Y11*INDEX('Project Info'!$I85:$M85,MATCH(Y$5,'Project Info'!$I$15:$M$15,0)),0)</f>
        <v>0</v>
      </c>
      <c r="Z101" s="143">
        <f>IFERROR(Z11*INDEX('Project Info'!$I85:$M85,MATCH(Z$5,'Project Info'!$I$15:$M$15,0)),0)</f>
        <v>0</v>
      </c>
      <c r="AA101" s="143">
        <f>IFERROR(AA11*INDEX('Project Info'!$I85:$M85,MATCH(AA$5,'Project Info'!$I$15:$M$15,0)),0)</f>
        <v>0</v>
      </c>
      <c r="AB101" s="134"/>
      <c r="AC101" s="143">
        <f t="shared" si="150"/>
        <v>0</v>
      </c>
      <c r="AD101" s="143">
        <f t="shared" si="150"/>
        <v>0</v>
      </c>
      <c r="AE101" s="143">
        <f t="shared" si="150"/>
        <v>0</v>
      </c>
      <c r="AF101" s="143">
        <f t="shared" si="150"/>
        <v>0</v>
      </c>
      <c r="AG101" s="143">
        <f t="shared" si="150"/>
        <v>0</v>
      </c>
      <c r="AH101" s="143">
        <f t="shared" si="150"/>
        <v>0</v>
      </c>
      <c r="AI101" s="143">
        <f t="shared" si="150"/>
        <v>0</v>
      </c>
      <c r="AJ101" s="143">
        <f t="shared" si="150"/>
        <v>0</v>
      </c>
      <c r="AK101" s="143">
        <f t="shared" si="150"/>
        <v>0</v>
      </c>
      <c r="AL101" s="143">
        <f t="shared" si="150"/>
        <v>0</v>
      </c>
      <c r="AM101" s="143">
        <f t="shared" si="150"/>
        <v>0</v>
      </c>
      <c r="AN101" s="143">
        <f t="shared" si="150"/>
        <v>0</v>
      </c>
      <c r="AO101" s="143">
        <f t="shared" si="150"/>
        <v>0</v>
      </c>
      <c r="AP101" s="143">
        <f t="shared" si="150"/>
        <v>0</v>
      </c>
      <c r="AQ101" s="143">
        <f t="shared" si="150"/>
        <v>0</v>
      </c>
      <c r="AR101" s="143">
        <f t="shared" si="150"/>
        <v>0</v>
      </c>
      <c r="AS101" s="134"/>
      <c r="AT101" s="143">
        <f t="shared" si="151"/>
        <v>0</v>
      </c>
      <c r="AU101" s="143">
        <f t="shared" si="151"/>
        <v>0</v>
      </c>
      <c r="AV101" s="143">
        <f t="shared" si="151"/>
        <v>0</v>
      </c>
      <c r="AW101" s="143">
        <f t="shared" si="151"/>
        <v>0</v>
      </c>
      <c r="AX101" s="143">
        <f t="shared" si="151"/>
        <v>0</v>
      </c>
      <c r="AY101" s="143">
        <f>SUM(AT101:AX101)</f>
        <v>0</v>
      </c>
      <c r="AZ101" s="137"/>
      <c r="BA101" s="137"/>
      <c r="BB101" s="134"/>
      <c r="BC101" s="137"/>
      <c r="BD101" s="137"/>
      <c r="BE101" s="137"/>
      <c r="BF101" s="137"/>
      <c r="BG101" s="137"/>
      <c r="BH101" s="137"/>
      <c r="BI101" s="137"/>
      <c r="BJ101" s="137"/>
      <c r="BK101" s="134"/>
      <c r="BL101" s="143">
        <f>AT101-(SUMIF($BC$5:$BH$5,"="&amp;BL$5,$BC101:$BH101))</f>
        <v>0</v>
      </c>
      <c r="BM101" s="143">
        <f t="shared" si="154"/>
        <v>0</v>
      </c>
      <c r="BN101" s="143">
        <f t="shared" si="155"/>
        <v>0</v>
      </c>
      <c r="BO101" s="143">
        <f t="shared" si="156"/>
        <v>0</v>
      </c>
      <c r="BP101" s="143">
        <f t="shared" si="157"/>
        <v>0</v>
      </c>
      <c r="BQ101" s="143">
        <f>SUM(BL101:BP101)</f>
        <v>0</v>
      </c>
      <c r="BR101" s="137"/>
      <c r="BS101" s="137"/>
    </row>
    <row r="102" spans="1:71">
      <c r="A102" s="105" t="str">
        <f t="shared" si="149"/>
        <v>Proposed Design</v>
      </c>
      <c r="B102" s="105"/>
      <c r="C102" s="142">
        <f>IFERROR(C12*INDEX('Project Info'!$I85:$M85,MATCH(C$5,'Project Info'!$I$15:$M$15,0)),0)</f>
        <v>1393.2068344206273</v>
      </c>
      <c r="D102" s="142">
        <f>IFERROR(D12*INDEX('Project Info'!$I85:$M85,MATCH(D$5,'Project Info'!$I$15:$M$15,0)),0)</f>
        <v>0</v>
      </c>
      <c r="E102" s="142">
        <f>IFERROR(E12*INDEX('Project Info'!$I85:$M85,MATCH(E$5,'Project Info'!$I$15:$M$15,0)),0)</f>
        <v>0</v>
      </c>
      <c r="F102" s="142">
        <f>IFERROR(F12*INDEX('Project Info'!$I85:$M85,MATCH(F$5,'Project Info'!$I$15:$M$15,0)),0)</f>
        <v>0</v>
      </c>
      <c r="G102" s="142">
        <f>IFERROR(G12*INDEX('Project Info'!$I85:$M85,MATCH(G$5,'Project Info'!$I$15:$M$15,0)),0)</f>
        <v>5192.4729442519947</v>
      </c>
      <c r="H102" s="142">
        <f>IFERROR(H12*INDEX('Project Info'!$I85:$M85,MATCH(H$5,'Project Info'!$I$15:$M$15,0)),0)</f>
        <v>0</v>
      </c>
      <c r="I102" s="142">
        <f>IFERROR(I12*INDEX('Project Info'!$I85:$M85,MATCH(I$5,'Project Info'!$I$15:$M$15,0)),0)</f>
        <v>5573.6953020684969</v>
      </c>
      <c r="J102" s="142">
        <f>IFERROR(J12*INDEX('Project Info'!$I85:$M85,MATCH(J$5,'Project Info'!$I$15:$M$15,0)),0)</f>
        <v>0</v>
      </c>
      <c r="K102" s="142">
        <f>IFERROR(K12*INDEX('Project Info'!$I85:$M85,MATCH(K$5,'Project Info'!$I$15:$M$15,0)),0)</f>
        <v>6544.3274754259792</v>
      </c>
      <c r="L102" s="142">
        <f>IFERROR(L12*INDEX('Project Info'!$I85:$M85,MATCH(L$5,'Project Info'!$I$15:$M$15,0)),0)</f>
        <v>0</v>
      </c>
      <c r="M102" s="142">
        <f>IFERROR(M12*INDEX('Project Info'!$I85:$M85,MATCH(M$5,'Project Info'!$I$15:$M$15,0)),0)</f>
        <v>0</v>
      </c>
      <c r="N102" s="142">
        <f>IFERROR(N12*INDEX('Project Info'!$I85:$M85,MATCH(N$5,'Project Info'!$I$15:$M$15,0)),0)</f>
        <v>0</v>
      </c>
      <c r="O102" s="142">
        <f>IFERROR(O12*INDEX('Project Info'!$I85:$M85,MATCH(O$5,'Project Info'!$I$15:$M$15,0)),0)</f>
        <v>6352.2283575703223</v>
      </c>
      <c r="P102" s="142">
        <f>IFERROR(P12*INDEX('Project Info'!$I85:$M85,MATCH(P$5,'Project Info'!$I$15:$M$15,0)),0)</f>
        <v>0</v>
      </c>
      <c r="Q102" s="142">
        <f>IFERROR(Q12*INDEX('Project Info'!$I85:$M85,MATCH(Q$5,'Project Info'!$I$15:$M$15,0)),0)</f>
        <v>0</v>
      </c>
      <c r="R102" s="142">
        <f>IFERROR(R12*INDEX('Project Info'!$I85:$M85,MATCH(R$5,'Project Info'!$I$15:$M$15,0)),0)</f>
        <v>0</v>
      </c>
      <c r="S102" s="142">
        <f>IFERROR(S12*INDEX('Project Info'!$I85:$M85,MATCH(S$5,'Project Info'!$I$15:$M$15,0)),0)</f>
        <v>0</v>
      </c>
      <c r="T102" s="142">
        <f>IFERROR(T12*INDEX('Project Info'!$I85:$M85,MATCH(T$5,'Project Info'!$I$15:$M$15,0)),0)</f>
        <v>0</v>
      </c>
      <c r="U102" s="142">
        <f>IFERROR(U12*INDEX('Project Info'!$I85:$M85,MATCH(U$5,'Project Info'!$I$15:$M$15,0)),0)</f>
        <v>0</v>
      </c>
      <c r="V102" s="142">
        <f>IFERROR(V12*INDEX('Project Info'!$I85:$M85,MATCH(V$5,'Project Info'!$I$15:$M$15,0)),0)</f>
        <v>0</v>
      </c>
      <c r="W102" s="142">
        <f>IFERROR(W12*INDEX('Project Info'!$I85:$M85,MATCH(W$5,'Project Info'!$I$15:$M$15,0)),0)</f>
        <v>0</v>
      </c>
      <c r="X102" s="142">
        <f>IFERROR(X12*INDEX('Project Info'!$I85:$M85,MATCH(X$5,'Project Info'!$I$15:$M$15,0)),0)</f>
        <v>0</v>
      </c>
      <c r="Y102" s="142">
        <f>IFERROR(Y12*INDEX('Project Info'!$I85:$M85,MATCH(Y$5,'Project Info'!$I$15:$M$15,0)),0)</f>
        <v>0</v>
      </c>
      <c r="Z102" s="142">
        <f>IFERROR(Z12*INDEX('Project Info'!$I85:$M85,MATCH(Z$5,'Project Info'!$I$15:$M$15,0)),0)</f>
        <v>0</v>
      </c>
      <c r="AA102" s="142">
        <f>IFERROR(AA12*INDEX('Project Info'!$I85:$M85,MATCH(AA$5,'Project Info'!$I$15:$M$15,0)),0)</f>
        <v>0</v>
      </c>
      <c r="AB102" s="105"/>
      <c r="AC102" s="142">
        <f t="shared" si="150"/>
        <v>1393.2068344206273</v>
      </c>
      <c r="AD102" s="142">
        <f t="shared" si="150"/>
        <v>5192.4729442519947</v>
      </c>
      <c r="AE102" s="142">
        <f t="shared" si="150"/>
        <v>5573.6953020684969</v>
      </c>
      <c r="AF102" s="142">
        <f t="shared" si="150"/>
        <v>0</v>
      </c>
      <c r="AG102" s="142">
        <f t="shared" si="150"/>
        <v>6544.3274754259792</v>
      </c>
      <c r="AH102" s="142">
        <f t="shared" si="150"/>
        <v>0</v>
      </c>
      <c r="AI102" s="142">
        <f t="shared" si="150"/>
        <v>6352.2283575703223</v>
      </c>
      <c r="AJ102" s="142">
        <f t="shared" si="150"/>
        <v>0</v>
      </c>
      <c r="AK102" s="142">
        <f t="shared" si="150"/>
        <v>0</v>
      </c>
      <c r="AL102" s="142">
        <f t="shared" si="150"/>
        <v>0</v>
      </c>
      <c r="AM102" s="142">
        <f t="shared" si="150"/>
        <v>0</v>
      </c>
      <c r="AN102" s="142">
        <f t="shared" si="150"/>
        <v>0</v>
      </c>
      <c r="AO102" s="142">
        <f t="shared" si="150"/>
        <v>0</v>
      </c>
      <c r="AP102" s="142">
        <f t="shared" si="150"/>
        <v>0</v>
      </c>
      <c r="AQ102" s="142">
        <f t="shared" si="150"/>
        <v>0</v>
      </c>
      <c r="AR102" s="142">
        <f t="shared" si="150"/>
        <v>0</v>
      </c>
      <c r="AS102" s="105"/>
      <c r="AT102" s="142">
        <f t="shared" si="151"/>
        <v>25055.930913737422</v>
      </c>
      <c r="AU102" s="142">
        <f t="shared" si="151"/>
        <v>0</v>
      </c>
      <c r="AV102" s="142">
        <f t="shared" si="151"/>
        <v>0</v>
      </c>
      <c r="AW102" s="142">
        <f t="shared" si="151"/>
        <v>0</v>
      </c>
      <c r="AX102" s="142">
        <f t="shared" si="151"/>
        <v>0</v>
      </c>
      <c r="AY102" s="142">
        <f t="shared" si="152"/>
        <v>25055.930913737422</v>
      </c>
      <c r="AZ102" s="132">
        <f>IFERROR(1-($AY102/$AY$99),0)</f>
        <v>0</v>
      </c>
      <c r="BA102" s="132">
        <f>IFERROR(1-($AY102/$AY$100),0)</f>
        <v>0</v>
      </c>
      <c r="BB102" s="105"/>
      <c r="BC102" s="142">
        <f>IFERROR(BC12*INDEX('Project Info'!$I85:$M85,MATCH(BC$5,'Project Info'!$I$15:$M$15,0)),0)</f>
        <v>0</v>
      </c>
      <c r="BD102" s="142">
        <f>IFERROR(BD12*INDEX('Project Info'!$I85:$M85,MATCH(BD$5,'Project Info'!$I$15:$M$15,0)),0)</f>
        <v>0</v>
      </c>
      <c r="BE102" s="142">
        <f>IFERROR(BE12*INDEX('Project Info'!$I85:$M85,MATCH(BE$5,'Project Info'!$I$15:$M$15,0)),0)</f>
        <v>0</v>
      </c>
      <c r="BF102" s="142">
        <f>IFERROR(BF12*INDEX('Project Info'!$I85:$M85,MATCH(BF$5,'Project Info'!$I$15:$M$15,0)),0)</f>
        <v>0</v>
      </c>
      <c r="BG102" s="142">
        <f>IFERROR(BG12*INDEX('Project Info'!$I85:$M85,MATCH(BG$5,'Project Info'!$I$15:$M$15,0)),0)</f>
        <v>0</v>
      </c>
      <c r="BH102" s="142">
        <f>IFERROR(BH12*INDEX('Project Info'!$I85:$M85,MATCH(BH$5,'Project Info'!$I$15:$M$15,0)),0)</f>
        <v>0</v>
      </c>
      <c r="BI102" s="142">
        <f>SUM(BC102:BH102)</f>
        <v>0</v>
      </c>
      <c r="BJ102" s="132">
        <f>IFERROR(BI102/AY102,0)</f>
        <v>0</v>
      </c>
      <c r="BK102" s="105"/>
      <c r="BL102" s="142">
        <f t="shared" si="153"/>
        <v>25055.930913737422</v>
      </c>
      <c r="BM102" s="142">
        <f t="shared" si="154"/>
        <v>0</v>
      </c>
      <c r="BN102" s="142">
        <f t="shared" si="155"/>
        <v>0</v>
      </c>
      <c r="BO102" s="142">
        <f t="shared" si="156"/>
        <v>0</v>
      </c>
      <c r="BP102" s="142">
        <f t="shared" si="157"/>
        <v>0</v>
      </c>
      <c r="BQ102" s="142">
        <f t="shared" si="158"/>
        <v>25055.930913737422</v>
      </c>
      <c r="BR102" s="132">
        <f>IFERROR(1-($BQ102/$BQ$99),0)</f>
        <v>0</v>
      </c>
      <c r="BS102" s="132">
        <f>IFERROR(1-($BQ102/$BQ$100),0)</f>
        <v>0</v>
      </c>
    </row>
    <row r="103" spans="1:71">
      <c r="A103" s="105" t="str">
        <f t="shared" si="149"/>
        <v xml:space="preserve"> </v>
      </c>
      <c r="B103" s="105"/>
      <c r="C103" s="112">
        <f>IFERROR(C13*INDEX('Project Info'!$I86:$M86,MATCH(C$5,'Project Info'!$I$15:$M$15,0)),0)</f>
        <v>0</v>
      </c>
      <c r="D103" s="112">
        <f>IFERROR(D13*INDEX('Project Info'!$I86:$M86,MATCH(D$5,'Project Info'!$I$15:$M$15,0)),0)</f>
        <v>0</v>
      </c>
      <c r="E103" s="112">
        <f>IFERROR(E13*INDEX('Project Info'!$I86:$M86,MATCH(E$5,'Project Info'!$I$15:$M$15,0)),0)</f>
        <v>0</v>
      </c>
      <c r="F103" s="112">
        <f>IFERROR(F13*INDEX('Project Info'!$I86:$M86,MATCH(F$5,'Project Info'!$I$15:$M$15,0)),0)</f>
        <v>0</v>
      </c>
      <c r="G103" s="112">
        <f>IFERROR(G13*INDEX('Project Info'!$I86:$M86,MATCH(G$5,'Project Info'!$I$15:$M$15,0)),0)</f>
        <v>0</v>
      </c>
      <c r="H103" s="112">
        <f>IFERROR(H13*INDEX('Project Info'!$I86:$M86,MATCH(H$5,'Project Info'!$I$15:$M$15,0)),0)</f>
        <v>0</v>
      </c>
      <c r="I103" s="112">
        <f>IFERROR(I13*INDEX('Project Info'!$I86:$M86,MATCH(I$5,'Project Info'!$I$15:$M$15,0)),0)</f>
        <v>0</v>
      </c>
      <c r="J103" s="112">
        <f>IFERROR(J13*INDEX('Project Info'!$I86:$M86,MATCH(J$5,'Project Info'!$I$15:$M$15,0)),0)</f>
        <v>0</v>
      </c>
      <c r="K103" s="112">
        <f>IFERROR(K13*INDEX('Project Info'!$I86:$M86,MATCH(K$5,'Project Info'!$I$15:$M$15,0)),0)</f>
        <v>0</v>
      </c>
      <c r="L103" s="112">
        <f>IFERROR(L13*INDEX('Project Info'!$I86:$M86,MATCH(L$5,'Project Info'!$I$15:$M$15,0)),0)</f>
        <v>0</v>
      </c>
      <c r="M103" s="112">
        <f>IFERROR(M13*INDEX('Project Info'!$I86:$M86,MATCH(M$5,'Project Info'!$I$15:$M$15,0)),0)</f>
        <v>0</v>
      </c>
      <c r="N103" s="112">
        <f>IFERROR(N13*INDEX('Project Info'!$I86:$M86,MATCH(N$5,'Project Info'!$I$15:$M$15,0)),0)</f>
        <v>0</v>
      </c>
      <c r="O103" s="112">
        <f>IFERROR(O13*INDEX('Project Info'!$I86:$M86,MATCH(O$5,'Project Info'!$I$15:$M$15,0)),0)</f>
        <v>0</v>
      </c>
      <c r="P103" s="112">
        <f>IFERROR(P13*INDEX('Project Info'!$I86:$M86,MATCH(P$5,'Project Info'!$I$15:$M$15,0)),0)</f>
        <v>0</v>
      </c>
      <c r="Q103" s="112">
        <f>IFERROR(Q13*INDEX('Project Info'!$I86:$M86,MATCH(Q$5,'Project Info'!$I$15:$M$15,0)),0)</f>
        <v>0</v>
      </c>
      <c r="R103" s="112">
        <f>IFERROR(R13*INDEX('Project Info'!$I86:$M86,MATCH(R$5,'Project Info'!$I$15:$M$15,0)),0)</f>
        <v>0</v>
      </c>
      <c r="S103" s="112">
        <f>IFERROR(S13*INDEX('Project Info'!$I86:$M86,MATCH(S$5,'Project Info'!$I$15:$M$15,0)),0)</f>
        <v>0</v>
      </c>
      <c r="T103" s="112">
        <f>IFERROR(T13*INDEX('Project Info'!$I86:$M86,MATCH(T$5,'Project Info'!$I$15:$M$15,0)),0)</f>
        <v>0</v>
      </c>
      <c r="U103" s="112">
        <f>IFERROR(U13*INDEX('Project Info'!$I86:$M86,MATCH(U$5,'Project Info'!$I$15:$M$15,0)),0)</f>
        <v>0</v>
      </c>
      <c r="V103" s="112">
        <f>IFERROR(V13*INDEX('Project Info'!$I86:$M86,MATCH(V$5,'Project Info'!$I$15:$M$15,0)),0)</f>
        <v>0</v>
      </c>
      <c r="W103" s="112">
        <f>IFERROR(W13*INDEX('Project Info'!$I86:$M86,MATCH(W$5,'Project Info'!$I$15:$M$15,0)),0)</f>
        <v>0</v>
      </c>
      <c r="X103" s="112">
        <f>IFERROR(X13*INDEX('Project Info'!$I86:$M86,MATCH(X$5,'Project Info'!$I$15:$M$15,0)),0)</f>
        <v>0</v>
      </c>
      <c r="Y103" s="112">
        <f>IFERROR(Y13*INDEX('Project Info'!$I86:$M86,MATCH(Y$5,'Project Info'!$I$15:$M$15,0)),0)</f>
        <v>0</v>
      </c>
      <c r="Z103" s="112">
        <f>IFERROR(Z13*INDEX('Project Info'!$I86:$M86,MATCH(Z$5,'Project Info'!$I$15:$M$15,0)),0)</f>
        <v>0</v>
      </c>
      <c r="AA103" s="112">
        <f>IFERROR(AA13*INDEX('Project Info'!$I86:$M86,MATCH(AA$5,'Project Info'!$I$15:$M$15,0)),0)</f>
        <v>0</v>
      </c>
      <c r="AB103" s="105"/>
      <c r="AC103" s="112">
        <f t="shared" si="150"/>
        <v>0</v>
      </c>
      <c r="AD103" s="112">
        <f t="shared" si="150"/>
        <v>0</v>
      </c>
      <c r="AE103" s="112">
        <f t="shared" si="150"/>
        <v>0</v>
      </c>
      <c r="AF103" s="112">
        <f t="shared" si="150"/>
        <v>0</v>
      </c>
      <c r="AG103" s="112">
        <f t="shared" si="150"/>
        <v>0</v>
      </c>
      <c r="AH103" s="112">
        <f t="shared" si="150"/>
        <v>0</v>
      </c>
      <c r="AI103" s="112">
        <f t="shared" si="150"/>
        <v>0</v>
      </c>
      <c r="AJ103" s="112">
        <f t="shared" si="150"/>
        <v>0</v>
      </c>
      <c r="AK103" s="112">
        <f t="shared" si="150"/>
        <v>0</v>
      </c>
      <c r="AL103" s="112">
        <f t="shared" si="150"/>
        <v>0</v>
      </c>
      <c r="AM103" s="112">
        <f t="shared" si="150"/>
        <v>0</v>
      </c>
      <c r="AN103" s="112">
        <f t="shared" si="150"/>
        <v>0</v>
      </c>
      <c r="AO103" s="112">
        <f t="shared" si="150"/>
        <v>0</v>
      </c>
      <c r="AP103" s="112">
        <f t="shared" si="150"/>
        <v>0</v>
      </c>
      <c r="AQ103" s="112">
        <f t="shared" si="150"/>
        <v>0</v>
      </c>
      <c r="AR103" s="112">
        <f t="shared" si="150"/>
        <v>0</v>
      </c>
      <c r="AS103" s="105"/>
      <c r="AT103" s="112">
        <f t="shared" si="151"/>
        <v>0</v>
      </c>
      <c r="AU103" s="112">
        <f t="shared" si="151"/>
        <v>0</v>
      </c>
      <c r="AV103" s="112">
        <f t="shared" si="151"/>
        <v>0</v>
      </c>
      <c r="AW103" s="112">
        <f t="shared" si="151"/>
        <v>0</v>
      </c>
      <c r="AX103" s="112">
        <f t="shared" si="151"/>
        <v>0</v>
      </c>
      <c r="AY103" s="112">
        <f t="shared" si="152"/>
        <v>0</v>
      </c>
      <c r="AZ103" s="132">
        <f t="shared" ref="AZ103:AZ111" si="159">IFERROR(1-($AY103/$AY$99),0)</f>
        <v>1</v>
      </c>
      <c r="BA103" s="132">
        <f t="shared" ref="BA103:BA111" si="160">IFERROR(1-($AY103/$AY$100),0)</f>
        <v>0</v>
      </c>
      <c r="BB103" s="105"/>
      <c r="BC103" s="142">
        <f>IFERROR(BC13*INDEX('Project Info'!$I86:$M86,MATCH(BC$5,'Project Info'!$I$15:$M$15,0)),0)</f>
        <v>0</v>
      </c>
      <c r="BD103" s="142">
        <f>IFERROR(BD13*INDEX('Project Info'!$I86:$M86,MATCH(BD$5,'Project Info'!$I$15:$M$15,0)),0)</f>
        <v>0</v>
      </c>
      <c r="BE103" s="142">
        <f>IFERROR(BE13*INDEX('Project Info'!$I86:$M86,MATCH(BE$5,'Project Info'!$I$15:$M$15,0)),0)</f>
        <v>0</v>
      </c>
      <c r="BF103" s="142">
        <f>IFERROR(BF13*INDEX('Project Info'!$I86:$M86,MATCH(BF$5,'Project Info'!$I$15:$M$15,0)),0)</f>
        <v>0</v>
      </c>
      <c r="BG103" s="142">
        <f>IFERROR(BG13*INDEX('Project Info'!$I86:$M86,MATCH(BG$5,'Project Info'!$I$15:$M$15,0)),0)</f>
        <v>0</v>
      </c>
      <c r="BH103" s="142">
        <f>IFERROR(BH13*INDEX('Project Info'!$I86:$M86,MATCH(BH$5,'Project Info'!$I$15:$M$15,0)),0)</f>
        <v>0</v>
      </c>
      <c r="BI103" s="142">
        <f t="shared" ref="BI103:BI111" si="161">SUM(BC103:BH103)</f>
        <v>0</v>
      </c>
      <c r="BJ103" s="132">
        <f t="shared" ref="BJ103:BJ111" si="162">IFERROR(BI103/AY103,0)</f>
        <v>0</v>
      </c>
      <c r="BK103" s="105"/>
      <c r="BL103" s="112">
        <f t="shared" si="153"/>
        <v>0</v>
      </c>
      <c r="BM103" s="112">
        <f t="shared" si="154"/>
        <v>0</v>
      </c>
      <c r="BN103" s="112">
        <f t="shared" si="155"/>
        <v>0</v>
      </c>
      <c r="BO103" s="112">
        <f t="shared" si="156"/>
        <v>0</v>
      </c>
      <c r="BP103" s="112">
        <f t="shared" si="157"/>
        <v>0</v>
      </c>
      <c r="BQ103" s="112">
        <f t="shared" si="158"/>
        <v>0</v>
      </c>
      <c r="BR103" s="111">
        <f t="shared" ref="BR103:BR111" si="163">IFERROR(1-($BQ103/$BQ$99),0)</f>
        <v>1</v>
      </c>
      <c r="BS103" s="111">
        <f t="shared" ref="BS103:BS111" si="164">IFERROR(1-($BQ103/$BQ$100),0)</f>
        <v>0</v>
      </c>
    </row>
    <row r="104" spans="1:71">
      <c r="A104" s="105" t="str">
        <f t="shared" si="149"/>
        <v xml:space="preserve"> </v>
      </c>
      <c r="B104" s="105"/>
      <c r="C104" s="112">
        <f>IFERROR(C14*INDEX('Project Info'!$I87:$M87,MATCH(C$5,'Project Info'!$I$15:$M$15,0)),0)</f>
        <v>0</v>
      </c>
      <c r="D104" s="112">
        <f>IFERROR(D14*INDEX('Project Info'!$I87:$M87,MATCH(D$5,'Project Info'!$I$15:$M$15,0)),0)</f>
        <v>0</v>
      </c>
      <c r="E104" s="112">
        <f>IFERROR(E14*INDEX('Project Info'!$I87:$M87,MATCH(E$5,'Project Info'!$I$15:$M$15,0)),0)</f>
        <v>0</v>
      </c>
      <c r="F104" s="112">
        <f>IFERROR(F14*INDEX('Project Info'!$I87:$M87,MATCH(F$5,'Project Info'!$I$15:$M$15,0)),0)</f>
        <v>0</v>
      </c>
      <c r="G104" s="112">
        <f>IFERROR(G14*INDEX('Project Info'!$I87:$M87,MATCH(G$5,'Project Info'!$I$15:$M$15,0)),0)</f>
        <v>0</v>
      </c>
      <c r="H104" s="112">
        <f>IFERROR(H14*INDEX('Project Info'!$I87:$M87,MATCH(H$5,'Project Info'!$I$15:$M$15,0)),0)</f>
        <v>0</v>
      </c>
      <c r="I104" s="112">
        <f>IFERROR(I14*INDEX('Project Info'!$I87:$M87,MATCH(I$5,'Project Info'!$I$15:$M$15,0)),0)</f>
        <v>0</v>
      </c>
      <c r="J104" s="112">
        <f>IFERROR(J14*INDEX('Project Info'!$I87:$M87,MATCH(J$5,'Project Info'!$I$15:$M$15,0)),0)</f>
        <v>0</v>
      </c>
      <c r="K104" s="112">
        <f>IFERROR(K14*INDEX('Project Info'!$I87:$M87,MATCH(K$5,'Project Info'!$I$15:$M$15,0)),0)</f>
        <v>0</v>
      </c>
      <c r="L104" s="112">
        <f>IFERROR(L14*INDEX('Project Info'!$I87:$M87,MATCH(L$5,'Project Info'!$I$15:$M$15,0)),0)</f>
        <v>0</v>
      </c>
      <c r="M104" s="112">
        <f>IFERROR(M14*INDEX('Project Info'!$I87:$M87,MATCH(M$5,'Project Info'!$I$15:$M$15,0)),0)</f>
        <v>0</v>
      </c>
      <c r="N104" s="112">
        <f>IFERROR(N14*INDEX('Project Info'!$I87:$M87,MATCH(N$5,'Project Info'!$I$15:$M$15,0)),0)</f>
        <v>0</v>
      </c>
      <c r="O104" s="112">
        <f>IFERROR(O14*INDEX('Project Info'!$I87:$M87,MATCH(O$5,'Project Info'!$I$15:$M$15,0)),0)</f>
        <v>0</v>
      </c>
      <c r="P104" s="112">
        <f>IFERROR(P14*INDEX('Project Info'!$I87:$M87,MATCH(P$5,'Project Info'!$I$15:$M$15,0)),0)</f>
        <v>0</v>
      </c>
      <c r="Q104" s="112">
        <f>IFERROR(Q14*INDEX('Project Info'!$I87:$M87,MATCH(Q$5,'Project Info'!$I$15:$M$15,0)),0)</f>
        <v>0</v>
      </c>
      <c r="R104" s="112">
        <f>IFERROR(R14*INDEX('Project Info'!$I87:$M87,MATCH(R$5,'Project Info'!$I$15:$M$15,0)),0)</f>
        <v>0</v>
      </c>
      <c r="S104" s="112">
        <f>IFERROR(S14*INDEX('Project Info'!$I87:$M87,MATCH(S$5,'Project Info'!$I$15:$M$15,0)),0)</f>
        <v>0</v>
      </c>
      <c r="T104" s="112">
        <f>IFERROR(T14*INDEX('Project Info'!$I87:$M87,MATCH(T$5,'Project Info'!$I$15:$M$15,0)),0)</f>
        <v>0</v>
      </c>
      <c r="U104" s="112">
        <f>IFERROR(U14*INDEX('Project Info'!$I87:$M87,MATCH(U$5,'Project Info'!$I$15:$M$15,0)),0)</f>
        <v>0</v>
      </c>
      <c r="V104" s="112">
        <f>IFERROR(V14*INDEX('Project Info'!$I87:$M87,MATCH(V$5,'Project Info'!$I$15:$M$15,0)),0)</f>
        <v>0</v>
      </c>
      <c r="W104" s="112">
        <f>IFERROR(W14*INDEX('Project Info'!$I87:$M87,MATCH(W$5,'Project Info'!$I$15:$M$15,0)),0)</f>
        <v>0</v>
      </c>
      <c r="X104" s="112">
        <f>IFERROR(X14*INDEX('Project Info'!$I87:$M87,MATCH(X$5,'Project Info'!$I$15:$M$15,0)),0)</f>
        <v>0</v>
      </c>
      <c r="Y104" s="112">
        <f>IFERROR(Y14*INDEX('Project Info'!$I87:$M87,MATCH(Y$5,'Project Info'!$I$15:$M$15,0)),0)</f>
        <v>0</v>
      </c>
      <c r="Z104" s="112">
        <f>IFERROR(Z14*INDEX('Project Info'!$I87:$M87,MATCH(Z$5,'Project Info'!$I$15:$M$15,0)),0)</f>
        <v>0</v>
      </c>
      <c r="AA104" s="112">
        <f>IFERROR(AA14*INDEX('Project Info'!$I87:$M87,MATCH(AA$5,'Project Info'!$I$15:$M$15,0)),0)</f>
        <v>0</v>
      </c>
      <c r="AB104" s="105"/>
      <c r="AC104" s="112">
        <f t="shared" si="150"/>
        <v>0</v>
      </c>
      <c r="AD104" s="112">
        <f t="shared" si="150"/>
        <v>0</v>
      </c>
      <c r="AE104" s="112">
        <f t="shared" si="150"/>
        <v>0</v>
      </c>
      <c r="AF104" s="112">
        <f t="shared" si="150"/>
        <v>0</v>
      </c>
      <c r="AG104" s="112">
        <f t="shared" si="150"/>
        <v>0</v>
      </c>
      <c r="AH104" s="112">
        <f t="shared" si="150"/>
        <v>0</v>
      </c>
      <c r="AI104" s="112">
        <f t="shared" si="150"/>
        <v>0</v>
      </c>
      <c r="AJ104" s="112">
        <f t="shared" si="150"/>
        <v>0</v>
      </c>
      <c r="AK104" s="112">
        <f t="shared" si="150"/>
        <v>0</v>
      </c>
      <c r="AL104" s="112">
        <f t="shared" si="150"/>
        <v>0</v>
      </c>
      <c r="AM104" s="112">
        <f t="shared" si="150"/>
        <v>0</v>
      </c>
      <c r="AN104" s="112">
        <f t="shared" si="150"/>
        <v>0</v>
      </c>
      <c r="AO104" s="112">
        <f t="shared" si="150"/>
        <v>0</v>
      </c>
      <c r="AP104" s="112">
        <f t="shared" si="150"/>
        <v>0</v>
      </c>
      <c r="AQ104" s="112">
        <f t="shared" si="150"/>
        <v>0</v>
      </c>
      <c r="AR104" s="112">
        <f t="shared" si="150"/>
        <v>0</v>
      </c>
      <c r="AS104" s="105"/>
      <c r="AT104" s="112">
        <f t="shared" si="151"/>
        <v>0</v>
      </c>
      <c r="AU104" s="112">
        <f t="shared" si="151"/>
        <v>0</v>
      </c>
      <c r="AV104" s="112">
        <f t="shared" si="151"/>
        <v>0</v>
      </c>
      <c r="AW104" s="112">
        <f t="shared" si="151"/>
        <v>0</v>
      </c>
      <c r="AX104" s="112">
        <f t="shared" si="151"/>
        <v>0</v>
      </c>
      <c r="AY104" s="112">
        <f t="shared" si="152"/>
        <v>0</v>
      </c>
      <c r="AZ104" s="132">
        <f t="shared" si="159"/>
        <v>1</v>
      </c>
      <c r="BA104" s="132">
        <f t="shared" si="160"/>
        <v>0</v>
      </c>
      <c r="BB104" s="105"/>
      <c r="BC104" s="142">
        <f>IFERROR(BC14*INDEX('Project Info'!$I87:$M87,MATCH(BC$5,'Project Info'!$I$15:$M$15,0)),0)</f>
        <v>0</v>
      </c>
      <c r="BD104" s="142">
        <f>IFERROR(BD14*INDEX('Project Info'!$I87:$M87,MATCH(BD$5,'Project Info'!$I$15:$M$15,0)),0)</f>
        <v>0</v>
      </c>
      <c r="BE104" s="142">
        <f>IFERROR(BE14*INDEX('Project Info'!$I87:$M87,MATCH(BE$5,'Project Info'!$I$15:$M$15,0)),0)</f>
        <v>0</v>
      </c>
      <c r="BF104" s="142">
        <f>IFERROR(BF14*INDEX('Project Info'!$I87:$M87,MATCH(BF$5,'Project Info'!$I$15:$M$15,0)),0)</f>
        <v>0</v>
      </c>
      <c r="BG104" s="142">
        <f>IFERROR(BG14*INDEX('Project Info'!$I87:$M87,MATCH(BG$5,'Project Info'!$I$15:$M$15,0)),0)</f>
        <v>0</v>
      </c>
      <c r="BH104" s="142">
        <f>IFERROR(BH14*INDEX('Project Info'!$I87:$M87,MATCH(BH$5,'Project Info'!$I$15:$M$15,0)),0)</f>
        <v>0</v>
      </c>
      <c r="BI104" s="142">
        <f t="shared" si="161"/>
        <v>0</v>
      </c>
      <c r="BJ104" s="132">
        <f t="shared" si="162"/>
        <v>0</v>
      </c>
      <c r="BK104" s="105"/>
      <c r="BL104" s="112">
        <f t="shared" si="153"/>
        <v>0</v>
      </c>
      <c r="BM104" s="112">
        <f t="shared" si="154"/>
        <v>0</v>
      </c>
      <c r="BN104" s="112">
        <f t="shared" si="155"/>
        <v>0</v>
      </c>
      <c r="BO104" s="112">
        <f t="shared" si="156"/>
        <v>0</v>
      </c>
      <c r="BP104" s="112">
        <f t="shared" si="157"/>
        <v>0</v>
      </c>
      <c r="BQ104" s="112">
        <f t="shared" si="158"/>
        <v>0</v>
      </c>
      <c r="BR104" s="111">
        <f t="shared" si="163"/>
        <v>1</v>
      </c>
      <c r="BS104" s="111">
        <f t="shared" si="164"/>
        <v>0</v>
      </c>
    </row>
    <row r="105" spans="1:71">
      <c r="A105" s="105" t="str">
        <f t="shared" si="149"/>
        <v xml:space="preserve"> </v>
      </c>
      <c r="B105" s="105"/>
      <c r="C105" s="112">
        <f>IFERROR(C15*INDEX('Project Info'!$I88:$M88,MATCH(C$5,'Project Info'!$I$15:$M$15,0)),0)</f>
        <v>0</v>
      </c>
      <c r="D105" s="112">
        <f>IFERROR(D15*INDEX('Project Info'!$I88:$M88,MATCH(D$5,'Project Info'!$I$15:$M$15,0)),0)</f>
        <v>0</v>
      </c>
      <c r="E105" s="112">
        <f>IFERROR(E15*INDEX('Project Info'!$I88:$M88,MATCH(E$5,'Project Info'!$I$15:$M$15,0)),0)</f>
        <v>0</v>
      </c>
      <c r="F105" s="112">
        <f>IFERROR(F15*INDEX('Project Info'!$I88:$M88,MATCH(F$5,'Project Info'!$I$15:$M$15,0)),0)</f>
        <v>0</v>
      </c>
      <c r="G105" s="112">
        <f>IFERROR(G15*INDEX('Project Info'!$I88:$M88,MATCH(G$5,'Project Info'!$I$15:$M$15,0)),0)</f>
        <v>0</v>
      </c>
      <c r="H105" s="112">
        <f>IFERROR(H15*INDEX('Project Info'!$I88:$M88,MATCH(H$5,'Project Info'!$I$15:$M$15,0)),0)</f>
        <v>0</v>
      </c>
      <c r="I105" s="112">
        <f>IFERROR(I15*INDEX('Project Info'!$I88:$M88,MATCH(I$5,'Project Info'!$I$15:$M$15,0)),0)</f>
        <v>0</v>
      </c>
      <c r="J105" s="112">
        <f>IFERROR(J15*INDEX('Project Info'!$I88:$M88,MATCH(J$5,'Project Info'!$I$15:$M$15,0)),0)</f>
        <v>0</v>
      </c>
      <c r="K105" s="112">
        <f>IFERROR(K15*INDEX('Project Info'!$I88:$M88,MATCH(K$5,'Project Info'!$I$15:$M$15,0)),0)</f>
        <v>0</v>
      </c>
      <c r="L105" s="112">
        <f>IFERROR(L15*INDEX('Project Info'!$I88:$M88,MATCH(L$5,'Project Info'!$I$15:$M$15,0)),0)</f>
        <v>0</v>
      </c>
      <c r="M105" s="112">
        <f>IFERROR(M15*INDEX('Project Info'!$I88:$M88,MATCH(M$5,'Project Info'!$I$15:$M$15,0)),0)</f>
        <v>0</v>
      </c>
      <c r="N105" s="112">
        <f>IFERROR(N15*INDEX('Project Info'!$I88:$M88,MATCH(N$5,'Project Info'!$I$15:$M$15,0)),0)</f>
        <v>0</v>
      </c>
      <c r="O105" s="112">
        <f>IFERROR(O15*INDEX('Project Info'!$I88:$M88,MATCH(O$5,'Project Info'!$I$15:$M$15,0)),0)</f>
        <v>0</v>
      </c>
      <c r="P105" s="112">
        <f>IFERROR(P15*INDEX('Project Info'!$I88:$M88,MATCH(P$5,'Project Info'!$I$15:$M$15,0)),0)</f>
        <v>0</v>
      </c>
      <c r="Q105" s="112">
        <f>IFERROR(Q15*INDEX('Project Info'!$I88:$M88,MATCH(Q$5,'Project Info'!$I$15:$M$15,0)),0)</f>
        <v>0</v>
      </c>
      <c r="R105" s="112">
        <f>IFERROR(R15*INDEX('Project Info'!$I88:$M88,MATCH(R$5,'Project Info'!$I$15:$M$15,0)),0)</f>
        <v>0</v>
      </c>
      <c r="S105" s="112">
        <f>IFERROR(S15*INDEX('Project Info'!$I88:$M88,MATCH(S$5,'Project Info'!$I$15:$M$15,0)),0)</f>
        <v>0</v>
      </c>
      <c r="T105" s="112">
        <f>IFERROR(T15*INDEX('Project Info'!$I88:$M88,MATCH(T$5,'Project Info'!$I$15:$M$15,0)),0)</f>
        <v>0</v>
      </c>
      <c r="U105" s="112">
        <f>IFERROR(U15*INDEX('Project Info'!$I88:$M88,MATCH(U$5,'Project Info'!$I$15:$M$15,0)),0)</f>
        <v>0</v>
      </c>
      <c r="V105" s="112">
        <f>IFERROR(V15*INDEX('Project Info'!$I88:$M88,MATCH(V$5,'Project Info'!$I$15:$M$15,0)),0)</f>
        <v>0</v>
      </c>
      <c r="W105" s="112">
        <f>IFERROR(W15*INDEX('Project Info'!$I88:$M88,MATCH(W$5,'Project Info'!$I$15:$M$15,0)),0)</f>
        <v>0</v>
      </c>
      <c r="X105" s="112">
        <f>IFERROR(X15*INDEX('Project Info'!$I88:$M88,MATCH(X$5,'Project Info'!$I$15:$M$15,0)),0)</f>
        <v>0</v>
      </c>
      <c r="Y105" s="112">
        <f>IFERROR(Y15*INDEX('Project Info'!$I88:$M88,MATCH(Y$5,'Project Info'!$I$15:$M$15,0)),0)</f>
        <v>0</v>
      </c>
      <c r="Z105" s="112">
        <f>IFERROR(Z15*INDEX('Project Info'!$I88:$M88,MATCH(Z$5,'Project Info'!$I$15:$M$15,0)),0)</f>
        <v>0</v>
      </c>
      <c r="AA105" s="112">
        <f>IFERROR(AA15*INDEX('Project Info'!$I88:$M88,MATCH(AA$5,'Project Info'!$I$15:$M$15,0)),0)</f>
        <v>0</v>
      </c>
      <c r="AB105" s="105"/>
      <c r="AC105" s="112">
        <f t="shared" si="150"/>
        <v>0</v>
      </c>
      <c r="AD105" s="112">
        <f t="shared" si="150"/>
        <v>0</v>
      </c>
      <c r="AE105" s="112">
        <f t="shared" si="150"/>
        <v>0</v>
      </c>
      <c r="AF105" s="112">
        <f t="shared" si="150"/>
        <v>0</v>
      </c>
      <c r="AG105" s="112">
        <f t="shared" si="150"/>
        <v>0</v>
      </c>
      <c r="AH105" s="112">
        <f t="shared" si="150"/>
        <v>0</v>
      </c>
      <c r="AI105" s="112">
        <f t="shared" si="150"/>
        <v>0</v>
      </c>
      <c r="AJ105" s="112">
        <f t="shared" si="150"/>
        <v>0</v>
      </c>
      <c r="AK105" s="112">
        <f t="shared" si="150"/>
        <v>0</v>
      </c>
      <c r="AL105" s="112">
        <f t="shared" si="150"/>
        <v>0</v>
      </c>
      <c r="AM105" s="112">
        <f t="shared" si="150"/>
        <v>0</v>
      </c>
      <c r="AN105" s="112">
        <f t="shared" si="150"/>
        <v>0</v>
      </c>
      <c r="AO105" s="112">
        <f t="shared" si="150"/>
        <v>0</v>
      </c>
      <c r="AP105" s="112">
        <f t="shared" si="150"/>
        <v>0</v>
      </c>
      <c r="AQ105" s="112">
        <f t="shared" si="150"/>
        <v>0</v>
      </c>
      <c r="AR105" s="112">
        <f t="shared" si="150"/>
        <v>0</v>
      </c>
      <c r="AS105" s="105"/>
      <c r="AT105" s="112">
        <f t="shared" si="151"/>
        <v>0</v>
      </c>
      <c r="AU105" s="112">
        <f t="shared" si="151"/>
        <v>0</v>
      </c>
      <c r="AV105" s="112">
        <f t="shared" si="151"/>
        <v>0</v>
      </c>
      <c r="AW105" s="112">
        <f t="shared" si="151"/>
        <v>0</v>
      </c>
      <c r="AX105" s="112">
        <f t="shared" si="151"/>
        <v>0</v>
      </c>
      <c r="AY105" s="112">
        <f t="shared" si="152"/>
        <v>0</v>
      </c>
      <c r="AZ105" s="132">
        <f t="shared" si="159"/>
        <v>1</v>
      </c>
      <c r="BA105" s="132">
        <f t="shared" si="160"/>
        <v>0</v>
      </c>
      <c r="BB105" s="105"/>
      <c r="BC105" s="142">
        <f>IFERROR(BC15*INDEX('Project Info'!$I88:$M88,MATCH(BC$5,'Project Info'!$I$15:$M$15,0)),0)</f>
        <v>0</v>
      </c>
      <c r="BD105" s="142">
        <f>IFERROR(BD15*INDEX('Project Info'!$I88:$M88,MATCH(BD$5,'Project Info'!$I$15:$M$15,0)),0)</f>
        <v>0</v>
      </c>
      <c r="BE105" s="142">
        <f>IFERROR(BE15*INDEX('Project Info'!$I88:$M88,MATCH(BE$5,'Project Info'!$I$15:$M$15,0)),0)</f>
        <v>0</v>
      </c>
      <c r="BF105" s="142">
        <f>IFERROR(BF15*INDEX('Project Info'!$I88:$M88,MATCH(BF$5,'Project Info'!$I$15:$M$15,0)),0)</f>
        <v>0</v>
      </c>
      <c r="BG105" s="142">
        <f>IFERROR(BG15*INDEX('Project Info'!$I88:$M88,MATCH(BG$5,'Project Info'!$I$15:$M$15,0)),0)</f>
        <v>0</v>
      </c>
      <c r="BH105" s="142">
        <f>IFERROR(BH15*INDEX('Project Info'!$I88:$M88,MATCH(BH$5,'Project Info'!$I$15:$M$15,0)),0)</f>
        <v>0</v>
      </c>
      <c r="BI105" s="142">
        <f t="shared" si="161"/>
        <v>0</v>
      </c>
      <c r="BJ105" s="132">
        <f t="shared" si="162"/>
        <v>0</v>
      </c>
      <c r="BK105" s="105"/>
      <c r="BL105" s="112">
        <f t="shared" si="153"/>
        <v>0</v>
      </c>
      <c r="BM105" s="112">
        <f t="shared" si="154"/>
        <v>0</v>
      </c>
      <c r="BN105" s="112">
        <f t="shared" si="155"/>
        <v>0</v>
      </c>
      <c r="BO105" s="112">
        <f t="shared" si="156"/>
        <v>0</v>
      </c>
      <c r="BP105" s="112">
        <f t="shared" si="157"/>
        <v>0</v>
      </c>
      <c r="BQ105" s="112">
        <f t="shared" si="158"/>
        <v>0</v>
      </c>
      <c r="BR105" s="111">
        <f t="shared" si="163"/>
        <v>1</v>
      </c>
      <c r="BS105" s="111">
        <f t="shared" si="164"/>
        <v>0</v>
      </c>
    </row>
    <row r="106" spans="1:71">
      <c r="A106" s="105" t="str">
        <f t="shared" si="149"/>
        <v xml:space="preserve"> </v>
      </c>
      <c r="B106" s="105"/>
      <c r="C106" s="112">
        <f>IFERROR(C16*INDEX('Project Info'!$I89:$M89,MATCH(C$5,'Project Info'!$I$15:$M$15,0)),0)</f>
        <v>0</v>
      </c>
      <c r="D106" s="112">
        <f>IFERROR(D16*INDEX('Project Info'!$I89:$M89,MATCH(D$5,'Project Info'!$I$15:$M$15,0)),0)</f>
        <v>0</v>
      </c>
      <c r="E106" s="112">
        <f>IFERROR(E16*INDEX('Project Info'!$I89:$M89,MATCH(E$5,'Project Info'!$I$15:$M$15,0)),0)</f>
        <v>0</v>
      </c>
      <c r="F106" s="112">
        <f>IFERROR(F16*INDEX('Project Info'!$I89:$M89,MATCH(F$5,'Project Info'!$I$15:$M$15,0)),0)</f>
        <v>0</v>
      </c>
      <c r="G106" s="112">
        <f>IFERROR(G16*INDEX('Project Info'!$I89:$M89,MATCH(G$5,'Project Info'!$I$15:$M$15,0)),0)</f>
        <v>0</v>
      </c>
      <c r="H106" s="112">
        <f>IFERROR(H16*INDEX('Project Info'!$I89:$M89,MATCH(H$5,'Project Info'!$I$15:$M$15,0)),0)</f>
        <v>0</v>
      </c>
      <c r="I106" s="112">
        <f>IFERROR(I16*INDEX('Project Info'!$I89:$M89,MATCH(I$5,'Project Info'!$I$15:$M$15,0)),0)</f>
        <v>0</v>
      </c>
      <c r="J106" s="112">
        <f>IFERROR(J16*INDEX('Project Info'!$I89:$M89,MATCH(J$5,'Project Info'!$I$15:$M$15,0)),0)</f>
        <v>0</v>
      </c>
      <c r="K106" s="112">
        <f>IFERROR(K16*INDEX('Project Info'!$I89:$M89,MATCH(K$5,'Project Info'!$I$15:$M$15,0)),0)</f>
        <v>0</v>
      </c>
      <c r="L106" s="112">
        <f>IFERROR(L16*INDEX('Project Info'!$I89:$M89,MATCH(L$5,'Project Info'!$I$15:$M$15,0)),0)</f>
        <v>0</v>
      </c>
      <c r="M106" s="112">
        <f>IFERROR(M16*INDEX('Project Info'!$I89:$M89,MATCH(M$5,'Project Info'!$I$15:$M$15,0)),0)</f>
        <v>0</v>
      </c>
      <c r="N106" s="112">
        <f>IFERROR(N16*INDEX('Project Info'!$I89:$M89,MATCH(N$5,'Project Info'!$I$15:$M$15,0)),0)</f>
        <v>0</v>
      </c>
      <c r="O106" s="112">
        <f>IFERROR(O16*INDEX('Project Info'!$I89:$M89,MATCH(O$5,'Project Info'!$I$15:$M$15,0)),0)</f>
        <v>0</v>
      </c>
      <c r="P106" s="112">
        <f>IFERROR(P16*INDEX('Project Info'!$I89:$M89,MATCH(P$5,'Project Info'!$I$15:$M$15,0)),0)</f>
        <v>0</v>
      </c>
      <c r="Q106" s="112">
        <f>IFERROR(Q16*INDEX('Project Info'!$I89:$M89,MATCH(Q$5,'Project Info'!$I$15:$M$15,0)),0)</f>
        <v>0</v>
      </c>
      <c r="R106" s="112">
        <f>IFERROR(R16*INDEX('Project Info'!$I89:$M89,MATCH(R$5,'Project Info'!$I$15:$M$15,0)),0)</f>
        <v>0</v>
      </c>
      <c r="S106" s="112">
        <f>IFERROR(S16*INDEX('Project Info'!$I89:$M89,MATCH(S$5,'Project Info'!$I$15:$M$15,0)),0)</f>
        <v>0</v>
      </c>
      <c r="T106" s="112">
        <f>IFERROR(T16*INDEX('Project Info'!$I89:$M89,MATCH(T$5,'Project Info'!$I$15:$M$15,0)),0)</f>
        <v>0</v>
      </c>
      <c r="U106" s="112">
        <f>IFERROR(U16*INDEX('Project Info'!$I89:$M89,MATCH(U$5,'Project Info'!$I$15:$M$15,0)),0)</f>
        <v>0</v>
      </c>
      <c r="V106" s="112">
        <f>IFERROR(V16*INDEX('Project Info'!$I89:$M89,MATCH(V$5,'Project Info'!$I$15:$M$15,0)),0)</f>
        <v>0</v>
      </c>
      <c r="W106" s="112">
        <f>IFERROR(W16*INDEX('Project Info'!$I89:$M89,MATCH(W$5,'Project Info'!$I$15:$M$15,0)),0)</f>
        <v>0</v>
      </c>
      <c r="X106" s="112">
        <f>IFERROR(X16*INDEX('Project Info'!$I89:$M89,MATCH(X$5,'Project Info'!$I$15:$M$15,0)),0)</f>
        <v>0</v>
      </c>
      <c r="Y106" s="112">
        <f>IFERROR(Y16*INDEX('Project Info'!$I89:$M89,MATCH(Y$5,'Project Info'!$I$15:$M$15,0)),0)</f>
        <v>0</v>
      </c>
      <c r="Z106" s="112">
        <f>IFERROR(Z16*INDEX('Project Info'!$I89:$M89,MATCH(Z$5,'Project Info'!$I$15:$M$15,0)),0)</f>
        <v>0</v>
      </c>
      <c r="AA106" s="112">
        <f>IFERROR(AA16*INDEX('Project Info'!$I89:$M89,MATCH(AA$5,'Project Info'!$I$15:$M$15,0)),0)</f>
        <v>0</v>
      </c>
      <c r="AB106" s="105"/>
      <c r="AC106" s="112">
        <f t="shared" si="150"/>
        <v>0</v>
      </c>
      <c r="AD106" s="112">
        <f t="shared" si="150"/>
        <v>0</v>
      </c>
      <c r="AE106" s="112">
        <f t="shared" si="150"/>
        <v>0</v>
      </c>
      <c r="AF106" s="112">
        <f t="shared" si="150"/>
        <v>0</v>
      </c>
      <c r="AG106" s="112">
        <f t="shared" si="150"/>
        <v>0</v>
      </c>
      <c r="AH106" s="112">
        <f t="shared" si="150"/>
        <v>0</v>
      </c>
      <c r="AI106" s="112">
        <f t="shared" si="150"/>
        <v>0</v>
      </c>
      <c r="AJ106" s="112">
        <f t="shared" si="150"/>
        <v>0</v>
      </c>
      <c r="AK106" s="112">
        <f t="shared" si="150"/>
        <v>0</v>
      </c>
      <c r="AL106" s="112">
        <f t="shared" si="150"/>
        <v>0</v>
      </c>
      <c r="AM106" s="112">
        <f t="shared" si="150"/>
        <v>0</v>
      </c>
      <c r="AN106" s="112">
        <f t="shared" si="150"/>
        <v>0</v>
      </c>
      <c r="AO106" s="112">
        <f t="shared" si="150"/>
        <v>0</v>
      </c>
      <c r="AP106" s="112">
        <f t="shared" si="150"/>
        <v>0</v>
      </c>
      <c r="AQ106" s="112">
        <f t="shared" si="150"/>
        <v>0</v>
      </c>
      <c r="AR106" s="112">
        <f t="shared" si="150"/>
        <v>0</v>
      </c>
      <c r="AS106" s="105"/>
      <c r="AT106" s="112">
        <f t="shared" si="151"/>
        <v>0</v>
      </c>
      <c r="AU106" s="112">
        <f t="shared" si="151"/>
        <v>0</v>
      </c>
      <c r="AV106" s="112">
        <f t="shared" si="151"/>
        <v>0</v>
      </c>
      <c r="AW106" s="112">
        <f t="shared" si="151"/>
        <v>0</v>
      </c>
      <c r="AX106" s="112">
        <f t="shared" si="151"/>
        <v>0</v>
      </c>
      <c r="AY106" s="112">
        <f t="shared" si="152"/>
        <v>0</v>
      </c>
      <c r="AZ106" s="132">
        <f t="shared" si="159"/>
        <v>1</v>
      </c>
      <c r="BA106" s="132">
        <f t="shared" si="160"/>
        <v>0</v>
      </c>
      <c r="BB106" s="105"/>
      <c r="BC106" s="142">
        <f>IFERROR(BC16*INDEX('Project Info'!$I89:$M89,MATCH(BC$5,'Project Info'!$I$15:$M$15,0)),0)</f>
        <v>0</v>
      </c>
      <c r="BD106" s="142">
        <f>IFERROR(BD16*INDEX('Project Info'!$I89:$M89,MATCH(BD$5,'Project Info'!$I$15:$M$15,0)),0)</f>
        <v>0</v>
      </c>
      <c r="BE106" s="142">
        <f>IFERROR(BE16*INDEX('Project Info'!$I89:$M89,MATCH(BE$5,'Project Info'!$I$15:$M$15,0)),0)</f>
        <v>0</v>
      </c>
      <c r="BF106" s="142">
        <f>IFERROR(BF16*INDEX('Project Info'!$I89:$M89,MATCH(BF$5,'Project Info'!$I$15:$M$15,0)),0)</f>
        <v>0</v>
      </c>
      <c r="BG106" s="142">
        <f>IFERROR(BG16*INDEX('Project Info'!$I89:$M89,MATCH(BG$5,'Project Info'!$I$15:$M$15,0)),0)</f>
        <v>0</v>
      </c>
      <c r="BH106" s="142">
        <f>IFERROR(BH16*INDEX('Project Info'!$I89:$M89,MATCH(BH$5,'Project Info'!$I$15:$M$15,0)),0)</f>
        <v>0</v>
      </c>
      <c r="BI106" s="142">
        <f t="shared" si="161"/>
        <v>0</v>
      </c>
      <c r="BJ106" s="132">
        <f t="shared" si="162"/>
        <v>0</v>
      </c>
      <c r="BK106" s="105"/>
      <c r="BL106" s="112">
        <f t="shared" si="153"/>
        <v>0</v>
      </c>
      <c r="BM106" s="112">
        <f t="shared" si="154"/>
        <v>0</v>
      </c>
      <c r="BN106" s="112">
        <f t="shared" si="155"/>
        <v>0</v>
      </c>
      <c r="BO106" s="112">
        <f t="shared" si="156"/>
        <v>0</v>
      </c>
      <c r="BP106" s="112">
        <f t="shared" si="157"/>
        <v>0</v>
      </c>
      <c r="BQ106" s="112">
        <f t="shared" si="158"/>
        <v>0</v>
      </c>
      <c r="BR106" s="111">
        <f t="shared" si="163"/>
        <v>1</v>
      </c>
      <c r="BS106" s="111">
        <f t="shared" si="164"/>
        <v>0</v>
      </c>
    </row>
    <row r="107" spans="1:71">
      <c r="A107" s="105" t="str">
        <f t="shared" si="149"/>
        <v xml:space="preserve"> </v>
      </c>
      <c r="B107" s="105"/>
      <c r="C107" s="112">
        <f>IFERROR(C17*INDEX('Project Info'!$I90:$M90,MATCH(C$5,'Project Info'!$I$15:$M$15,0)),0)</f>
        <v>0</v>
      </c>
      <c r="D107" s="112">
        <f>IFERROR(D17*INDEX('Project Info'!$I90:$M90,MATCH(D$5,'Project Info'!$I$15:$M$15,0)),0)</f>
        <v>0</v>
      </c>
      <c r="E107" s="112">
        <f>IFERROR(E17*INDEX('Project Info'!$I90:$M90,MATCH(E$5,'Project Info'!$I$15:$M$15,0)),0)</f>
        <v>0</v>
      </c>
      <c r="F107" s="112">
        <f>IFERROR(F17*INDEX('Project Info'!$I90:$M90,MATCH(F$5,'Project Info'!$I$15:$M$15,0)),0)</f>
        <v>0</v>
      </c>
      <c r="G107" s="112">
        <f>IFERROR(G17*INDEX('Project Info'!$I90:$M90,MATCH(G$5,'Project Info'!$I$15:$M$15,0)),0)</f>
        <v>0</v>
      </c>
      <c r="H107" s="112">
        <f>IFERROR(H17*INDEX('Project Info'!$I90:$M90,MATCH(H$5,'Project Info'!$I$15:$M$15,0)),0)</f>
        <v>0</v>
      </c>
      <c r="I107" s="112">
        <f>IFERROR(I17*INDEX('Project Info'!$I90:$M90,MATCH(I$5,'Project Info'!$I$15:$M$15,0)),0)</f>
        <v>0</v>
      </c>
      <c r="J107" s="112">
        <f>IFERROR(J17*INDEX('Project Info'!$I90:$M90,MATCH(J$5,'Project Info'!$I$15:$M$15,0)),0)</f>
        <v>0</v>
      </c>
      <c r="K107" s="112">
        <f>IFERROR(K17*INDEX('Project Info'!$I90:$M90,MATCH(K$5,'Project Info'!$I$15:$M$15,0)),0)</f>
        <v>0</v>
      </c>
      <c r="L107" s="112">
        <f>IFERROR(L17*INDEX('Project Info'!$I90:$M90,MATCH(L$5,'Project Info'!$I$15:$M$15,0)),0)</f>
        <v>0</v>
      </c>
      <c r="M107" s="112">
        <f>IFERROR(M17*INDEX('Project Info'!$I90:$M90,MATCH(M$5,'Project Info'!$I$15:$M$15,0)),0)</f>
        <v>0</v>
      </c>
      <c r="N107" s="112">
        <f>IFERROR(N17*INDEX('Project Info'!$I90:$M90,MATCH(N$5,'Project Info'!$I$15:$M$15,0)),0)</f>
        <v>0</v>
      </c>
      <c r="O107" s="112">
        <f>IFERROR(O17*INDEX('Project Info'!$I90:$M90,MATCH(O$5,'Project Info'!$I$15:$M$15,0)),0)</f>
        <v>0</v>
      </c>
      <c r="P107" s="112">
        <f>IFERROR(P17*INDEX('Project Info'!$I90:$M90,MATCH(P$5,'Project Info'!$I$15:$M$15,0)),0)</f>
        <v>0</v>
      </c>
      <c r="Q107" s="112">
        <f>IFERROR(Q17*INDEX('Project Info'!$I90:$M90,MATCH(Q$5,'Project Info'!$I$15:$M$15,0)),0)</f>
        <v>0</v>
      </c>
      <c r="R107" s="112">
        <f>IFERROR(R17*INDEX('Project Info'!$I90:$M90,MATCH(R$5,'Project Info'!$I$15:$M$15,0)),0)</f>
        <v>0</v>
      </c>
      <c r="S107" s="112">
        <f>IFERROR(S17*INDEX('Project Info'!$I90:$M90,MATCH(S$5,'Project Info'!$I$15:$M$15,0)),0)</f>
        <v>0</v>
      </c>
      <c r="T107" s="112">
        <f>IFERROR(T17*INDEX('Project Info'!$I90:$M90,MATCH(T$5,'Project Info'!$I$15:$M$15,0)),0)</f>
        <v>0</v>
      </c>
      <c r="U107" s="112">
        <f>IFERROR(U17*INDEX('Project Info'!$I90:$M90,MATCH(U$5,'Project Info'!$I$15:$M$15,0)),0)</f>
        <v>0</v>
      </c>
      <c r="V107" s="112">
        <f>IFERROR(V17*INDEX('Project Info'!$I90:$M90,MATCH(V$5,'Project Info'!$I$15:$M$15,0)),0)</f>
        <v>0</v>
      </c>
      <c r="W107" s="112">
        <f>IFERROR(W17*INDEX('Project Info'!$I90:$M90,MATCH(W$5,'Project Info'!$I$15:$M$15,0)),0)</f>
        <v>0</v>
      </c>
      <c r="X107" s="112">
        <f>IFERROR(X17*INDEX('Project Info'!$I90:$M90,MATCH(X$5,'Project Info'!$I$15:$M$15,0)),0)</f>
        <v>0</v>
      </c>
      <c r="Y107" s="112">
        <f>IFERROR(Y17*INDEX('Project Info'!$I90:$M90,MATCH(Y$5,'Project Info'!$I$15:$M$15,0)),0)</f>
        <v>0</v>
      </c>
      <c r="Z107" s="112">
        <f>IFERROR(Z17*INDEX('Project Info'!$I90:$M90,MATCH(Z$5,'Project Info'!$I$15:$M$15,0)),0)</f>
        <v>0</v>
      </c>
      <c r="AA107" s="112">
        <f>IFERROR(AA17*INDEX('Project Info'!$I90:$M90,MATCH(AA$5,'Project Info'!$I$15:$M$15,0)),0)</f>
        <v>0</v>
      </c>
      <c r="AB107" s="105"/>
      <c r="AC107" s="112">
        <f t="shared" si="150"/>
        <v>0</v>
      </c>
      <c r="AD107" s="112">
        <f t="shared" si="150"/>
        <v>0</v>
      </c>
      <c r="AE107" s="112">
        <f t="shared" si="150"/>
        <v>0</v>
      </c>
      <c r="AF107" s="112">
        <f t="shared" si="150"/>
        <v>0</v>
      </c>
      <c r="AG107" s="112">
        <f t="shared" si="150"/>
        <v>0</v>
      </c>
      <c r="AH107" s="112">
        <f t="shared" si="150"/>
        <v>0</v>
      </c>
      <c r="AI107" s="112">
        <f t="shared" si="150"/>
        <v>0</v>
      </c>
      <c r="AJ107" s="112">
        <f t="shared" si="150"/>
        <v>0</v>
      </c>
      <c r="AK107" s="112">
        <f t="shared" si="150"/>
        <v>0</v>
      </c>
      <c r="AL107" s="112">
        <f t="shared" si="150"/>
        <v>0</v>
      </c>
      <c r="AM107" s="112">
        <f t="shared" si="150"/>
        <v>0</v>
      </c>
      <c r="AN107" s="112">
        <f t="shared" si="150"/>
        <v>0</v>
      </c>
      <c r="AO107" s="112">
        <f t="shared" si="150"/>
        <v>0</v>
      </c>
      <c r="AP107" s="112">
        <f t="shared" si="150"/>
        <v>0</v>
      </c>
      <c r="AQ107" s="112">
        <f t="shared" si="150"/>
        <v>0</v>
      </c>
      <c r="AR107" s="112">
        <f t="shared" si="150"/>
        <v>0</v>
      </c>
      <c r="AS107" s="105"/>
      <c r="AT107" s="112">
        <f t="shared" si="151"/>
        <v>0</v>
      </c>
      <c r="AU107" s="112">
        <f t="shared" si="151"/>
        <v>0</v>
      </c>
      <c r="AV107" s="112">
        <f t="shared" si="151"/>
        <v>0</v>
      </c>
      <c r="AW107" s="112">
        <f t="shared" si="151"/>
        <v>0</v>
      </c>
      <c r="AX107" s="112">
        <f t="shared" si="151"/>
        <v>0</v>
      </c>
      <c r="AY107" s="112">
        <f t="shared" si="152"/>
        <v>0</v>
      </c>
      <c r="AZ107" s="132">
        <f t="shared" si="159"/>
        <v>1</v>
      </c>
      <c r="BA107" s="132">
        <f t="shared" si="160"/>
        <v>0</v>
      </c>
      <c r="BB107" s="105"/>
      <c r="BC107" s="142">
        <f>IFERROR(BC17*INDEX('Project Info'!$I90:$M90,MATCH(BC$5,'Project Info'!$I$15:$M$15,0)),0)</f>
        <v>0</v>
      </c>
      <c r="BD107" s="142">
        <f>IFERROR(BD17*INDEX('Project Info'!$I90:$M90,MATCH(BD$5,'Project Info'!$I$15:$M$15,0)),0)</f>
        <v>0</v>
      </c>
      <c r="BE107" s="142">
        <f>IFERROR(BE17*INDEX('Project Info'!$I90:$M90,MATCH(BE$5,'Project Info'!$I$15:$M$15,0)),0)</f>
        <v>0</v>
      </c>
      <c r="BF107" s="142">
        <f>IFERROR(BF17*INDEX('Project Info'!$I90:$M90,MATCH(BF$5,'Project Info'!$I$15:$M$15,0)),0)</f>
        <v>0</v>
      </c>
      <c r="BG107" s="142">
        <f>IFERROR(BG17*INDEX('Project Info'!$I90:$M90,MATCH(BG$5,'Project Info'!$I$15:$M$15,0)),0)</f>
        <v>0</v>
      </c>
      <c r="BH107" s="142">
        <f>IFERROR(BH17*INDEX('Project Info'!$I90:$M90,MATCH(BH$5,'Project Info'!$I$15:$M$15,0)),0)</f>
        <v>0</v>
      </c>
      <c r="BI107" s="142">
        <f t="shared" si="161"/>
        <v>0</v>
      </c>
      <c r="BJ107" s="132">
        <f t="shared" si="162"/>
        <v>0</v>
      </c>
      <c r="BK107" s="105"/>
      <c r="BL107" s="112">
        <f t="shared" si="153"/>
        <v>0</v>
      </c>
      <c r="BM107" s="112">
        <f t="shared" si="154"/>
        <v>0</v>
      </c>
      <c r="BN107" s="112">
        <f t="shared" si="155"/>
        <v>0</v>
      </c>
      <c r="BO107" s="112">
        <f t="shared" si="156"/>
        <v>0</v>
      </c>
      <c r="BP107" s="112">
        <f t="shared" si="157"/>
        <v>0</v>
      </c>
      <c r="BQ107" s="112">
        <f t="shared" si="158"/>
        <v>0</v>
      </c>
      <c r="BR107" s="111">
        <f t="shared" si="163"/>
        <v>1</v>
      </c>
      <c r="BS107" s="111">
        <f t="shared" si="164"/>
        <v>0</v>
      </c>
    </row>
    <row r="108" spans="1:71">
      <c r="A108" s="105" t="str">
        <f t="shared" si="149"/>
        <v xml:space="preserve"> </v>
      </c>
      <c r="B108" s="105"/>
      <c r="C108" s="112">
        <f>IFERROR(C18*INDEX('Project Info'!$I91:$M91,MATCH(C$5,'Project Info'!$I$15:$M$15,0)),0)</f>
        <v>0</v>
      </c>
      <c r="D108" s="112">
        <f>IFERROR(D18*INDEX('Project Info'!$I91:$M91,MATCH(D$5,'Project Info'!$I$15:$M$15,0)),0)</f>
        <v>0</v>
      </c>
      <c r="E108" s="112">
        <f>IFERROR(E18*INDEX('Project Info'!$I91:$M91,MATCH(E$5,'Project Info'!$I$15:$M$15,0)),0)</f>
        <v>0</v>
      </c>
      <c r="F108" s="112">
        <f>IFERROR(F18*INDEX('Project Info'!$I91:$M91,MATCH(F$5,'Project Info'!$I$15:$M$15,0)),0)</f>
        <v>0</v>
      </c>
      <c r="G108" s="112">
        <f>IFERROR(G18*INDEX('Project Info'!$I91:$M91,MATCH(G$5,'Project Info'!$I$15:$M$15,0)),0)</f>
        <v>0</v>
      </c>
      <c r="H108" s="112">
        <f>IFERROR(H18*INDEX('Project Info'!$I91:$M91,MATCH(H$5,'Project Info'!$I$15:$M$15,0)),0)</f>
        <v>0</v>
      </c>
      <c r="I108" s="112">
        <f>IFERROR(I18*INDEX('Project Info'!$I91:$M91,MATCH(I$5,'Project Info'!$I$15:$M$15,0)),0)</f>
        <v>0</v>
      </c>
      <c r="J108" s="112">
        <f>IFERROR(J18*INDEX('Project Info'!$I91:$M91,MATCH(J$5,'Project Info'!$I$15:$M$15,0)),0)</f>
        <v>0</v>
      </c>
      <c r="K108" s="112">
        <f>IFERROR(K18*INDEX('Project Info'!$I91:$M91,MATCH(K$5,'Project Info'!$I$15:$M$15,0)),0)</f>
        <v>0</v>
      </c>
      <c r="L108" s="112">
        <f>IFERROR(L18*INDEX('Project Info'!$I91:$M91,MATCH(L$5,'Project Info'!$I$15:$M$15,0)),0)</f>
        <v>0</v>
      </c>
      <c r="M108" s="112">
        <f>IFERROR(M18*INDEX('Project Info'!$I91:$M91,MATCH(M$5,'Project Info'!$I$15:$M$15,0)),0)</f>
        <v>0</v>
      </c>
      <c r="N108" s="112">
        <f>IFERROR(N18*INDEX('Project Info'!$I91:$M91,MATCH(N$5,'Project Info'!$I$15:$M$15,0)),0)</f>
        <v>0</v>
      </c>
      <c r="O108" s="112">
        <f>IFERROR(O18*INDEX('Project Info'!$I91:$M91,MATCH(O$5,'Project Info'!$I$15:$M$15,0)),0)</f>
        <v>0</v>
      </c>
      <c r="P108" s="112">
        <f>IFERROR(P18*INDEX('Project Info'!$I91:$M91,MATCH(P$5,'Project Info'!$I$15:$M$15,0)),0)</f>
        <v>0</v>
      </c>
      <c r="Q108" s="112">
        <f>IFERROR(Q18*INDEX('Project Info'!$I91:$M91,MATCH(Q$5,'Project Info'!$I$15:$M$15,0)),0)</f>
        <v>0</v>
      </c>
      <c r="R108" s="112">
        <f>IFERROR(R18*INDEX('Project Info'!$I91:$M91,MATCH(R$5,'Project Info'!$I$15:$M$15,0)),0)</f>
        <v>0</v>
      </c>
      <c r="S108" s="112">
        <f>IFERROR(S18*INDEX('Project Info'!$I91:$M91,MATCH(S$5,'Project Info'!$I$15:$M$15,0)),0)</f>
        <v>0</v>
      </c>
      <c r="T108" s="112">
        <f>IFERROR(T18*INDEX('Project Info'!$I91:$M91,MATCH(T$5,'Project Info'!$I$15:$M$15,0)),0)</f>
        <v>0</v>
      </c>
      <c r="U108" s="112">
        <f>IFERROR(U18*INDEX('Project Info'!$I91:$M91,MATCH(U$5,'Project Info'!$I$15:$M$15,0)),0)</f>
        <v>0</v>
      </c>
      <c r="V108" s="112">
        <f>IFERROR(V18*INDEX('Project Info'!$I91:$M91,MATCH(V$5,'Project Info'!$I$15:$M$15,0)),0)</f>
        <v>0</v>
      </c>
      <c r="W108" s="112">
        <f>IFERROR(W18*INDEX('Project Info'!$I91:$M91,MATCH(W$5,'Project Info'!$I$15:$M$15,0)),0)</f>
        <v>0</v>
      </c>
      <c r="X108" s="112">
        <f>IFERROR(X18*INDEX('Project Info'!$I91:$M91,MATCH(X$5,'Project Info'!$I$15:$M$15,0)),0)</f>
        <v>0</v>
      </c>
      <c r="Y108" s="112">
        <f>IFERROR(Y18*INDEX('Project Info'!$I91:$M91,MATCH(Y$5,'Project Info'!$I$15:$M$15,0)),0)</f>
        <v>0</v>
      </c>
      <c r="Z108" s="112">
        <f>IFERROR(Z18*INDEX('Project Info'!$I91:$M91,MATCH(Z$5,'Project Info'!$I$15:$M$15,0)),0)</f>
        <v>0</v>
      </c>
      <c r="AA108" s="112">
        <f>IFERROR(AA18*INDEX('Project Info'!$I91:$M91,MATCH(AA$5,'Project Info'!$I$15:$M$15,0)),0)</f>
        <v>0</v>
      </c>
      <c r="AB108" s="105"/>
      <c r="AC108" s="112">
        <f t="shared" si="150"/>
        <v>0</v>
      </c>
      <c r="AD108" s="112">
        <f t="shared" si="150"/>
        <v>0</v>
      </c>
      <c r="AE108" s="112">
        <f t="shared" si="150"/>
        <v>0</v>
      </c>
      <c r="AF108" s="112">
        <f t="shared" si="150"/>
        <v>0</v>
      </c>
      <c r="AG108" s="112">
        <f t="shared" si="150"/>
        <v>0</v>
      </c>
      <c r="AH108" s="112">
        <f t="shared" si="150"/>
        <v>0</v>
      </c>
      <c r="AI108" s="112">
        <f t="shared" si="150"/>
        <v>0</v>
      </c>
      <c r="AJ108" s="112">
        <f t="shared" si="150"/>
        <v>0</v>
      </c>
      <c r="AK108" s="112">
        <f t="shared" si="150"/>
        <v>0</v>
      </c>
      <c r="AL108" s="112">
        <f t="shared" si="150"/>
        <v>0</v>
      </c>
      <c r="AM108" s="112">
        <f t="shared" si="150"/>
        <v>0</v>
      </c>
      <c r="AN108" s="112">
        <f t="shared" si="150"/>
        <v>0</v>
      </c>
      <c r="AO108" s="112">
        <f t="shared" si="150"/>
        <v>0</v>
      </c>
      <c r="AP108" s="112">
        <f t="shared" si="150"/>
        <v>0</v>
      </c>
      <c r="AQ108" s="112">
        <f t="shared" si="150"/>
        <v>0</v>
      </c>
      <c r="AR108" s="112">
        <f t="shared" si="150"/>
        <v>0</v>
      </c>
      <c r="AS108" s="105"/>
      <c r="AT108" s="112">
        <f t="shared" si="151"/>
        <v>0</v>
      </c>
      <c r="AU108" s="112">
        <f t="shared" si="151"/>
        <v>0</v>
      </c>
      <c r="AV108" s="112">
        <f t="shared" si="151"/>
        <v>0</v>
      </c>
      <c r="AW108" s="112">
        <f t="shared" si="151"/>
        <v>0</v>
      </c>
      <c r="AX108" s="112">
        <f t="shared" si="151"/>
        <v>0</v>
      </c>
      <c r="AY108" s="112">
        <f t="shared" si="152"/>
        <v>0</v>
      </c>
      <c r="AZ108" s="132">
        <f t="shared" si="159"/>
        <v>1</v>
      </c>
      <c r="BA108" s="132">
        <f t="shared" si="160"/>
        <v>0</v>
      </c>
      <c r="BB108" s="105"/>
      <c r="BC108" s="142">
        <f>IFERROR(BC18*INDEX('Project Info'!$I91:$M91,MATCH(BC$5,'Project Info'!$I$15:$M$15,0)),0)</f>
        <v>0</v>
      </c>
      <c r="BD108" s="142">
        <f>IFERROR(BD18*INDEX('Project Info'!$I91:$M91,MATCH(BD$5,'Project Info'!$I$15:$M$15,0)),0)</f>
        <v>0</v>
      </c>
      <c r="BE108" s="142">
        <f>IFERROR(BE18*INDEX('Project Info'!$I91:$M91,MATCH(BE$5,'Project Info'!$I$15:$M$15,0)),0)</f>
        <v>0</v>
      </c>
      <c r="BF108" s="142">
        <f>IFERROR(BF18*INDEX('Project Info'!$I91:$M91,MATCH(BF$5,'Project Info'!$I$15:$M$15,0)),0)</f>
        <v>0</v>
      </c>
      <c r="BG108" s="142">
        <f>IFERROR(BG18*INDEX('Project Info'!$I91:$M91,MATCH(BG$5,'Project Info'!$I$15:$M$15,0)),0)</f>
        <v>0</v>
      </c>
      <c r="BH108" s="142">
        <f>IFERROR(BH18*INDEX('Project Info'!$I91:$M91,MATCH(BH$5,'Project Info'!$I$15:$M$15,0)),0)</f>
        <v>0</v>
      </c>
      <c r="BI108" s="142">
        <f t="shared" si="161"/>
        <v>0</v>
      </c>
      <c r="BJ108" s="132">
        <f t="shared" si="162"/>
        <v>0</v>
      </c>
      <c r="BK108" s="105"/>
      <c r="BL108" s="112">
        <f t="shared" si="153"/>
        <v>0</v>
      </c>
      <c r="BM108" s="112">
        <f t="shared" si="154"/>
        <v>0</v>
      </c>
      <c r="BN108" s="112">
        <f t="shared" si="155"/>
        <v>0</v>
      </c>
      <c r="BO108" s="112">
        <f t="shared" si="156"/>
        <v>0</v>
      </c>
      <c r="BP108" s="112">
        <f t="shared" si="157"/>
        <v>0</v>
      </c>
      <c r="BQ108" s="112">
        <f t="shared" si="158"/>
        <v>0</v>
      </c>
      <c r="BR108" s="111">
        <f t="shared" si="163"/>
        <v>1</v>
      </c>
      <c r="BS108" s="111">
        <f t="shared" si="164"/>
        <v>0</v>
      </c>
    </row>
    <row r="109" spans="1:71">
      <c r="A109" s="105" t="str">
        <f t="shared" si="149"/>
        <v xml:space="preserve"> </v>
      </c>
      <c r="B109" s="105"/>
      <c r="C109" s="112">
        <f>IFERROR(C19*INDEX('Project Info'!$I92:$M92,MATCH(C$5,'Project Info'!$I$15:$M$15,0)),0)</f>
        <v>0</v>
      </c>
      <c r="D109" s="112">
        <f>IFERROR(D19*INDEX('Project Info'!$I92:$M92,MATCH(D$5,'Project Info'!$I$15:$M$15,0)),0)</f>
        <v>0</v>
      </c>
      <c r="E109" s="112">
        <f>IFERROR(E19*INDEX('Project Info'!$I92:$M92,MATCH(E$5,'Project Info'!$I$15:$M$15,0)),0)</f>
        <v>0</v>
      </c>
      <c r="F109" s="112">
        <f>IFERROR(F19*INDEX('Project Info'!$I92:$M92,MATCH(F$5,'Project Info'!$I$15:$M$15,0)),0)</f>
        <v>0</v>
      </c>
      <c r="G109" s="112">
        <f>IFERROR(G19*INDEX('Project Info'!$I92:$M92,MATCH(G$5,'Project Info'!$I$15:$M$15,0)),0)</f>
        <v>0</v>
      </c>
      <c r="H109" s="112">
        <f>IFERROR(H19*INDEX('Project Info'!$I92:$M92,MATCH(H$5,'Project Info'!$I$15:$M$15,0)),0)</f>
        <v>0</v>
      </c>
      <c r="I109" s="112">
        <f>IFERROR(I19*INDEX('Project Info'!$I92:$M92,MATCH(I$5,'Project Info'!$I$15:$M$15,0)),0)</f>
        <v>0</v>
      </c>
      <c r="J109" s="112">
        <f>IFERROR(J19*INDEX('Project Info'!$I92:$M92,MATCH(J$5,'Project Info'!$I$15:$M$15,0)),0)</f>
        <v>0</v>
      </c>
      <c r="K109" s="112">
        <f>IFERROR(K19*INDEX('Project Info'!$I92:$M92,MATCH(K$5,'Project Info'!$I$15:$M$15,0)),0)</f>
        <v>0</v>
      </c>
      <c r="L109" s="112">
        <f>IFERROR(L19*INDEX('Project Info'!$I92:$M92,MATCH(L$5,'Project Info'!$I$15:$M$15,0)),0)</f>
        <v>0</v>
      </c>
      <c r="M109" s="112">
        <f>IFERROR(M19*INDEX('Project Info'!$I92:$M92,MATCH(M$5,'Project Info'!$I$15:$M$15,0)),0)</f>
        <v>0</v>
      </c>
      <c r="N109" s="112">
        <f>IFERROR(N19*INDEX('Project Info'!$I92:$M92,MATCH(N$5,'Project Info'!$I$15:$M$15,0)),0)</f>
        <v>0</v>
      </c>
      <c r="O109" s="112">
        <f>IFERROR(O19*INDEX('Project Info'!$I92:$M92,MATCH(O$5,'Project Info'!$I$15:$M$15,0)),0)</f>
        <v>0</v>
      </c>
      <c r="P109" s="112">
        <f>IFERROR(P19*INDEX('Project Info'!$I92:$M92,MATCH(P$5,'Project Info'!$I$15:$M$15,0)),0)</f>
        <v>0</v>
      </c>
      <c r="Q109" s="112">
        <f>IFERROR(Q19*INDEX('Project Info'!$I92:$M92,MATCH(Q$5,'Project Info'!$I$15:$M$15,0)),0)</f>
        <v>0</v>
      </c>
      <c r="R109" s="112">
        <f>IFERROR(R19*INDEX('Project Info'!$I92:$M92,MATCH(R$5,'Project Info'!$I$15:$M$15,0)),0)</f>
        <v>0</v>
      </c>
      <c r="S109" s="112">
        <f>IFERROR(S19*INDEX('Project Info'!$I92:$M92,MATCH(S$5,'Project Info'!$I$15:$M$15,0)),0)</f>
        <v>0</v>
      </c>
      <c r="T109" s="112">
        <f>IFERROR(T19*INDEX('Project Info'!$I92:$M92,MATCH(T$5,'Project Info'!$I$15:$M$15,0)),0)</f>
        <v>0</v>
      </c>
      <c r="U109" s="112">
        <f>IFERROR(U19*INDEX('Project Info'!$I92:$M92,MATCH(U$5,'Project Info'!$I$15:$M$15,0)),0)</f>
        <v>0</v>
      </c>
      <c r="V109" s="112">
        <f>IFERROR(V19*INDEX('Project Info'!$I92:$M92,MATCH(V$5,'Project Info'!$I$15:$M$15,0)),0)</f>
        <v>0</v>
      </c>
      <c r="W109" s="112">
        <f>IFERROR(W19*INDEX('Project Info'!$I92:$M92,MATCH(W$5,'Project Info'!$I$15:$M$15,0)),0)</f>
        <v>0</v>
      </c>
      <c r="X109" s="112">
        <f>IFERROR(X19*INDEX('Project Info'!$I92:$M92,MATCH(X$5,'Project Info'!$I$15:$M$15,0)),0)</f>
        <v>0</v>
      </c>
      <c r="Y109" s="112">
        <f>IFERROR(Y19*INDEX('Project Info'!$I92:$M92,MATCH(Y$5,'Project Info'!$I$15:$M$15,0)),0)</f>
        <v>0</v>
      </c>
      <c r="Z109" s="112">
        <f>IFERROR(Z19*INDEX('Project Info'!$I92:$M92,MATCH(Z$5,'Project Info'!$I$15:$M$15,0)),0)</f>
        <v>0</v>
      </c>
      <c r="AA109" s="112">
        <f>IFERROR(AA19*INDEX('Project Info'!$I92:$M92,MATCH(AA$5,'Project Info'!$I$15:$M$15,0)),0)</f>
        <v>0</v>
      </c>
      <c r="AB109" s="105"/>
      <c r="AC109" s="112">
        <f t="shared" si="150"/>
        <v>0</v>
      </c>
      <c r="AD109" s="112">
        <f t="shared" si="150"/>
        <v>0</v>
      </c>
      <c r="AE109" s="112">
        <f t="shared" si="150"/>
        <v>0</v>
      </c>
      <c r="AF109" s="112">
        <f t="shared" si="150"/>
        <v>0</v>
      </c>
      <c r="AG109" s="112">
        <f t="shared" si="150"/>
        <v>0</v>
      </c>
      <c r="AH109" s="112">
        <f t="shared" si="150"/>
        <v>0</v>
      </c>
      <c r="AI109" s="112">
        <f t="shared" si="150"/>
        <v>0</v>
      </c>
      <c r="AJ109" s="112">
        <f t="shared" si="150"/>
        <v>0</v>
      </c>
      <c r="AK109" s="112">
        <f t="shared" si="150"/>
        <v>0</v>
      </c>
      <c r="AL109" s="112">
        <f t="shared" si="150"/>
        <v>0</v>
      </c>
      <c r="AM109" s="112">
        <f t="shared" si="150"/>
        <v>0</v>
      </c>
      <c r="AN109" s="112">
        <f t="shared" si="150"/>
        <v>0</v>
      </c>
      <c r="AO109" s="112">
        <f t="shared" si="150"/>
        <v>0</v>
      </c>
      <c r="AP109" s="112">
        <f t="shared" si="150"/>
        <v>0</v>
      </c>
      <c r="AQ109" s="112">
        <f t="shared" si="150"/>
        <v>0</v>
      </c>
      <c r="AR109" s="112">
        <f t="shared" si="150"/>
        <v>0</v>
      </c>
      <c r="AS109" s="105"/>
      <c r="AT109" s="112">
        <f t="shared" si="151"/>
        <v>0</v>
      </c>
      <c r="AU109" s="112">
        <f t="shared" si="151"/>
        <v>0</v>
      </c>
      <c r="AV109" s="112">
        <f t="shared" si="151"/>
        <v>0</v>
      </c>
      <c r="AW109" s="112">
        <f t="shared" si="151"/>
        <v>0</v>
      </c>
      <c r="AX109" s="112">
        <f t="shared" si="151"/>
        <v>0</v>
      </c>
      <c r="AY109" s="112">
        <f t="shared" si="152"/>
        <v>0</v>
      </c>
      <c r="AZ109" s="132">
        <f t="shared" si="159"/>
        <v>1</v>
      </c>
      <c r="BA109" s="132">
        <f t="shared" si="160"/>
        <v>0</v>
      </c>
      <c r="BB109" s="105"/>
      <c r="BC109" s="142">
        <f>IFERROR(BC19*INDEX('Project Info'!$I92:$M92,MATCH(BC$5,'Project Info'!$I$15:$M$15,0)),0)</f>
        <v>0</v>
      </c>
      <c r="BD109" s="142">
        <f>IFERROR(BD19*INDEX('Project Info'!$I92:$M92,MATCH(BD$5,'Project Info'!$I$15:$M$15,0)),0)</f>
        <v>0</v>
      </c>
      <c r="BE109" s="142">
        <f>IFERROR(BE19*INDEX('Project Info'!$I92:$M92,MATCH(BE$5,'Project Info'!$I$15:$M$15,0)),0)</f>
        <v>0</v>
      </c>
      <c r="BF109" s="142">
        <f>IFERROR(BF19*INDEX('Project Info'!$I92:$M92,MATCH(BF$5,'Project Info'!$I$15:$M$15,0)),0)</f>
        <v>0</v>
      </c>
      <c r="BG109" s="142">
        <f>IFERROR(BG19*INDEX('Project Info'!$I92:$M92,MATCH(BG$5,'Project Info'!$I$15:$M$15,0)),0)</f>
        <v>0</v>
      </c>
      <c r="BH109" s="142">
        <f>IFERROR(BH19*INDEX('Project Info'!$I92:$M92,MATCH(BH$5,'Project Info'!$I$15:$M$15,0)),0)</f>
        <v>0</v>
      </c>
      <c r="BI109" s="142">
        <f t="shared" si="161"/>
        <v>0</v>
      </c>
      <c r="BJ109" s="132">
        <f t="shared" si="162"/>
        <v>0</v>
      </c>
      <c r="BK109" s="105"/>
      <c r="BL109" s="112">
        <f t="shared" si="153"/>
        <v>0</v>
      </c>
      <c r="BM109" s="112">
        <f t="shared" si="154"/>
        <v>0</v>
      </c>
      <c r="BN109" s="112">
        <f t="shared" si="155"/>
        <v>0</v>
      </c>
      <c r="BO109" s="112">
        <f t="shared" si="156"/>
        <v>0</v>
      </c>
      <c r="BP109" s="112">
        <f t="shared" si="157"/>
        <v>0</v>
      </c>
      <c r="BQ109" s="112">
        <f t="shared" si="158"/>
        <v>0</v>
      </c>
      <c r="BR109" s="111">
        <f t="shared" si="163"/>
        <v>1</v>
      </c>
      <c r="BS109" s="111">
        <f t="shared" si="164"/>
        <v>0</v>
      </c>
    </row>
    <row r="110" spans="1:71">
      <c r="A110" s="105" t="str">
        <f t="shared" si="149"/>
        <v xml:space="preserve"> </v>
      </c>
      <c r="B110" s="105"/>
      <c r="C110" s="112">
        <f>IFERROR(C20*INDEX('Project Info'!$I93:$M93,MATCH(C$5,'Project Info'!$I$15:$M$15,0)),0)</f>
        <v>0</v>
      </c>
      <c r="D110" s="112">
        <f>IFERROR(D20*INDEX('Project Info'!$I93:$M93,MATCH(D$5,'Project Info'!$I$15:$M$15,0)),0)</f>
        <v>0</v>
      </c>
      <c r="E110" s="112">
        <f>IFERROR(E20*INDEX('Project Info'!$I93:$M93,MATCH(E$5,'Project Info'!$I$15:$M$15,0)),0)</f>
        <v>0</v>
      </c>
      <c r="F110" s="112">
        <f>IFERROR(F20*INDEX('Project Info'!$I93:$M93,MATCH(F$5,'Project Info'!$I$15:$M$15,0)),0)</f>
        <v>0</v>
      </c>
      <c r="G110" s="112">
        <f>IFERROR(G20*INDEX('Project Info'!$I93:$M93,MATCH(G$5,'Project Info'!$I$15:$M$15,0)),0)</f>
        <v>0</v>
      </c>
      <c r="H110" s="112">
        <f>IFERROR(H20*INDEX('Project Info'!$I93:$M93,MATCH(H$5,'Project Info'!$I$15:$M$15,0)),0)</f>
        <v>0</v>
      </c>
      <c r="I110" s="112">
        <f>IFERROR(I20*INDEX('Project Info'!$I93:$M93,MATCH(I$5,'Project Info'!$I$15:$M$15,0)),0)</f>
        <v>0</v>
      </c>
      <c r="J110" s="112">
        <f>IFERROR(J20*INDEX('Project Info'!$I93:$M93,MATCH(J$5,'Project Info'!$I$15:$M$15,0)),0)</f>
        <v>0</v>
      </c>
      <c r="K110" s="112">
        <f>IFERROR(K20*INDEX('Project Info'!$I93:$M93,MATCH(K$5,'Project Info'!$I$15:$M$15,0)),0)</f>
        <v>0</v>
      </c>
      <c r="L110" s="112">
        <f>IFERROR(L20*INDEX('Project Info'!$I93:$M93,MATCH(L$5,'Project Info'!$I$15:$M$15,0)),0)</f>
        <v>0</v>
      </c>
      <c r="M110" s="112">
        <f>IFERROR(M20*INDEX('Project Info'!$I93:$M93,MATCH(M$5,'Project Info'!$I$15:$M$15,0)),0)</f>
        <v>0</v>
      </c>
      <c r="N110" s="112">
        <f>IFERROR(N20*INDEX('Project Info'!$I93:$M93,MATCH(N$5,'Project Info'!$I$15:$M$15,0)),0)</f>
        <v>0</v>
      </c>
      <c r="O110" s="112">
        <f>IFERROR(O20*INDEX('Project Info'!$I93:$M93,MATCH(O$5,'Project Info'!$I$15:$M$15,0)),0)</f>
        <v>0</v>
      </c>
      <c r="P110" s="112">
        <f>IFERROR(P20*INDEX('Project Info'!$I93:$M93,MATCH(P$5,'Project Info'!$I$15:$M$15,0)),0)</f>
        <v>0</v>
      </c>
      <c r="Q110" s="112">
        <f>IFERROR(Q20*INDEX('Project Info'!$I93:$M93,MATCH(Q$5,'Project Info'!$I$15:$M$15,0)),0)</f>
        <v>0</v>
      </c>
      <c r="R110" s="112">
        <f>IFERROR(R20*INDEX('Project Info'!$I93:$M93,MATCH(R$5,'Project Info'!$I$15:$M$15,0)),0)</f>
        <v>0</v>
      </c>
      <c r="S110" s="112">
        <f>IFERROR(S20*INDEX('Project Info'!$I93:$M93,MATCH(S$5,'Project Info'!$I$15:$M$15,0)),0)</f>
        <v>0</v>
      </c>
      <c r="T110" s="112">
        <f>IFERROR(T20*INDEX('Project Info'!$I93:$M93,MATCH(T$5,'Project Info'!$I$15:$M$15,0)),0)</f>
        <v>0</v>
      </c>
      <c r="U110" s="112">
        <f>IFERROR(U20*INDEX('Project Info'!$I93:$M93,MATCH(U$5,'Project Info'!$I$15:$M$15,0)),0)</f>
        <v>0</v>
      </c>
      <c r="V110" s="112">
        <f>IFERROR(V20*INDEX('Project Info'!$I93:$M93,MATCH(V$5,'Project Info'!$I$15:$M$15,0)),0)</f>
        <v>0</v>
      </c>
      <c r="W110" s="112">
        <f>IFERROR(W20*INDEX('Project Info'!$I93:$M93,MATCH(W$5,'Project Info'!$I$15:$M$15,0)),0)</f>
        <v>0</v>
      </c>
      <c r="X110" s="112">
        <f>IFERROR(X20*INDEX('Project Info'!$I93:$M93,MATCH(X$5,'Project Info'!$I$15:$M$15,0)),0)</f>
        <v>0</v>
      </c>
      <c r="Y110" s="112">
        <f>IFERROR(Y20*INDEX('Project Info'!$I93:$M93,MATCH(Y$5,'Project Info'!$I$15:$M$15,0)),0)</f>
        <v>0</v>
      </c>
      <c r="Z110" s="112">
        <f>IFERROR(Z20*INDEX('Project Info'!$I93:$M93,MATCH(Z$5,'Project Info'!$I$15:$M$15,0)),0)</f>
        <v>0</v>
      </c>
      <c r="AA110" s="112">
        <f>IFERROR(AA20*INDEX('Project Info'!$I93:$M93,MATCH(AA$5,'Project Info'!$I$15:$M$15,0)),0)</f>
        <v>0</v>
      </c>
      <c r="AB110" s="105"/>
      <c r="AC110" s="112">
        <f t="shared" si="150"/>
        <v>0</v>
      </c>
      <c r="AD110" s="112">
        <f t="shared" si="150"/>
        <v>0</v>
      </c>
      <c r="AE110" s="112">
        <f t="shared" si="150"/>
        <v>0</v>
      </c>
      <c r="AF110" s="112">
        <f t="shared" si="150"/>
        <v>0</v>
      </c>
      <c r="AG110" s="112">
        <f t="shared" si="150"/>
        <v>0</v>
      </c>
      <c r="AH110" s="112">
        <f t="shared" si="150"/>
        <v>0</v>
      </c>
      <c r="AI110" s="112">
        <f t="shared" si="150"/>
        <v>0</v>
      </c>
      <c r="AJ110" s="112">
        <f t="shared" si="150"/>
        <v>0</v>
      </c>
      <c r="AK110" s="112">
        <f t="shared" si="150"/>
        <v>0</v>
      </c>
      <c r="AL110" s="112">
        <f t="shared" si="150"/>
        <v>0</v>
      </c>
      <c r="AM110" s="112">
        <f t="shared" si="150"/>
        <v>0</v>
      </c>
      <c r="AN110" s="112">
        <f t="shared" si="150"/>
        <v>0</v>
      </c>
      <c r="AO110" s="112">
        <f t="shared" si="150"/>
        <v>0</v>
      </c>
      <c r="AP110" s="112">
        <f t="shared" si="150"/>
        <v>0</v>
      </c>
      <c r="AQ110" s="112">
        <f t="shared" si="150"/>
        <v>0</v>
      </c>
      <c r="AR110" s="112">
        <f t="shared" si="150"/>
        <v>0</v>
      </c>
      <c r="AS110" s="105"/>
      <c r="AT110" s="112">
        <f t="shared" si="151"/>
        <v>0</v>
      </c>
      <c r="AU110" s="112">
        <f t="shared" si="151"/>
        <v>0</v>
      </c>
      <c r="AV110" s="112">
        <f t="shared" si="151"/>
        <v>0</v>
      </c>
      <c r="AW110" s="112">
        <f t="shared" si="151"/>
        <v>0</v>
      </c>
      <c r="AX110" s="112">
        <f t="shared" si="151"/>
        <v>0</v>
      </c>
      <c r="AY110" s="112">
        <f t="shared" si="152"/>
        <v>0</v>
      </c>
      <c r="AZ110" s="132">
        <f t="shared" si="159"/>
        <v>1</v>
      </c>
      <c r="BA110" s="132">
        <f t="shared" si="160"/>
        <v>0</v>
      </c>
      <c r="BB110" s="105"/>
      <c r="BC110" s="142">
        <f>IFERROR(BC20*INDEX('Project Info'!$I93:$M93,MATCH(BC$5,'Project Info'!$I$15:$M$15,0)),0)</f>
        <v>0</v>
      </c>
      <c r="BD110" s="142">
        <f>IFERROR(BD20*INDEX('Project Info'!$I93:$M93,MATCH(BD$5,'Project Info'!$I$15:$M$15,0)),0)</f>
        <v>0</v>
      </c>
      <c r="BE110" s="142">
        <f>IFERROR(BE20*INDEX('Project Info'!$I93:$M93,MATCH(BE$5,'Project Info'!$I$15:$M$15,0)),0)</f>
        <v>0</v>
      </c>
      <c r="BF110" s="142">
        <f>IFERROR(BF20*INDEX('Project Info'!$I93:$M93,MATCH(BF$5,'Project Info'!$I$15:$M$15,0)),0)</f>
        <v>0</v>
      </c>
      <c r="BG110" s="142">
        <f>IFERROR(BG20*INDEX('Project Info'!$I93:$M93,MATCH(BG$5,'Project Info'!$I$15:$M$15,0)),0)</f>
        <v>0</v>
      </c>
      <c r="BH110" s="142">
        <f>IFERROR(BH20*INDEX('Project Info'!$I93:$M93,MATCH(BH$5,'Project Info'!$I$15:$M$15,0)),0)</f>
        <v>0</v>
      </c>
      <c r="BI110" s="142">
        <f t="shared" si="161"/>
        <v>0</v>
      </c>
      <c r="BJ110" s="132">
        <f t="shared" si="162"/>
        <v>0</v>
      </c>
      <c r="BK110" s="105"/>
      <c r="BL110" s="112">
        <f t="shared" si="153"/>
        <v>0</v>
      </c>
      <c r="BM110" s="112">
        <f t="shared" si="154"/>
        <v>0</v>
      </c>
      <c r="BN110" s="112">
        <f t="shared" si="155"/>
        <v>0</v>
      </c>
      <c r="BO110" s="112">
        <f t="shared" si="156"/>
        <v>0</v>
      </c>
      <c r="BP110" s="112">
        <f t="shared" si="157"/>
        <v>0</v>
      </c>
      <c r="BQ110" s="112">
        <f t="shared" si="158"/>
        <v>0</v>
      </c>
      <c r="BR110" s="111">
        <f t="shared" si="163"/>
        <v>1</v>
      </c>
      <c r="BS110" s="111">
        <f t="shared" si="164"/>
        <v>0</v>
      </c>
    </row>
    <row r="111" spans="1:71">
      <c r="A111" s="105" t="str">
        <f t="shared" si="149"/>
        <v xml:space="preserve"> </v>
      </c>
      <c r="B111" s="105"/>
      <c r="C111" s="112">
        <f>IFERROR(C21*INDEX('Project Info'!$I94:$M94,MATCH(C$5,'Project Info'!$I$15:$M$15,0)),0)</f>
        <v>0</v>
      </c>
      <c r="D111" s="112">
        <f>IFERROR(D21*INDEX('Project Info'!$I94:$M94,MATCH(D$5,'Project Info'!$I$15:$M$15,0)),0)</f>
        <v>0</v>
      </c>
      <c r="E111" s="112">
        <f>IFERROR(E21*INDEX('Project Info'!$I94:$M94,MATCH(E$5,'Project Info'!$I$15:$M$15,0)),0)</f>
        <v>0</v>
      </c>
      <c r="F111" s="112">
        <f>IFERROR(F21*INDEX('Project Info'!$I94:$M94,MATCH(F$5,'Project Info'!$I$15:$M$15,0)),0)</f>
        <v>0</v>
      </c>
      <c r="G111" s="112">
        <f>IFERROR(G21*INDEX('Project Info'!$I94:$M94,MATCH(G$5,'Project Info'!$I$15:$M$15,0)),0)</f>
        <v>0</v>
      </c>
      <c r="H111" s="112">
        <f>IFERROR(H21*INDEX('Project Info'!$I94:$M94,MATCH(H$5,'Project Info'!$I$15:$M$15,0)),0)</f>
        <v>0</v>
      </c>
      <c r="I111" s="112">
        <f>IFERROR(I21*INDEX('Project Info'!$I94:$M94,MATCH(I$5,'Project Info'!$I$15:$M$15,0)),0)</f>
        <v>0</v>
      </c>
      <c r="J111" s="112">
        <f>IFERROR(J21*INDEX('Project Info'!$I94:$M94,MATCH(J$5,'Project Info'!$I$15:$M$15,0)),0)</f>
        <v>0</v>
      </c>
      <c r="K111" s="112">
        <f>IFERROR(K21*INDEX('Project Info'!$I94:$M94,MATCH(K$5,'Project Info'!$I$15:$M$15,0)),0)</f>
        <v>0</v>
      </c>
      <c r="L111" s="112">
        <f>IFERROR(L21*INDEX('Project Info'!$I94:$M94,MATCH(L$5,'Project Info'!$I$15:$M$15,0)),0)</f>
        <v>0</v>
      </c>
      <c r="M111" s="112">
        <f>IFERROR(M21*INDEX('Project Info'!$I94:$M94,MATCH(M$5,'Project Info'!$I$15:$M$15,0)),0)</f>
        <v>0</v>
      </c>
      <c r="N111" s="112">
        <f>IFERROR(N21*INDEX('Project Info'!$I94:$M94,MATCH(N$5,'Project Info'!$I$15:$M$15,0)),0)</f>
        <v>0</v>
      </c>
      <c r="O111" s="112">
        <f>IFERROR(O21*INDEX('Project Info'!$I94:$M94,MATCH(O$5,'Project Info'!$I$15:$M$15,0)),0)</f>
        <v>0</v>
      </c>
      <c r="P111" s="112">
        <f>IFERROR(P21*INDEX('Project Info'!$I94:$M94,MATCH(P$5,'Project Info'!$I$15:$M$15,0)),0)</f>
        <v>0</v>
      </c>
      <c r="Q111" s="112">
        <f>IFERROR(Q21*INDEX('Project Info'!$I94:$M94,MATCH(Q$5,'Project Info'!$I$15:$M$15,0)),0)</f>
        <v>0</v>
      </c>
      <c r="R111" s="112">
        <f>IFERROR(R21*INDEX('Project Info'!$I94:$M94,MATCH(R$5,'Project Info'!$I$15:$M$15,0)),0)</f>
        <v>0</v>
      </c>
      <c r="S111" s="112">
        <f>IFERROR(S21*INDEX('Project Info'!$I94:$M94,MATCH(S$5,'Project Info'!$I$15:$M$15,0)),0)</f>
        <v>0</v>
      </c>
      <c r="T111" s="112">
        <f>IFERROR(T21*INDEX('Project Info'!$I94:$M94,MATCH(T$5,'Project Info'!$I$15:$M$15,0)),0)</f>
        <v>0</v>
      </c>
      <c r="U111" s="112">
        <f>IFERROR(U21*INDEX('Project Info'!$I94:$M94,MATCH(U$5,'Project Info'!$I$15:$M$15,0)),0)</f>
        <v>0</v>
      </c>
      <c r="V111" s="112">
        <f>IFERROR(V21*INDEX('Project Info'!$I94:$M94,MATCH(V$5,'Project Info'!$I$15:$M$15,0)),0)</f>
        <v>0</v>
      </c>
      <c r="W111" s="112">
        <f>IFERROR(W21*INDEX('Project Info'!$I94:$M94,MATCH(W$5,'Project Info'!$I$15:$M$15,0)),0)</f>
        <v>0</v>
      </c>
      <c r="X111" s="112">
        <f>IFERROR(X21*INDEX('Project Info'!$I94:$M94,MATCH(X$5,'Project Info'!$I$15:$M$15,0)),0)</f>
        <v>0</v>
      </c>
      <c r="Y111" s="112">
        <f>IFERROR(Y21*INDEX('Project Info'!$I94:$M94,MATCH(Y$5,'Project Info'!$I$15:$M$15,0)),0)</f>
        <v>0</v>
      </c>
      <c r="Z111" s="112">
        <f>IFERROR(Z21*INDEX('Project Info'!$I94:$M94,MATCH(Z$5,'Project Info'!$I$15:$M$15,0)),0)</f>
        <v>0</v>
      </c>
      <c r="AA111" s="112">
        <f>IFERROR(AA21*INDEX('Project Info'!$I94:$M94,MATCH(AA$5,'Project Info'!$I$15:$M$15,0)),0)</f>
        <v>0</v>
      </c>
      <c r="AB111" s="105"/>
      <c r="AC111" s="112">
        <f t="shared" si="150"/>
        <v>0</v>
      </c>
      <c r="AD111" s="112">
        <f t="shared" si="150"/>
        <v>0</v>
      </c>
      <c r="AE111" s="112">
        <f t="shared" si="150"/>
        <v>0</v>
      </c>
      <c r="AF111" s="112">
        <f t="shared" si="150"/>
        <v>0</v>
      </c>
      <c r="AG111" s="112">
        <f t="shared" si="150"/>
        <v>0</v>
      </c>
      <c r="AH111" s="112">
        <f t="shared" si="150"/>
        <v>0</v>
      </c>
      <c r="AI111" s="112">
        <f t="shared" si="150"/>
        <v>0</v>
      </c>
      <c r="AJ111" s="112">
        <f t="shared" si="150"/>
        <v>0</v>
      </c>
      <c r="AK111" s="112">
        <f t="shared" si="150"/>
        <v>0</v>
      </c>
      <c r="AL111" s="112">
        <f t="shared" si="150"/>
        <v>0</v>
      </c>
      <c r="AM111" s="112">
        <f t="shared" si="150"/>
        <v>0</v>
      </c>
      <c r="AN111" s="112">
        <f t="shared" si="150"/>
        <v>0</v>
      </c>
      <c r="AO111" s="112">
        <f t="shared" si="150"/>
        <v>0</v>
      </c>
      <c r="AP111" s="112">
        <f t="shared" si="150"/>
        <v>0</v>
      </c>
      <c r="AQ111" s="112">
        <f t="shared" si="150"/>
        <v>0</v>
      </c>
      <c r="AR111" s="112">
        <f t="shared" si="150"/>
        <v>0</v>
      </c>
      <c r="AS111" s="105"/>
      <c r="AT111" s="112">
        <f t="shared" si="151"/>
        <v>0</v>
      </c>
      <c r="AU111" s="112">
        <f t="shared" si="151"/>
        <v>0</v>
      </c>
      <c r="AV111" s="112">
        <f t="shared" si="151"/>
        <v>0</v>
      </c>
      <c r="AW111" s="112">
        <f t="shared" si="151"/>
        <v>0</v>
      </c>
      <c r="AX111" s="112">
        <f t="shared" si="151"/>
        <v>0</v>
      </c>
      <c r="AY111" s="112">
        <f t="shared" si="152"/>
        <v>0</v>
      </c>
      <c r="AZ111" s="132">
        <f t="shared" si="159"/>
        <v>1</v>
      </c>
      <c r="BA111" s="132">
        <f t="shared" si="160"/>
        <v>0</v>
      </c>
      <c r="BB111" s="105"/>
      <c r="BC111" s="142">
        <f>IFERROR(BC21*INDEX('Project Info'!$I94:$M94,MATCH(BC$5,'Project Info'!$I$15:$M$15,0)),0)</f>
        <v>0</v>
      </c>
      <c r="BD111" s="142">
        <f>IFERROR(BD21*INDEX('Project Info'!$I94:$M94,MATCH(BD$5,'Project Info'!$I$15:$M$15,0)),0)</f>
        <v>0</v>
      </c>
      <c r="BE111" s="142">
        <f>IFERROR(BE21*INDEX('Project Info'!$I94:$M94,MATCH(BE$5,'Project Info'!$I$15:$M$15,0)),0)</f>
        <v>0</v>
      </c>
      <c r="BF111" s="142">
        <f>IFERROR(BF21*INDEX('Project Info'!$I94:$M94,MATCH(BF$5,'Project Info'!$I$15:$M$15,0)),0)</f>
        <v>0</v>
      </c>
      <c r="BG111" s="142">
        <f>IFERROR(BG21*INDEX('Project Info'!$I94:$M94,MATCH(BG$5,'Project Info'!$I$15:$M$15,0)),0)</f>
        <v>0</v>
      </c>
      <c r="BH111" s="142">
        <f>IFERROR(BH21*INDEX('Project Info'!$I94:$M94,MATCH(BH$5,'Project Info'!$I$15:$M$15,0)),0)</f>
        <v>0</v>
      </c>
      <c r="BI111" s="142">
        <f t="shared" si="161"/>
        <v>0</v>
      </c>
      <c r="BJ111" s="132">
        <f t="shared" si="162"/>
        <v>0</v>
      </c>
      <c r="BK111" s="105"/>
      <c r="BL111" s="112">
        <f t="shared" si="153"/>
        <v>0</v>
      </c>
      <c r="BM111" s="112">
        <f t="shared" si="154"/>
        <v>0</v>
      </c>
      <c r="BN111" s="112">
        <f t="shared" si="155"/>
        <v>0</v>
      </c>
      <c r="BO111" s="112">
        <f t="shared" si="156"/>
        <v>0</v>
      </c>
      <c r="BP111" s="112">
        <f t="shared" si="157"/>
        <v>0</v>
      </c>
      <c r="BQ111" s="112">
        <f t="shared" si="158"/>
        <v>0</v>
      </c>
      <c r="BR111" s="111">
        <f t="shared" si="163"/>
        <v>1</v>
      </c>
      <c r="BS111" s="111">
        <f t="shared" si="164"/>
        <v>0</v>
      </c>
    </row>
    <row r="112" spans="1:71">
      <c r="A112" s="105"/>
      <c r="B112" s="105"/>
      <c r="C112" s="105"/>
      <c r="D112" s="105"/>
      <c r="E112" s="105"/>
      <c r="F112" s="105"/>
      <c r="G112" s="105"/>
      <c r="H112" s="105"/>
      <c r="I112" s="105"/>
      <c r="J112" s="105"/>
      <c r="K112" s="105"/>
      <c r="L112" s="105"/>
      <c r="M112" s="105"/>
      <c r="N112" s="105"/>
      <c r="O112" s="105"/>
      <c r="P112" s="105"/>
      <c r="Q112" s="105"/>
      <c r="R112" s="105"/>
      <c r="S112" s="105"/>
      <c r="T112" s="105"/>
      <c r="U112" s="105"/>
      <c r="V112" s="105"/>
      <c r="W112" s="105"/>
      <c r="X112" s="105"/>
      <c r="Y112" s="105"/>
      <c r="Z112" s="105"/>
      <c r="AA112" s="105"/>
      <c r="AB112" s="105"/>
      <c r="AC112" s="105"/>
      <c r="AD112" s="105"/>
      <c r="AE112" s="105"/>
      <c r="AF112" s="105"/>
      <c r="AG112" s="105"/>
      <c r="AH112" s="105"/>
      <c r="AI112" s="105"/>
      <c r="AJ112" s="105"/>
      <c r="AK112" s="105"/>
      <c r="AL112" s="105"/>
      <c r="AM112" s="105"/>
      <c r="AN112" s="105"/>
      <c r="AO112" s="105"/>
      <c r="AP112" s="105"/>
      <c r="AQ112" s="105"/>
      <c r="AR112" s="105"/>
      <c r="AS112" s="105"/>
      <c r="AT112" s="105"/>
      <c r="AU112" s="105"/>
      <c r="AV112" s="105"/>
      <c r="AW112" s="105"/>
      <c r="AX112" s="105"/>
      <c r="AY112" s="105"/>
      <c r="AZ112" s="105"/>
      <c r="BA112" s="105"/>
      <c r="BB112" s="105"/>
      <c r="BC112" s="105"/>
      <c r="BD112" s="105"/>
      <c r="BE112" s="105"/>
      <c r="BF112" s="105"/>
      <c r="BG112" s="105"/>
      <c r="BH112" s="105"/>
      <c r="BI112" s="105"/>
      <c r="BJ112" s="105"/>
      <c r="BK112" s="105"/>
      <c r="BL112" s="105"/>
      <c r="BM112" s="105"/>
      <c r="BN112" s="105"/>
      <c r="BO112" s="105"/>
      <c r="BP112" s="105"/>
      <c r="BQ112" s="105"/>
      <c r="BR112" s="105"/>
      <c r="BS112" s="105"/>
    </row>
    <row r="113" spans="1:71" ht="14.4" thickBot="1">
      <c r="A113" s="194" t="str">
        <f>CONCATENATE(Menus!C27," Intensity"," ($/",'Project Info'!$E$7,")")</f>
        <v>Energy Cost Intensity ($/ft²)</v>
      </c>
      <c r="B113" s="194"/>
      <c r="C113" s="194"/>
      <c r="D113" s="194"/>
      <c r="E113" s="194"/>
      <c r="F113" s="194"/>
      <c r="G113" s="194"/>
      <c r="H113" s="194"/>
      <c r="I113" s="194"/>
      <c r="J113" s="194"/>
      <c r="K113" s="194"/>
      <c r="L113" s="194"/>
      <c r="M113" s="194"/>
      <c r="N113" s="194"/>
      <c r="O113" s="194"/>
      <c r="P113" s="194"/>
      <c r="Q113" s="194"/>
      <c r="R113" s="194"/>
      <c r="S113" s="194"/>
      <c r="T113" s="194"/>
      <c r="U113" s="194"/>
      <c r="V113" s="194"/>
      <c r="W113" s="194"/>
      <c r="X113" s="194"/>
      <c r="Y113" s="194"/>
      <c r="Z113" s="194"/>
      <c r="AA113" s="194"/>
      <c r="AB113" s="105"/>
      <c r="AC113" s="105"/>
      <c r="AD113" s="105"/>
      <c r="AE113" s="105"/>
      <c r="AF113" s="105"/>
      <c r="AG113" s="105"/>
      <c r="AH113" s="105"/>
      <c r="AI113" s="105"/>
      <c r="AJ113" s="105"/>
      <c r="AK113" s="105"/>
      <c r="AL113" s="105"/>
      <c r="AM113" s="105"/>
      <c r="AN113" s="105"/>
      <c r="AO113" s="105"/>
      <c r="AP113" s="105"/>
      <c r="AQ113" s="105"/>
      <c r="AR113" s="105"/>
      <c r="AS113" s="105"/>
      <c r="AT113" s="105"/>
      <c r="AU113" s="105"/>
      <c r="AV113" s="105"/>
      <c r="AW113" s="105"/>
      <c r="AX113" s="105"/>
      <c r="AY113" s="105"/>
      <c r="AZ113" s="105"/>
      <c r="BA113" s="105"/>
      <c r="BB113" s="105"/>
      <c r="BC113" s="105"/>
      <c r="BD113" s="105"/>
      <c r="BE113" s="105"/>
      <c r="BF113" s="105"/>
      <c r="BG113" s="105"/>
      <c r="BH113" s="105"/>
      <c r="BI113" s="105"/>
      <c r="BJ113" s="105"/>
      <c r="BK113" s="105"/>
      <c r="BL113" s="105"/>
      <c r="BM113" s="105"/>
      <c r="BN113" s="105"/>
      <c r="BO113" s="105"/>
      <c r="BP113" s="105"/>
      <c r="BQ113" s="105"/>
      <c r="BR113" s="105"/>
      <c r="BS113" s="105"/>
    </row>
    <row r="114" spans="1:71">
      <c r="A114" s="105" t="str">
        <f t="shared" ref="A114:A126" si="165">A9</f>
        <v>LEED Baseline</v>
      </c>
      <c r="B114" s="145">
        <f t="shared" ref="B114:B126" si="166">B24</f>
        <v>13652</v>
      </c>
      <c r="C114" s="112">
        <f t="shared" ref="C114:C126" si="167">IFERROR(C99/$B114,0)</f>
        <v>0.10205148215797152</v>
      </c>
      <c r="D114" s="112">
        <f t="shared" ref="D114:AA125" si="168">IFERROR(D99/$B114,0)</f>
        <v>0</v>
      </c>
      <c r="E114" s="112">
        <f t="shared" si="168"/>
        <v>0</v>
      </c>
      <c r="F114" s="112">
        <f t="shared" si="168"/>
        <v>0</v>
      </c>
      <c r="G114" s="112">
        <f t="shared" si="168"/>
        <v>0.38034522005947807</v>
      </c>
      <c r="H114" s="112">
        <f t="shared" si="168"/>
        <v>0</v>
      </c>
      <c r="I114" s="112">
        <f t="shared" si="168"/>
        <v>0.40826950645095933</v>
      </c>
      <c r="J114" s="112">
        <f t="shared" si="168"/>
        <v>0</v>
      </c>
      <c r="K114" s="112">
        <f t="shared" si="168"/>
        <v>0.47936767326589358</v>
      </c>
      <c r="L114" s="112">
        <f t="shared" si="168"/>
        <v>0</v>
      </c>
      <c r="M114" s="112">
        <f t="shared" si="168"/>
        <v>0</v>
      </c>
      <c r="N114" s="112">
        <f t="shared" si="168"/>
        <v>0</v>
      </c>
      <c r="O114" s="112">
        <f t="shared" si="168"/>
        <v>0.4652965395231704</v>
      </c>
      <c r="P114" s="112">
        <f t="shared" si="168"/>
        <v>0</v>
      </c>
      <c r="Q114" s="112">
        <f t="shared" si="168"/>
        <v>0</v>
      </c>
      <c r="R114" s="112">
        <f t="shared" si="168"/>
        <v>0</v>
      </c>
      <c r="S114" s="112">
        <f t="shared" si="168"/>
        <v>0</v>
      </c>
      <c r="T114" s="112">
        <f t="shared" si="168"/>
        <v>0</v>
      </c>
      <c r="U114" s="112">
        <f t="shared" si="168"/>
        <v>0</v>
      </c>
      <c r="V114" s="112">
        <f t="shared" si="168"/>
        <v>0</v>
      </c>
      <c r="W114" s="112">
        <f t="shared" si="168"/>
        <v>0</v>
      </c>
      <c r="X114" s="112">
        <f t="shared" si="168"/>
        <v>0</v>
      </c>
      <c r="Y114" s="112">
        <f t="shared" si="168"/>
        <v>0</v>
      </c>
      <c r="Z114" s="112">
        <f t="shared" si="168"/>
        <v>0</v>
      </c>
      <c r="AA114" s="112">
        <f t="shared" si="168"/>
        <v>0</v>
      </c>
      <c r="AB114" s="105"/>
      <c r="AC114" s="112">
        <f t="shared" ref="AC114:AR126" si="169">SUMIF($C$4:$AA$4,AC$4,$C114:$AA114)</f>
        <v>0.10205148215797152</v>
      </c>
      <c r="AD114" s="112">
        <f t="shared" si="169"/>
        <v>0.38034522005947807</v>
      </c>
      <c r="AE114" s="112">
        <f t="shared" si="169"/>
        <v>0.40826950645095933</v>
      </c>
      <c r="AF114" s="112">
        <f t="shared" si="169"/>
        <v>0</v>
      </c>
      <c r="AG114" s="112">
        <f t="shared" si="169"/>
        <v>0.47936767326589358</v>
      </c>
      <c r="AH114" s="112">
        <f t="shared" si="169"/>
        <v>0</v>
      </c>
      <c r="AI114" s="112">
        <f t="shared" si="169"/>
        <v>0.4652965395231704</v>
      </c>
      <c r="AJ114" s="112">
        <f t="shared" si="169"/>
        <v>0</v>
      </c>
      <c r="AK114" s="112">
        <f t="shared" si="169"/>
        <v>0</v>
      </c>
      <c r="AL114" s="112">
        <f t="shared" si="169"/>
        <v>0</v>
      </c>
      <c r="AM114" s="112">
        <f t="shared" si="169"/>
        <v>0</v>
      </c>
      <c r="AN114" s="112">
        <f t="shared" si="169"/>
        <v>0</v>
      </c>
      <c r="AO114" s="112">
        <f t="shared" si="169"/>
        <v>0</v>
      </c>
      <c r="AP114" s="112">
        <f t="shared" si="169"/>
        <v>0</v>
      </c>
      <c r="AQ114" s="112">
        <f t="shared" si="169"/>
        <v>0</v>
      </c>
      <c r="AR114" s="112">
        <f t="shared" si="169"/>
        <v>0</v>
      </c>
      <c r="AS114" s="105"/>
      <c r="AT114" s="112">
        <f t="shared" si="151"/>
        <v>1.8353304214574728</v>
      </c>
      <c r="AU114" s="112">
        <f t="shared" si="151"/>
        <v>0</v>
      </c>
      <c r="AV114" s="112">
        <f t="shared" si="151"/>
        <v>0</v>
      </c>
      <c r="AW114" s="112">
        <f t="shared" si="151"/>
        <v>0</v>
      </c>
      <c r="AX114" s="112">
        <f t="shared" si="151"/>
        <v>0</v>
      </c>
      <c r="AY114" s="112">
        <f>SUM(AT114:AX114)</f>
        <v>1.8353304214574728</v>
      </c>
      <c r="AZ114" s="110"/>
      <c r="BA114" s="110"/>
      <c r="BB114" s="105"/>
      <c r="BC114" s="110"/>
      <c r="BD114" s="110"/>
      <c r="BE114" s="110"/>
      <c r="BF114" s="110"/>
      <c r="BG114" s="110"/>
      <c r="BH114" s="110"/>
      <c r="BI114" s="110"/>
      <c r="BJ114" s="110"/>
      <c r="BK114" s="105"/>
      <c r="BL114" s="112">
        <f>AT114-(SUMIF($BC$5:$BH$5,"="&amp;BL$5,$BC114:$BH114))</f>
        <v>1.8353304214574728</v>
      </c>
      <c r="BM114" s="112">
        <f t="shared" ref="BM114:BM126" si="170">AU114-(SUMIF($BC$5:$BH$5,"="&amp;BM$5,$BC114:$BH114))</f>
        <v>0</v>
      </c>
      <c r="BN114" s="112">
        <f t="shared" ref="BN114:BN126" si="171">AV114-(SUMIF($BC$5:$BH$5,"="&amp;BN$5,$BC114:$BH114))</f>
        <v>0</v>
      </c>
      <c r="BO114" s="112">
        <f t="shared" ref="BO114:BO126" si="172">AW114-(SUMIF($BC$5:$BH$5,"="&amp;BO$5,$BC114:$BH114))</f>
        <v>0</v>
      </c>
      <c r="BP114" s="112">
        <f t="shared" ref="BP114:BP126" si="173">AX114-(SUMIF($BC$5:$BH$5,"="&amp;BP$5,$BC114:$BH114))</f>
        <v>0</v>
      </c>
      <c r="BQ114" s="112">
        <f>SUM(BL114:BP114)</f>
        <v>1.8353304214574728</v>
      </c>
      <c r="BR114" s="110"/>
      <c r="BS114" s="110"/>
    </row>
    <row r="115" spans="1:71">
      <c r="A115" s="105" t="str">
        <f t="shared" si="165"/>
        <v>Code Baseline</v>
      </c>
      <c r="B115" s="145">
        <f t="shared" si="166"/>
        <v>13652</v>
      </c>
      <c r="C115" s="112">
        <f t="shared" si="167"/>
        <v>0</v>
      </c>
      <c r="D115" s="112">
        <f t="shared" ref="D115:R115" si="174">IFERROR(D100/$B115,0)</f>
        <v>0</v>
      </c>
      <c r="E115" s="112">
        <f t="shared" si="174"/>
        <v>0</v>
      </c>
      <c r="F115" s="112">
        <f t="shared" si="174"/>
        <v>0</v>
      </c>
      <c r="G115" s="112">
        <f t="shared" si="174"/>
        <v>0</v>
      </c>
      <c r="H115" s="112">
        <f t="shared" si="174"/>
        <v>0</v>
      </c>
      <c r="I115" s="112">
        <f t="shared" si="174"/>
        <v>0</v>
      </c>
      <c r="J115" s="112">
        <f t="shared" si="174"/>
        <v>0</v>
      </c>
      <c r="K115" s="112">
        <f t="shared" si="174"/>
        <v>0</v>
      </c>
      <c r="L115" s="112">
        <f t="shared" si="174"/>
        <v>0</v>
      </c>
      <c r="M115" s="112">
        <f t="shared" si="174"/>
        <v>0</v>
      </c>
      <c r="N115" s="112">
        <f t="shared" si="174"/>
        <v>0</v>
      </c>
      <c r="O115" s="112">
        <f t="shared" si="174"/>
        <v>0</v>
      </c>
      <c r="P115" s="112">
        <f t="shared" si="174"/>
        <v>0</v>
      </c>
      <c r="Q115" s="112">
        <f t="shared" si="174"/>
        <v>0</v>
      </c>
      <c r="R115" s="112">
        <f t="shared" si="174"/>
        <v>0</v>
      </c>
      <c r="S115" s="112">
        <f t="shared" si="168"/>
        <v>0</v>
      </c>
      <c r="T115" s="112">
        <f t="shared" si="168"/>
        <v>0</v>
      </c>
      <c r="U115" s="112">
        <f t="shared" si="168"/>
        <v>0</v>
      </c>
      <c r="V115" s="112">
        <f t="shared" si="168"/>
        <v>0</v>
      </c>
      <c r="W115" s="112">
        <f t="shared" si="168"/>
        <v>0</v>
      </c>
      <c r="X115" s="112">
        <f t="shared" si="168"/>
        <v>0</v>
      </c>
      <c r="Y115" s="112">
        <f t="shared" si="168"/>
        <v>0</v>
      </c>
      <c r="Z115" s="112">
        <f t="shared" si="168"/>
        <v>0</v>
      </c>
      <c r="AA115" s="112">
        <f t="shared" si="168"/>
        <v>0</v>
      </c>
      <c r="AB115" s="105"/>
      <c r="AC115" s="112">
        <f t="shared" si="169"/>
        <v>0</v>
      </c>
      <c r="AD115" s="112">
        <f t="shared" si="169"/>
        <v>0</v>
      </c>
      <c r="AE115" s="112">
        <f t="shared" si="169"/>
        <v>0</v>
      </c>
      <c r="AF115" s="112">
        <f t="shared" si="169"/>
        <v>0</v>
      </c>
      <c r="AG115" s="112">
        <f t="shared" si="169"/>
        <v>0</v>
      </c>
      <c r="AH115" s="112">
        <f t="shared" si="169"/>
        <v>0</v>
      </c>
      <c r="AI115" s="112">
        <f t="shared" si="169"/>
        <v>0</v>
      </c>
      <c r="AJ115" s="112">
        <f t="shared" si="169"/>
        <v>0</v>
      </c>
      <c r="AK115" s="112">
        <f t="shared" si="169"/>
        <v>0</v>
      </c>
      <c r="AL115" s="112">
        <f t="shared" si="169"/>
        <v>0</v>
      </c>
      <c r="AM115" s="112">
        <f t="shared" si="169"/>
        <v>0</v>
      </c>
      <c r="AN115" s="112">
        <f t="shared" si="169"/>
        <v>0</v>
      </c>
      <c r="AO115" s="112">
        <f t="shared" si="169"/>
        <v>0</v>
      </c>
      <c r="AP115" s="112">
        <f t="shared" si="169"/>
        <v>0</v>
      </c>
      <c r="AQ115" s="112">
        <f t="shared" si="169"/>
        <v>0</v>
      </c>
      <c r="AR115" s="112">
        <f t="shared" si="169"/>
        <v>0</v>
      </c>
      <c r="AS115" s="105"/>
      <c r="AT115" s="112">
        <f t="shared" ref="AT115:AX126" si="175">SUMIF($C$5:$AA$5,"="&amp;AT$5,$C115:$AA115)</f>
        <v>0</v>
      </c>
      <c r="AU115" s="112">
        <f t="shared" si="175"/>
        <v>0</v>
      </c>
      <c r="AV115" s="112">
        <f t="shared" si="175"/>
        <v>0</v>
      </c>
      <c r="AW115" s="112">
        <f t="shared" si="175"/>
        <v>0</v>
      </c>
      <c r="AX115" s="112">
        <f t="shared" si="175"/>
        <v>0</v>
      </c>
      <c r="AY115" s="112">
        <f t="shared" ref="AY115:AY126" si="176">SUM(AT115:AX115)</f>
        <v>0</v>
      </c>
      <c r="AZ115" s="110"/>
      <c r="BA115" s="110"/>
      <c r="BB115" s="105"/>
      <c r="BC115" s="110"/>
      <c r="BD115" s="110"/>
      <c r="BE115" s="110"/>
      <c r="BF115" s="110"/>
      <c r="BG115" s="110"/>
      <c r="BH115" s="110"/>
      <c r="BI115" s="110"/>
      <c r="BJ115" s="110"/>
      <c r="BK115" s="105"/>
      <c r="BL115" s="112">
        <f t="shared" ref="BL115:BL126" si="177">AT115-(SUMIF($BC$5:$BH$5,"="&amp;BL$5,$BC115:$BH115))</f>
        <v>0</v>
      </c>
      <c r="BM115" s="112">
        <f t="shared" si="170"/>
        <v>0</v>
      </c>
      <c r="BN115" s="112">
        <f t="shared" si="171"/>
        <v>0</v>
      </c>
      <c r="BO115" s="112">
        <f t="shared" si="172"/>
        <v>0</v>
      </c>
      <c r="BP115" s="112">
        <f t="shared" si="173"/>
        <v>0</v>
      </c>
      <c r="BQ115" s="112">
        <f t="shared" ref="BQ115:BQ126" si="178">SUM(BL115:BP115)</f>
        <v>0</v>
      </c>
      <c r="BR115" s="110"/>
      <c r="BS115" s="110"/>
    </row>
    <row r="116" spans="1:71" s="136" customFormat="1">
      <c r="A116" s="134" t="str">
        <f t="shared" si="165"/>
        <v xml:space="preserve"> </v>
      </c>
      <c r="B116" s="146">
        <f t="shared" si="166"/>
        <v>13652</v>
      </c>
      <c r="C116" s="143">
        <f t="shared" si="167"/>
        <v>0</v>
      </c>
      <c r="D116" s="143">
        <f t="shared" si="168"/>
        <v>0</v>
      </c>
      <c r="E116" s="143">
        <f t="shared" si="168"/>
        <v>0</v>
      </c>
      <c r="F116" s="143">
        <f t="shared" si="168"/>
        <v>0</v>
      </c>
      <c r="G116" s="143">
        <f t="shared" si="168"/>
        <v>0</v>
      </c>
      <c r="H116" s="143">
        <f t="shared" si="168"/>
        <v>0</v>
      </c>
      <c r="I116" s="143">
        <f t="shared" si="168"/>
        <v>0</v>
      </c>
      <c r="J116" s="143">
        <f t="shared" si="168"/>
        <v>0</v>
      </c>
      <c r="K116" s="143">
        <f t="shared" si="168"/>
        <v>0</v>
      </c>
      <c r="L116" s="143">
        <f t="shared" si="168"/>
        <v>0</v>
      </c>
      <c r="M116" s="143">
        <f t="shared" si="168"/>
        <v>0</v>
      </c>
      <c r="N116" s="143">
        <f t="shared" si="168"/>
        <v>0</v>
      </c>
      <c r="O116" s="143">
        <f t="shared" si="168"/>
        <v>0</v>
      </c>
      <c r="P116" s="143">
        <f t="shared" si="168"/>
        <v>0</v>
      </c>
      <c r="Q116" s="143">
        <f t="shared" si="168"/>
        <v>0</v>
      </c>
      <c r="R116" s="143">
        <f t="shared" si="168"/>
        <v>0</v>
      </c>
      <c r="S116" s="143">
        <f t="shared" si="168"/>
        <v>0</v>
      </c>
      <c r="T116" s="143">
        <f t="shared" si="168"/>
        <v>0</v>
      </c>
      <c r="U116" s="143">
        <f t="shared" si="168"/>
        <v>0</v>
      </c>
      <c r="V116" s="143">
        <f t="shared" si="168"/>
        <v>0</v>
      </c>
      <c r="W116" s="143">
        <f t="shared" si="168"/>
        <v>0</v>
      </c>
      <c r="X116" s="143">
        <f t="shared" si="168"/>
        <v>0</v>
      </c>
      <c r="Y116" s="143">
        <f t="shared" si="168"/>
        <v>0</v>
      </c>
      <c r="Z116" s="143">
        <f t="shared" si="168"/>
        <v>0</v>
      </c>
      <c r="AA116" s="143">
        <f t="shared" si="168"/>
        <v>0</v>
      </c>
      <c r="AB116" s="134"/>
      <c r="AC116" s="143">
        <f t="shared" si="169"/>
        <v>0</v>
      </c>
      <c r="AD116" s="143">
        <f t="shared" si="169"/>
        <v>0</v>
      </c>
      <c r="AE116" s="143">
        <f t="shared" si="169"/>
        <v>0</v>
      </c>
      <c r="AF116" s="143">
        <f t="shared" si="169"/>
        <v>0</v>
      </c>
      <c r="AG116" s="143">
        <f t="shared" si="169"/>
        <v>0</v>
      </c>
      <c r="AH116" s="143">
        <f t="shared" si="169"/>
        <v>0</v>
      </c>
      <c r="AI116" s="143">
        <f t="shared" si="169"/>
        <v>0</v>
      </c>
      <c r="AJ116" s="143">
        <f t="shared" si="169"/>
        <v>0</v>
      </c>
      <c r="AK116" s="143">
        <f t="shared" si="169"/>
        <v>0</v>
      </c>
      <c r="AL116" s="143">
        <f t="shared" si="169"/>
        <v>0</v>
      </c>
      <c r="AM116" s="143">
        <f t="shared" si="169"/>
        <v>0</v>
      </c>
      <c r="AN116" s="143">
        <f t="shared" si="169"/>
        <v>0</v>
      </c>
      <c r="AO116" s="143">
        <f t="shared" si="169"/>
        <v>0</v>
      </c>
      <c r="AP116" s="143">
        <f t="shared" si="169"/>
        <v>0</v>
      </c>
      <c r="AQ116" s="143">
        <f t="shared" si="169"/>
        <v>0</v>
      </c>
      <c r="AR116" s="143">
        <f t="shared" si="169"/>
        <v>0</v>
      </c>
      <c r="AS116" s="134"/>
      <c r="AT116" s="143">
        <f t="shared" si="175"/>
        <v>0</v>
      </c>
      <c r="AU116" s="143">
        <f t="shared" si="175"/>
        <v>0</v>
      </c>
      <c r="AV116" s="143">
        <f t="shared" si="175"/>
        <v>0</v>
      </c>
      <c r="AW116" s="143">
        <f t="shared" si="175"/>
        <v>0</v>
      </c>
      <c r="AX116" s="143">
        <f t="shared" si="175"/>
        <v>0</v>
      </c>
      <c r="AY116" s="143">
        <f t="shared" si="176"/>
        <v>0</v>
      </c>
      <c r="AZ116" s="137"/>
      <c r="BA116" s="137"/>
      <c r="BB116" s="134"/>
      <c r="BC116" s="137"/>
      <c r="BD116" s="137"/>
      <c r="BE116" s="137"/>
      <c r="BF116" s="137"/>
      <c r="BG116" s="137"/>
      <c r="BH116" s="137"/>
      <c r="BI116" s="137"/>
      <c r="BJ116" s="137"/>
      <c r="BK116" s="134"/>
      <c r="BL116" s="143">
        <f t="shared" si="177"/>
        <v>0</v>
      </c>
      <c r="BM116" s="143">
        <f t="shared" si="170"/>
        <v>0</v>
      </c>
      <c r="BN116" s="143">
        <f t="shared" si="171"/>
        <v>0</v>
      </c>
      <c r="BO116" s="143">
        <f t="shared" si="172"/>
        <v>0</v>
      </c>
      <c r="BP116" s="143">
        <f t="shared" si="173"/>
        <v>0</v>
      </c>
      <c r="BQ116" s="143">
        <f t="shared" si="178"/>
        <v>0</v>
      </c>
      <c r="BR116" s="137"/>
      <c r="BS116" s="137"/>
    </row>
    <row r="117" spans="1:71">
      <c r="A117" s="105" t="str">
        <f t="shared" si="165"/>
        <v>Proposed Design</v>
      </c>
      <c r="B117" s="145">
        <f t="shared" si="166"/>
        <v>13652</v>
      </c>
      <c r="C117" s="142">
        <f t="shared" si="167"/>
        <v>0.10205148215797152</v>
      </c>
      <c r="D117" s="142">
        <f t="shared" si="168"/>
        <v>0</v>
      </c>
      <c r="E117" s="142">
        <f t="shared" si="168"/>
        <v>0</v>
      </c>
      <c r="F117" s="142">
        <f t="shared" si="168"/>
        <v>0</v>
      </c>
      <c r="G117" s="142">
        <f t="shared" si="168"/>
        <v>0.38034522005947807</v>
      </c>
      <c r="H117" s="142">
        <f t="shared" si="168"/>
        <v>0</v>
      </c>
      <c r="I117" s="142">
        <f t="shared" si="168"/>
        <v>0.40826950645095933</v>
      </c>
      <c r="J117" s="142">
        <f t="shared" si="168"/>
        <v>0</v>
      </c>
      <c r="K117" s="142">
        <f t="shared" si="168"/>
        <v>0.47936767326589358</v>
      </c>
      <c r="L117" s="142">
        <f t="shared" si="168"/>
        <v>0</v>
      </c>
      <c r="M117" s="142">
        <f t="shared" si="168"/>
        <v>0</v>
      </c>
      <c r="N117" s="142">
        <f t="shared" si="168"/>
        <v>0</v>
      </c>
      <c r="O117" s="142">
        <f t="shared" si="168"/>
        <v>0.4652965395231704</v>
      </c>
      <c r="P117" s="142">
        <f t="shared" si="168"/>
        <v>0</v>
      </c>
      <c r="Q117" s="142">
        <f t="shared" si="168"/>
        <v>0</v>
      </c>
      <c r="R117" s="142">
        <f t="shared" si="168"/>
        <v>0</v>
      </c>
      <c r="S117" s="142">
        <f t="shared" si="168"/>
        <v>0</v>
      </c>
      <c r="T117" s="142">
        <f t="shared" si="168"/>
        <v>0</v>
      </c>
      <c r="U117" s="142">
        <f t="shared" si="168"/>
        <v>0</v>
      </c>
      <c r="V117" s="142">
        <f t="shared" si="168"/>
        <v>0</v>
      </c>
      <c r="W117" s="142">
        <f t="shared" si="168"/>
        <v>0</v>
      </c>
      <c r="X117" s="142">
        <f t="shared" si="168"/>
        <v>0</v>
      </c>
      <c r="Y117" s="142">
        <f t="shared" si="168"/>
        <v>0</v>
      </c>
      <c r="Z117" s="142">
        <f t="shared" si="168"/>
        <v>0</v>
      </c>
      <c r="AA117" s="142">
        <f t="shared" si="168"/>
        <v>0</v>
      </c>
      <c r="AB117" s="105"/>
      <c r="AC117" s="142">
        <f t="shared" si="169"/>
        <v>0.10205148215797152</v>
      </c>
      <c r="AD117" s="142">
        <f t="shared" si="169"/>
        <v>0.38034522005947807</v>
      </c>
      <c r="AE117" s="142">
        <f t="shared" si="169"/>
        <v>0.40826950645095933</v>
      </c>
      <c r="AF117" s="142">
        <f t="shared" si="169"/>
        <v>0</v>
      </c>
      <c r="AG117" s="142">
        <f t="shared" si="169"/>
        <v>0.47936767326589358</v>
      </c>
      <c r="AH117" s="142">
        <f t="shared" si="169"/>
        <v>0</v>
      </c>
      <c r="AI117" s="142">
        <f t="shared" si="169"/>
        <v>0.4652965395231704</v>
      </c>
      <c r="AJ117" s="142">
        <f t="shared" si="169"/>
        <v>0</v>
      </c>
      <c r="AK117" s="142">
        <f t="shared" si="169"/>
        <v>0</v>
      </c>
      <c r="AL117" s="142">
        <f t="shared" si="169"/>
        <v>0</v>
      </c>
      <c r="AM117" s="142">
        <f t="shared" si="169"/>
        <v>0</v>
      </c>
      <c r="AN117" s="142">
        <f t="shared" si="169"/>
        <v>0</v>
      </c>
      <c r="AO117" s="142">
        <f t="shared" si="169"/>
        <v>0</v>
      </c>
      <c r="AP117" s="142">
        <f t="shared" si="169"/>
        <v>0</v>
      </c>
      <c r="AQ117" s="142">
        <f t="shared" si="169"/>
        <v>0</v>
      </c>
      <c r="AR117" s="142">
        <f t="shared" si="169"/>
        <v>0</v>
      </c>
      <c r="AS117" s="105"/>
      <c r="AT117" s="142">
        <f t="shared" si="175"/>
        <v>1.8353304214574728</v>
      </c>
      <c r="AU117" s="142">
        <f t="shared" si="175"/>
        <v>0</v>
      </c>
      <c r="AV117" s="142">
        <f t="shared" si="175"/>
        <v>0</v>
      </c>
      <c r="AW117" s="142">
        <f t="shared" si="175"/>
        <v>0</v>
      </c>
      <c r="AX117" s="142">
        <f t="shared" si="175"/>
        <v>0</v>
      </c>
      <c r="AY117" s="142">
        <f t="shared" si="176"/>
        <v>1.8353304214574728</v>
      </c>
      <c r="AZ117" s="132">
        <f>IFERROR(1-($AY117/$AY$114),0)</f>
        <v>0</v>
      </c>
      <c r="BA117" s="132">
        <f>IFERROR(1-($AY117/$AY$115),0)</f>
        <v>0</v>
      </c>
      <c r="BB117" s="105"/>
      <c r="BC117" s="142">
        <f>IFERROR(BC102/$B117,0)</f>
        <v>0</v>
      </c>
      <c r="BD117" s="142">
        <f t="shared" ref="BD117:BH117" si="179">IFERROR(BD102/$B117,0)</f>
        <v>0</v>
      </c>
      <c r="BE117" s="142">
        <f t="shared" si="179"/>
        <v>0</v>
      </c>
      <c r="BF117" s="142">
        <f t="shared" si="179"/>
        <v>0</v>
      </c>
      <c r="BG117" s="142">
        <f t="shared" si="179"/>
        <v>0</v>
      </c>
      <c r="BH117" s="142">
        <f t="shared" si="179"/>
        <v>0</v>
      </c>
      <c r="BI117" s="142">
        <f>SUM(BC117:BH117)</f>
        <v>0</v>
      </c>
      <c r="BJ117" s="132">
        <f>IFERROR(BI117/AY117,0)</f>
        <v>0</v>
      </c>
      <c r="BK117" s="105"/>
      <c r="BL117" s="142">
        <f t="shared" si="177"/>
        <v>1.8353304214574728</v>
      </c>
      <c r="BM117" s="142">
        <f t="shared" si="170"/>
        <v>0</v>
      </c>
      <c r="BN117" s="142">
        <f t="shared" si="171"/>
        <v>0</v>
      </c>
      <c r="BO117" s="142">
        <f t="shared" si="172"/>
        <v>0</v>
      </c>
      <c r="BP117" s="142">
        <f t="shared" si="173"/>
        <v>0</v>
      </c>
      <c r="BQ117" s="142">
        <f t="shared" si="178"/>
        <v>1.8353304214574728</v>
      </c>
      <c r="BR117" s="132">
        <f>IFERROR(1-($BQ117/$BQ$114),0)</f>
        <v>0</v>
      </c>
      <c r="BS117" s="132">
        <f>IFERROR(1-($BQ117/$BQ$115),0)</f>
        <v>0</v>
      </c>
    </row>
    <row r="118" spans="1:71">
      <c r="A118" s="105" t="str">
        <f t="shared" si="165"/>
        <v xml:space="preserve"> </v>
      </c>
      <c r="B118" s="145">
        <f t="shared" si="166"/>
        <v>13652</v>
      </c>
      <c r="C118" s="112">
        <f t="shared" si="167"/>
        <v>0</v>
      </c>
      <c r="D118" s="112">
        <f t="shared" si="168"/>
        <v>0</v>
      </c>
      <c r="E118" s="112">
        <f t="shared" si="168"/>
        <v>0</v>
      </c>
      <c r="F118" s="112">
        <f t="shared" si="168"/>
        <v>0</v>
      </c>
      <c r="G118" s="112">
        <f t="shared" si="168"/>
        <v>0</v>
      </c>
      <c r="H118" s="112">
        <f t="shared" si="168"/>
        <v>0</v>
      </c>
      <c r="I118" s="112">
        <f t="shared" si="168"/>
        <v>0</v>
      </c>
      <c r="J118" s="112">
        <f t="shared" si="168"/>
        <v>0</v>
      </c>
      <c r="K118" s="112">
        <f t="shared" si="168"/>
        <v>0</v>
      </c>
      <c r="L118" s="112">
        <f t="shared" si="168"/>
        <v>0</v>
      </c>
      <c r="M118" s="112">
        <f t="shared" si="168"/>
        <v>0</v>
      </c>
      <c r="N118" s="112">
        <f t="shared" si="168"/>
        <v>0</v>
      </c>
      <c r="O118" s="112">
        <f t="shared" si="168"/>
        <v>0</v>
      </c>
      <c r="P118" s="112">
        <f t="shared" si="168"/>
        <v>0</v>
      </c>
      <c r="Q118" s="112">
        <f t="shared" si="168"/>
        <v>0</v>
      </c>
      <c r="R118" s="112">
        <f t="shared" si="168"/>
        <v>0</v>
      </c>
      <c r="S118" s="112">
        <f t="shared" si="168"/>
        <v>0</v>
      </c>
      <c r="T118" s="112">
        <f t="shared" si="168"/>
        <v>0</v>
      </c>
      <c r="U118" s="112">
        <f t="shared" si="168"/>
        <v>0</v>
      </c>
      <c r="V118" s="112">
        <f t="shared" si="168"/>
        <v>0</v>
      </c>
      <c r="W118" s="112">
        <f t="shared" si="168"/>
        <v>0</v>
      </c>
      <c r="X118" s="112">
        <f t="shared" si="168"/>
        <v>0</v>
      </c>
      <c r="Y118" s="112">
        <f t="shared" si="168"/>
        <v>0</v>
      </c>
      <c r="Z118" s="112">
        <f t="shared" si="168"/>
        <v>0</v>
      </c>
      <c r="AA118" s="112">
        <f t="shared" si="168"/>
        <v>0</v>
      </c>
      <c r="AB118" s="105"/>
      <c r="AC118" s="112">
        <f t="shared" si="169"/>
        <v>0</v>
      </c>
      <c r="AD118" s="112">
        <f t="shared" si="169"/>
        <v>0</v>
      </c>
      <c r="AE118" s="112">
        <f t="shared" si="169"/>
        <v>0</v>
      </c>
      <c r="AF118" s="112">
        <f t="shared" si="169"/>
        <v>0</v>
      </c>
      <c r="AG118" s="112">
        <f t="shared" si="169"/>
        <v>0</v>
      </c>
      <c r="AH118" s="112">
        <f t="shared" si="169"/>
        <v>0</v>
      </c>
      <c r="AI118" s="112">
        <f t="shared" si="169"/>
        <v>0</v>
      </c>
      <c r="AJ118" s="112">
        <f t="shared" si="169"/>
        <v>0</v>
      </c>
      <c r="AK118" s="112">
        <f t="shared" si="169"/>
        <v>0</v>
      </c>
      <c r="AL118" s="112">
        <f t="shared" si="169"/>
        <v>0</v>
      </c>
      <c r="AM118" s="112">
        <f t="shared" si="169"/>
        <v>0</v>
      </c>
      <c r="AN118" s="112">
        <f t="shared" si="169"/>
        <v>0</v>
      </c>
      <c r="AO118" s="112">
        <f t="shared" si="169"/>
        <v>0</v>
      </c>
      <c r="AP118" s="112">
        <f t="shared" si="169"/>
        <v>0</v>
      </c>
      <c r="AQ118" s="112">
        <f t="shared" si="169"/>
        <v>0</v>
      </c>
      <c r="AR118" s="112">
        <f t="shared" si="169"/>
        <v>0</v>
      </c>
      <c r="AS118" s="105"/>
      <c r="AT118" s="112">
        <f t="shared" si="175"/>
        <v>0</v>
      </c>
      <c r="AU118" s="112">
        <f t="shared" si="175"/>
        <v>0</v>
      </c>
      <c r="AV118" s="112">
        <f t="shared" si="175"/>
        <v>0</v>
      </c>
      <c r="AW118" s="112">
        <f t="shared" si="175"/>
        <v>0</v>
      </c>
      <c r="AX118" s="112">
        <f t="shared" si="175"/>
        <v>0</v>
      </c>
      <c r="AY118" s="112">
        <f t="shared" si="176"/>
        <v>0</v>
      </c>
      <c r="AZ118" s="132">
        <f t="shared" ref="AZ118:AZ126" si="180">IFERROR(1-($AY118/$AY$114),0)</f>
        <v>1</v>
      </c>
      <c r="BA118" s="132">
        <f t="shared" ref="BA118:BA126" si="181">IFERROR(1-($AY118/$AY$115),0)</f>
        <v>0</v>
      </c>
      <c r="BB118" s="105"/>
      <c r="BC118" s="142">
        <f t="shared" ref="BC118:BH126" si="182">IFERROR(BC103/$B118,0)</f>
        <v>0</v>
      </c>
      <c r="BD118" s="142">
        <f t="shared" si="182"/>
        <v>0</v>
      </c>
      <c r="BE118" s="142">
        <f t="shared" si="182"/>
        <v>0</v>
      </c>
      <c r="BF118" s="142">
        <f t="shared" si="182"/>
        <v>0</v>
      </c>
      <c r="BG118" s="142">
        <f t="shared" si="182"/>
        <v>0</v>
      </c>
      <c r="BH118" s="142">
        <f t="shared" si="182"/>
        <v>0</v>
      </c>
      <c r="BI118" s="142">
        <f t="shared" ref="BI118:BI126" si="183">SUM(BC118:BH118)</f>
        <v>0</v>
      </c>
      <c r="BJ118" s="132">
        <f t="shared" ref="BJ118:BJ126" si="184">IFERROR(BI118/AY118,0)</f>
        <v>0</v>
      </c>
      <c r="BK118" s="105"/>
      <c r="BL118" s="112">
        <f t="shared" si="177"/>
        <v>0</v>
      </c>
      <c r="BM118" s="112">
        <f t="shared" si="170"/>
        <v>0</v>
      </c>
      <c r="BN118" s="112">
        <f t="shared" si="171"/>
        <v>0</v>
      </c>
      <c r="BO118" s="112">
        <f t="shared" si="172"/>
        <v>0</v>
      </c>
      <c r="BP118" s="112">
        <f t="shared" si="173"/>
        <v>0</v>
      </c>
      <c r="BQ118" s="112">
        <f t="shared" si="178"/>
        <v>0</v>
      </c>
      <c r="BR118" s="132">
        <f t="shared" ref="BR118:BR126" si="185">IFERROR(1-($BQ118/$BQ$114),0)</f>
        <v>1</v>
      </c>
      <c r="BS118" s="132">
        <f t="shared" ref="BS118:BS126" si="186">IFERROR(1-($BQ118/$BQ$115),0)</f>
        <v>0</v>
      </c>
    </row>
    <row r="119" spans="1:71">
      <c r="A119" s="105" t="str">
        <f t="shared" si="165"/>
        <v xml:space="preserve"> </v>
      </c>
      <c r="B119" s="145">
        <f t="shared" si="166"/>
        <v>13652</v>
      </c>
      <c r="C119" s="112">
        <f t="shared" si="167"/>
        <v>0</v>
      </c>
      <c r="D119" s="112">
        <f t="shared" si="168"/>
        <v>0</v>
      </c>
      <c r="E119" s="112">
        <f t="shared" si="168"/>
        <v>0</v>
      </c>
      <c r="F119" s="112">
        <f t="shared" si="168"/>
        <v>0</v>
      </c>
      <c r="G119" s="112">
        <f t="shared" si="168"/>
        <v>0</v>
      </c>
      <c r="H119" s="112">
        <f t="shared" si="168"/>
        <v>0</v>
      </c>
      <c r="I119" s="112">
        <f t="shared" si="168"/>
        <v>0</v>
      </c>
      <c r="J119" s="112">
        <f t="shared" si="168"/>
        <v>0</v>
      </c>
      <c r="K119" s="112">
        <f t="shared" si="168"/>
        <v>0</v>
      </c>
      <c r="L119" s="112">
        <f t="shared" si="168"/>
        <v>0</v>
      </c>
      <c r="M119" s="112">
        <f t="shared" si="168"/>
        <v>0</v>
      </c>
      <c r="N119" s="112">
        <f t="shared" si="168"/>
        <v>0</v>
      </c>
      <c r="O119" s="112">
        <f t="shared" si="168"/>
        <v>0</v>
      </c>
      <c r="P119" s="112">
        <f t="shared" si="168"/>
        <v>0</v>
      </c>
      <c r="Q119" s="112">
        <f t="shared" si="168"/>
        <v>0</v>
      </c>
      <c r="R119" s="112">
        <f t="shared" si="168"/>
        <v>0</v>
      </c>
      <c r="S119" s="112">
        <f t="shared" si="168"/>
        <v>0</v>
      </c>
      <c r="T119" s="112">
        <f t="shared" si="168"/>
        <v>0</v>
      </c>
      <c r="U119" s="112">
        <f t="shared" si="168"/>
        <v>0</v>
      </c>
      <c r="V119" s="112">
        <f t="shared" si="168"/>
        <v>0</v>
      </c>
      <c r="W119" s="112">
        <f t="shared" si="168"/>
        <v>0</v>
      </c>
      <c r="X119" s="112">
        <f t="shared" si="168"/>
        <v>0</v>
      </c>
      <c r="Y119" s="112">
        <f t="shared" si="168"/>
        <v>0</v>
      </c>
      <c r="Z119" s="112">
        <f t="shared" si="168"/>
        <v>0</v>
      </c>
      <c r="AA119" s="112">
        <f t="shared" si="168"/>
        <v>0</v>
      </c>
      <c r="AB119" s="105"/>
      <c r="AC119" s="112">
        <f t="shared" si="169"/>
        <v>0</v>
      </c>
      <c r="AD119" s="112">
        <f t="shared" si="169"/>
        <v>0</v>
      </c>
      <c r="AE119" s="112">
        <f t="shared" si="169"/>
        <v>0</v>
      </c>
      <c r="AF119" s="112">
        <f t="shared" si="169"/>
        <v>0</v>
      </c>
      <c r="AG119" s="112">
        <f t="shared" si="169"/>
        <v>0</v>
      </c>
      <c r="AH119" s="112">
        <f t="shared" si="169"/>
        <v>0</v>
      </c>
      <c r="AI119" s="112">
        <f t="shared" si="169"/>
        <v>0</v>
      </c>
      <c r="AJ119" s="112">
        <f t="shared" si="169"/>
        <v>0</v>
      </c>
      <c r="AK119" s="112">
        <f t="shared" si="169"/>
        <v>0</v>
      </c>
      <c r="AL119" s="112">
        <f t="shared" si="169"/>
        <v>0</v>
      </c>
      <c r="AM119" s="112">
        <f t="shared" si="169"/>
        <v>0</v>
      </c>
      <c r="AN119" s="112">
        <f t="shared" si="169"/>
        <v>0</v>
      </c>
      <c r="AO119" s="112">
        <f t="shared" si="169"/>
        <v>0</v>
      </c>
      <c r="AP119" s="112">
        <f t="shared" si="169"/>
        <v>0</v>
      </c>
      <c r="AQ119" s="112">
        <f t="shared" si="169"/>
        <v>0</v>
      </c>
      <c r="AR119" s="112">
        <f t="shared" si="169"/>
        <v>0</v>
      </c>
      <c r="AS119" s="105"/>
      <c r="AT119" s="112">
        <f t="shared" si="175"/>
        <v>0</v>
      </c>
      <c r="AU119" s="112">
        <f t="shared" si="175"/>
        <v>0</v>
      </c>
      <c r="AV119" s="112">
        <f t="shared" si="175"/>
        <v>0</v>
      </c>
      <c r="AW119" s="112">
        <f t="shared" si="175"/>
        <v>0</v>
      </c>
      <c r="AX119" s="112">
        <f t="shared" si="175"/>
        <v>0</v>
      </c>
      <c r="AY119" s="112">
        <f t="shared" si="176"/>
        <v>0</v>
      </c>
      <c r="AZ119" s="132">
        <f t="shared" si="180"/>
        <v>1</v>
      </c>
      <c r="BA119" s="132">
        <f t="shared" si="181"/>
        <v>0</v>
      </c>
      <c r="BB119" s="105"/>
      <c r="BC119" s="142">
        <f t="shared" si="182"/>
        <v>0</v>
      </c>
      <c r="BD119" s="142">
        <f t="shared" si="182"/>
        <v>0</v>
      </c>
      <c r="BE119" s="142">
        <f t="shared" si="182"/>
        <v>0</v>
      </c>
      <c r="BF119" s="142">
        <f t="shared" si="182"/>
        <v>0</v>
      </c>
      <c r="BG119" s="142">
        <f t="shared" si="182"/>
        <v>0</v>
      </c>
      <c r="BH119" s="142">
        <f t="shared" si="182"/>
        <v>0</v>
      </c>
      <c r="BI119" s="142">
        <f t="shared" si="183"/>
        <v>0</v>
      </c>
      <c r="BJ119" s="132">
        <f t="shared" si="184"/>
        <v>0</v>
      </c>
      <c r="BK119" s="105"/>
      <c r="BL119" s="112">
        <f t="shared" si="177"/>
        <v>0</v>
      </c>
      <c r="BM119" s="112">
        <f t="shared" si="170"/>
        <v>0</v>
      </c>
      <c r="BN119" s="112">
        <f t="shared" si="171"/>
        <v>0</v>
      </c>
      <c r="BO119" s="112">
        <f t="shared" si="172"/>
        <v>0</v>
      </c>
      <c r="BP119" s="112">
        <f t="shared" si="173"/>
        <v>0</v>
      </c>
      <c r="BQ119" s="112">
        <f t="shared" si="178"/>
        <v>0</v>
      </c>
      <c r="BR119" s="132">
        <f t="shared" si="185"/>
        <v>1</v>
      </c>
      <c r="BS119" s="132">
        <f t="shared" si="186"/>
        <v>0</v>
      </c>
    </row>
    <row r="120" spans="1:71">
      <c r="A120" s="105" t="str">
        <f t="shared" si="165"/>
        <v xml:space="preserve"> </v>
      </c>
      <c r="B120" s="145">
        <f t="shared" si="166"/>
        <v>13652</v>
      </c>
      <c r="C120" s="112">
        <f t="shared" si="167"/>
        <v>0</v>
      </c>
      <c r="D120" s="112">
        <f t="shared" si="168"/>
        <v>0</v>
      </c>
      <c r="E120" s="112">
        <f t="shared" si="168"/>
        <v>0</v>
      </c>
      <c r="F120" s="112">
        <f t="shared" si="168"/>
        <v>0</v>
      </c>
      <c r="G120" s="112">
        <f t="shared" si="168"/>
        <v>0</v>
      </c>
      <c r="H120" s="112">
        <f t="shared" si="168"/>
        <v>0</v>
      </c>
      <c r="I120" s="112">
        <f t="shared" si="168"/>
        <v>0</v>
      </c>
      <c r="J120" s="112">
        <f t="shared" si="168"/>
        <v>0</v>
      </c>
      <c r="K120" s="112">
        <f t="shared" si="168"/>
        <v>0</v>
      </c>
      <c r="L120" s="112">
        <f t="shared" si="168"/>
        <v>0</v>
      </c>
      <c r="M120" s="112">
        <f t="shared" si="168"/>
        <v>0</v>
      </c>
      <c r="N120" s="112">
        <f t="shared" si="168"/>
        <v>0</v>
      </c>
      <c r="O120" s="112">
        <f t="shared" si="168"/>
        <v>0</v>
      </c>
      <c r="P120" s="112">
        <f t="shared" si="168"/>
        <v>0</v>
      </c>
      <c r="Q120" s="112">
        <f t="shared" si="168"/>
        <v>0</v>
      </c>
      <c r="R120" s="112">
        <f t="shared" si="168"/>
        <v>0</v>
      </c>
      <c r="S120" s="112">
        <f t="shared" si="168"/>
        <v>0</v>
      </c>
      <c r="T120" s="112">
        <f t="shared" si="168"/>
        <v>0</v>
      </c>
      <c r="U120" s="112">
        <f t="shared" si="168"/>
        <v>0</v>
      </c>
      <c r="V120" s="112">
        <f t="shared" si="168"/>
        <v>0</v>
      </c>
      <c r="W120" s="112">
        <f t="shared" si="168"/>
        <v>0</v>
      </c>
      <c r="X120" s="112">
        <f t="shared" si="168"/>
        <v>0</v>
      </c>
      <c r="Y120" s="112">
        <f t="shared" si="168"/>
        <v>0</v>
      </c>
      <c r="Z120" s="112">
        <f t="shared" si="168"/>
        <v>0</v>
      </c>
      <c r="AA120" s="112">
        <f t="shared" si="168"/>
        <v>0</v>
      </c>
      <c r="AB120" s="105"/>
      <c r="AC120" s="112">
        <f t="shared" si="169"/>
        <v>0</v>
      </c>
      <c r="AD120" s="112">
        <f t="shared" si="169"/>
        <v>0</v>
      </c>
      <c r="AE120" s="112">
        <f t="shared" si="169"/>
        <v>0</v>
      </c>
      <c r="AF120" s="112">
        <f t="shared" si="169"/>
        <v>0</v>
      </c>
      <c r="AG120" s="112">
        <f t="shared" si="169"/>
        <v>0</v>
      </c>
      <c r="AH120" s="112">
        <f t="shared" si="169"/>
        <v>0</v>
      </c>
      <c r="AI120" s="112">
        <f t="shared" si="169"/>
        <v>0</v>
      </c>
      <c r="AJ120" s="112">
        <f t="shared" si="169"/>
        <v>0</v>
      </c>
      <c r="AK120" s="112">
        <f t="shared" si="169"/>
        <v>0</v>
      </c>
      <c r="AL120" s="112">
        <f t="shared" si="169"/>
        <v>0</v>
      </c>
      <c r="AM120" s="112">
        <f t="shared" si="169"/>
        <v>0</v>
      </c>
      <c r="AN120" s="112">
        <f t="shared" si="169"/>
        <v>0</v>
      </c>
      <c r="AO120" s="112">
        <f t="shared" si="169"/>
        <v>0</v>
      </c>
      <c r="AP120" s="112">
        <f t="shared" si="169"/>
        <v>0</v>
      </c>
      <c r="AQ120" s="112">
        <f t="shared" si="169"/>
        <v>0</v>
      </c>
      <c r="AR120" s="112">
        <f t="shared" si="169"/>
        <v>0</v>
      </c>
      <c r="AS120" s="105"/>
      <c r="AT120" s="112">
        <f t="shared" si="175"/>
        <v>0</v>
      </c>
      <c r="AU120" s="112">
        <f t="shared" si="175"/>
        <v>0</v>
      </c>
      <c r="AV120" s="112">
        <f t="shared" si="175"/>
        <v>0</v>
      </c>
      <c r="AW120" s="112">
        <f t="shared" si="175"/>
        <v>0</v>
      </c>
      <c r="AX120" s="112">
        <f t="shared" si="175"/>
        <v>0</v>
      </c>
      <c r="AY120" s="112">
        <f t="shared" si="176"/>
        <v>0</v>
      </c>
      <c r="AZ120" s="132">
        <f t="shared" si="180"/>
        <v>1</v>
      </c>
      <c r="BA120" s="132">
        <f t="shared" si="181"/>
        <v>0</v>
      </c>
      <c r="BB120" s="105"/>
      <c r="BC120" s="142">
        <f t="shared" si="182"/>
        <v>0</v>
      </c>
      <c r="BD120" s="142">
        <f t="shared" si="182"/>
        <v>0</v>
      </c>
      <c r="BE120" s="142">
        <f t="shared" si="182"/>
        <v>0</v>
      </c>
      <c r="BF120" s="142">
        <f t="shared" si="182"/>
        <v>0</v>
      </c>
      <c r="BG120" s="142">
        <f t="shared" si="182"/>
        <v>0</v>
      </c>
      <c r="BH120" s="142">
        <f t="shared" si="182"/>
        <v>0</v>
      </c>
      <c r="BI120" s="142">
        <f t="shared" si="183"/>
        <v>0</v>
      </c>
      <c r="BJ120" s="132">
        <f t="shared" si="184"/>
        <v>0</v>
      </c>
      <c r="BK120" s="105"/>
      <c r="BL120" s="112">
        <f t="shared" si="177"/>
        <v>0</v>
      </c>
      <c r="BM120" s="112">
        <f t="shared" si="170"/>
        <v>0</v>
      </c>
      <c r="BN120" s="112">
        <f t="shared" si="171"/>
        <v>0</v>
      </c>
      <c r="BO120" s="112">
        <f t="shared" si="172"/>
        <v>0</v>
      </c>
      <c r="BP120" s="112">
        <f t="shared" si="173"/>
        <v>0</v>
      </c>
      <c r="BQ120" s="112">
        <f t="shared" si="178"/>
        <v>0</v>
      </c>
      <c r="BR120" s="132">
        <f t="shared" si="185"/>
        <v>1</v>
      </c>
      <c r="BS120" s="132">
        <f t="shared" si="186"/>
        <v>0</v>
      </c>
    </row>
    <row r="121" spans="1:71">
      <c r="A121" s="105" t="str">
        <f t="shared" si="165"/>
        <v xml:space="preserve"> </v>
      </c>
      <c r="B121" s="145">
        <f t="shared" si="166"/>
        <v>13652</v>
      </c>
      <c r="C121" s="112">
        <f t="shared" si="167"/>
        <v>0</v>
      </c>
      <c r="D121" s="112">
        <f t="shared" si="168"/>
        <v>0</v>
      </c>
      <c r="E121" s="112">
        <f t="shared" si="168"/>
        <v>0</v>
      </c>
      <c r="F121" s="112">
        <f t="shared" si="168"/>
        <v>0</v>
      </c>
      <c r="G121" s="112">
        <f t="shared" si="168"/>
        <v>0</v>
      </c>
      <c r="H121" s="112">
        <f t="shared" si="168"/>
        <v>0</v>
      </c>
      <c r="I121" s="112">
        <f t="shared" si="168"/>
        <v>0</v>
      </c>
      <c r="J121" s="112">
        <f t="shared" si="168"/>
        <v>0</v>
      </c>
      <c r="K121" s="112">
        <f t="shared" si="168"/>
        <v>0</v>
      </c>
      <c r="L121" s="112">
        <f t="shared" si="168"/>
        <v>0</v>
      </c>
      <c r="M121" s="112">
        <f t="shared" si="168"/>
        <v>0</v>
      </c>
      <c r="N121" s="112">
        <f t="shared" si="168"/>
        <v>0</v>
      </c>
      <c r="O121" s="112">
        <f t="shared" si="168"/>
        <v>0</v>
      </c>
      <c r="P121" s="112">
        <f t="shared" si="168"/>
        <v>0</v>
      </c>
      <c r="Q121" s="112">
        <f t="shared" si="168"/>
        <v>0</v>
      </c>
      <c r="R121" s="112">
        <f t="shared" si="168"/>
        <v>0</v>
      </c>
      <c r="S121" s="112">
        <f t="shared" si="168"/>
        <v>0</v>
      </c>
      <c r="T121" s="112">
        <f t="shared" si="168"/>
        <v>0</v>
      </c>
      <c r="U121" s="112">
        <f t="shared" si="168"/>
        <v>0</v>
      </c>
      <c r="V121" s="112">
        <f t="shared" si="168"/>
        <v>0</v>
      </c>
      <c r="W121" s="112">
        <f t="shared" si="168"/>
        <v>0</v>
      </c>
      <c r="X121" s="112">
        <f t="shared" si="168"/>
        <v>0</v>
      </c>
      <c r="Y121" s="112">
        <f t="shared" si="168"/>
        <v>0</v>
      </c>
      <c r="Z121" s="112">
        <f t="shared" si="168"/>
        <v>0</v>
      </c>
      <c r="AA121" s="112">
        <f t="shared" si="168"/>
        <v>0</v>
      </c>
      <c r="AB121" s="105"/>
      <c r="AC121" s="112">
        <f t="shared" si="169"/>
        <v>0</v>
      </c>
      <c r="AD121" s="112">
        <f t="shared" si="169"/>
        <v>0</v>
      </c>
      <c r="AE121" s="112">
        <f t="shared" si="169"/>
        <v>0</v>
      </c>
      <c r="AF121" s="112">
        <f t="shared" si="169"/>
        <v>0</v>
      </c>
      <c r="AG121" s="112">
        <f t="shared" si="169"/>
        <v>0</v>
      </c>
      <c r="AH121" s="112">
        <f t="shared" si="169"/>
        <v>0</v>
      </c>
      <c r="AI121" s="112">
        <f t="shared" si="169"/>
        <v>0</v>
      </c>
      <c r="AJ121" s="112">
        <f t="shared" si="169"/>
        <v>0</v>
      </c>
      <c r="AK121" s="112">
        <f t="shared" si="169"/>
        <v>0</v>
      </c>
      <c r="AL121" s="112">
        <f t="shared" si="169"/>
        <v>0</v>
      </c>
      <c r="AM121" s="112">
        <f t="shared" si="169"/>
        <v>0</v>
      </c>
      <c r="AN121" s="112">
        <f t="shared" si="169"/>
        <v>0</v>
      </c>
      <c r="AO121" s="112">
        <f t="shared" si="169"/>
        <v>0</v>
      </c>
      <c r="AP121" s="112">
        <f t="shared" si="169"/>
        <v>0</v>
      </c>
      <c r="AQ121" s="112">
        <f t="shared" si="169"/>
        <v>0</v>
      </c>
      <c r="AR121" s="112">
        <f t="shared" si="169"/>
        <v>0</v>
      </c>
      <c r="AS121" s="105"/>
      <c r="AT121" s="112">
        <f t="shared" si="175"/>
        <v>0</v>
      </c>
      <c r="AU121" s="112">
        <f t="shared" si="175"/>
        <v>0</v>
      </c>
      <c r="AV121" s="112">
        <f t="shared" si="175"/>
        <v>0</v>
      </c>
      <c r="AW121" s="112">
        <f t="shared" si="175"/>
        <v>0</v>
      </c>
      <c r="AX121" s="112">
        <f t="shared" si="175"/>
        <v>0</v>
      </c>
      <c r="AY121" s="112">
        <f t="shared" si="176"/>
        <v>0</v>
      </c>
      <c r="AZ121" s="132">
        <f t="shared" si="180"/>
        <v>1</v>
      </c>
      <c r="BA121" s="132">
        <f t="shared" si="181"/>
        <v>0</v>
      </c>
      <c r="BB121" s="105"/>
      <c r="BC121" s="142">
        <f t="shared" si="182"/>
        <v>0</v>
      </c>
      <c r="BD121" s="142">
        <f t="shared" si="182"/>
        <v>0</v>
      </c>
      <c r="BE121" s="142">
        <f t="shared" si="182"/>
        <v>0</v>
      </c>
      <c r="BF121" s="142">
        <f t="shared" si="182"/>
        <v>0</v>
      </c>
      <c r="BG121" s="142">
        <f t="shared" si="182"/>
        <v>0</v>
      </c>
      <c r="BH121" s="142">
        <f t="shared" si="182"/>
        <v>0</v>
      </c>
      <c r="BI121" s="142">
        <f t="shared" si="183"/>
        <v>0</v>
      </c>
      <c r="BJ121" s="132">
        <f t="shared" si="184"/>
        <v>0</v>
      </c>
      <c r="BK121" s="105"/>
      <c r="BL121" s="112">
        <f t="shared" si="177"/>
        <v>0</v>
      </c>
      <c r="BM121" s="112">
        <f t="shared" si="170"/>
        <v>0</v>
      </c>
      <c r="BN121" s="112">
        <f t="shared" si="171"/>
        <v>0</v>
      </c>
      <c r="BO121" s="112">
        <f t="shared" si="172"/>
        <v>0</v>
      </c>
      <c r="BP121" s="112">
        <f t="shared" si="173"/>
        <v>0</v>
      </c>
      <c r="BQ121" s="112">
        <f t="shared" si="178"/>
        <v>0</v>
      </c>
      <c r="BR121" s="132">
        <f t="shared" si="185"/>
        <v>1</v>
      </c>
      <c r="BS121" s="132">
        <f t="shared" si="186"/>
        <v>0</v>
      </c>
    </row>
    <row r="122" spans="1:71">
      <c r="A122" s="105" t="str">
        <f t="shared" si="165"/>
        <v xml:space="preserve"> </v>
      </c>
      <c r="B122" s="145">
        <f t="shared" si="166"/>
        <v>13652</v>
      </c>
      <c r="C122" s="112">
        <f t="shared" si="167"/>
        <v>0</v>
      </c>
      <c r="D122" s="112">
        <f t="shared" si="168"/>
        <v>0</v>
      </c>
      <c r="E122" s="112">
        <f t="shared" si="168"/>
        <v>0</v>
      </c>
      <c r="F122" s="112">
        <f t="shared" si="168"/>
        <v>0</v>
      </c>
      <c r="G122" s="112">
        <f t="shared" si="168"/>
        <v>0</v>
      </c>
      <c r="H122" s="112">
        <f t="shared" si="168"/>
        <v>0</v>
      </c>
      <c r="I122" s="112">
        <f t="shared" si="168"/>
        <v>0</v>
      </c>
      <c r="J122" s="112">
        <f t="shared" si="168"/>
        <v>0</v>
      </c>
      <c r="K122" s="112">
        <f t="shared" si="168"/>
        <v>0</v>
      </c>
      <c r="L122" s="112">
        <f t="shared" si="168"/>
        <v>0</v>
      </c>
      <c r="M122" s="112">
        <f t="shared" si="168"/>
        <v>0</v>
      </c>
      <c r="N122" s="112">
        <f t="shared" si="168"/>
        <v>0</v>
      </c>
      <c r="O122" s="112">
        <f t="shared" si="168"/>
        <v>0</v>
      </c>
      <c r="P122" s="112">
        <f t="shared" si="168"/>
        <v>0</v>
      </c>
      <c r="Q122" s="112">
        <f t="shared" si="168"/>
        <v>0</v>
      </c>
      <c r="R122" s="112">
        <f t="shared" si="168"/>
        <v>0</v>
      </c>
      <c r="S122" s="112">
        <f t="shared" si="168"/>
        <v>0</v>
      </c>
      <c r="T122" s="112">
        <f t="shared" si="168"/>
        <v>0</v>
      </c>
      <c r="U122" s="112">
        <f t="shared" si="168"/>
        <v>0</v>
      </c>
      <c r="V122" s="112">
        <f t="shared" si="168"/>
        <v>0</v>
      </c>
      <c r="W122" s="112">
        <f t="shared" si="168"/>
        <v>0</v>
      </c>
      <c r="X122" s="112">
        <f t="shared" si="168"/>
        <v>0</v>
      </c>
      <c r="Y122" s="112">
        <f t="shared" si="168"/>
        <v>0</v>
      </c>
      <c r="Z122" s="112">
        <f t="shared" si="168"/>
        <v>0</v>
      </c>
      <c r="AA122" s="112">
        <f t="shared" si="168"/>
        <v>0</v>
      </c>
      <c r="AB122" s="105"/>
      <c r="AC122" s="112">
        <f t="shared" si="169"/>
        <v>0</v>
      </c>
      <c r="AD122" s="112">
        <f t="shared" si="169"/>
        <v>0</v>
      </c>
      <c r="AE122" s="112">
        <f t="shared" si="169"/>
        <v>0</v>
      </c>
      <c r="AF122" s="112">
        <f t="shared" si="169"/>
        <v>0</v>
      </c>
      <c r="AG122" s="112">
        <f t="shared" si="169"/>
        <v>0</v>
      </c>
      <c r="AH122" s="112">
        <f t="shared" si="169"/>
        <v>0</v>
      </c>
      <c r="AI122" s="112">
        <f t="shared" si="169"/>
        <v>0</v>
      </c>
      <c r="AJ122" s="112">
        <f t="shared" si="169"/>
        <v>0</v>
      </c>
      <c r="AK122" s="112">
        <f t="shared" si="169"/>
        <v>0</v>
      </c>
      <c r="AL122" s="112">
        <f t="shared" si="169"/>
        <v>0</v>
      </c>
      <c r="AM122" s="112">
        <f t="shared" si="169"/>
        <v>0</v>
      </c>
      <c r="AN122" s="112">
        <f t="shared" si="169"/>
        <v>0</v>
      </c>
      <c r="AO122" s="112">
        <f t="shared" si="169"/>
        <v>0</v>
      </c>
      <c r="AP122" s="112">
        <f t="shared" si="169"/>
        <v>0</v>
      </c>
      <c r="AQ122" s="112">
        <f t="shared" si="169"/>
        <v>0</v>
      </c>
      <c r="AR122" s="112">
        <f t="shared" si="169"/>
        <v>0</v>
      </c>
      <c r="AS122" s="105"/>
      <c r="AT122" s="112">
        <f t="shared" si="175"/>
        <v>0</v>
      </c>
      <c r="AU122" s="112">
        <f t="shared" si="175"/>
        <v>0</v>
      </c>
      <c r="AV122" s="112">
        <f t="shared" si="175"/>
        <v>0</v>
      </c>
      <c r="AW122" s="112">
        <f t="shared" si="175"/>
        <v>0</v>
      </c>
      <c r="AX122" s="112">
        <f t="shared" si="175"/>
        <v>0</v>
      </c>
      <c r="AY122" s="112">
        <f t="shared" si="176"/>
        <v>0</v>
      </c>
      <c r="AZ122" s="132">
        <f t="shared" si="180"/>
        <v>1</v>
      </c>
      <c r="BA122" s="132">
        <f t="shared" si="181"/>
        <v>0</v>
      </c>
      <c r="BB122" s="105"/>
      <c r="BC122" s="142">
        <f t="shared" si="182"/>
        <v>0</v>
      </c>
      <c r="BD122" s="142">
        <f t="shared" si="182"/>
        <v>0</v>
      </c>
      <c r="BE122" s="142">
        <f t="shared" si="182"/>
        <v>0</v>
      </c>
      <c r="BF122" s="142">
        <f t="shared" si="182"/>
        <v>0</v>
      </c>
      <c r="BG122" s="142">
        <f t="shared" si="182"/>
        <v>0</v>
      </c>
      <c r="BH122" s="142">
        <f t="shared" si="182"/>
        <v>0</v>
      </c>
      <c r="BI122" s="142">
        <f t="shared" si="183"/>
        <v>0</v>
      </c>
      <c r="BJ122" s="132">
        <f t="shared" si="184"/>
        <v>0</v>
      </c>
      <c r="BK122" s="105"/>
      <c r="BL122" s="112">
        <f t="shared" si="177"/>
        <v>0</v>
      </c>
      <c r="BM122" s="112">
        <f t="shared" si="170"/>
        <v>0</v>
      </c>
      <c r="BN122" s="112">
        <f t="shared" si="171"/>
        <v>0</v>
      </c>
      <c r="BO122" s="112">
        <f t="shared" si="172"/>
        <v>0</v>
      </c>
      <c r="BP122" s="112">
        <f t="shared" si="173"/>
        <v>0</v>
      </c>
      <c r="BQ122" s="112">
        <f t="shared" si="178"/>
        <v>0</v>
      </c>
      <c r="BR122" s="132">
        <f t="shared" si="185"/>
        <v>1</v>
      </c>
      <c r="BS122" s="132">
        <f t="shared" si="186"/>
        <v>0</v>
      </c>
    </row>
    <row r="123" spans="1:71">
      <c r="A123" s="105" t="str">
        <f t="shared" si="165"/>
        <v xml:space="preserve"> </v>
      </c>
      <c r="B123" s="145">
        <f t="shared" si="166"/>
        <v>13652</v>
      </c>
      <c r="C123" s="112">
        <f t="shared" si="167"/>
        <v>0</v>
      </c>
      <c r="D123" s="112">
        <f t="shared" si="168"/>
        <v>0</v>
      </c>
      <c r="E123" s="112">
        <f t="shared" si="168"/>
        <v>0</v>
      </c>
      <c r="F123" s="112">
        <f t="shared" si="168"/>
        <v>0</v>
      </c>
      <c r="G123" s="112">
        <f t="shared" si="168"/>
        <v>0</v>
      </c>
      <c r="H123" s="112">
        <f t="shared" si="168"/>
        <v>0</v>
      </c>
      <c r="I123" s="112">
        <f t="shared" si="168"/>
        <v>0</v>
      </c>
      <c r="J123" s="112">
        <f t="shared" si="168"/>
        <v>0</v>
      </c>
      <c r="K123" s="112">
        <f t="shared" si="168"/>
        <v>0</v>
      </c>
      <c r="L123" s="112">
        <f t="shared" si="168"/>
        <v>0</v>
      </c>
      <c r="M123" s="112">
        <f t="shared" si="168"/>
        <v>0</v>
      </c>
      <c r="N123" s="112">
        <f t="shared" si="168"/>
        <v>0</v>
      </c>
      <c r="O123" s="112">
        <f t="shared" si="168"/>
        <v>0</v>
      </c>
      <c r="P123" s="112">
        <f t="shared" si="168"/>
        <v>0</v>
      </c>
      <c r="Q123" s="112">
        <f t="shared" si="168"/>
        <v>0</v>
      </c>
      <c r="R123" s="112">
        <f t="shared" si="168"/>
        <v>0</v>
      </c>
      <c r="S123" s="112">
        <f t="shared" si="168"/>
        <v>0</v>
      </c>
      <c r="T123" s="112">
        <f t="shared" si="168"/>
        <v>0</v>
      </c>
      <c r="U123" s="112">
        <f t="shared" si="168"/>
        <v>0</v>
      </c>
      <c r="V123" s="112">
        <f t="shared" si="168"/>
        <v>0</v>
      </c>
      <c r="W123" s="112">
        <f t="shared" si="168"/>
        <v>0</v>
      </c>
      <c r="X123" s="112">
        <f t="shared" si="168"/>
        <v>0</v>
      </c>
      <c r="Y123" s="112">
        <f t="shared" si="168"/>
        <v>0</v>
      </c>
      <c r="Z123" s="112">
        <f t="shared" si="168"/>
        <v>0</v>
      </c>
      <c r="AA123" s="112">
        <f t="shared" si="168"/>
        <v>0</v>
      </c>
      <c r="AB123" s="105"/>
      <c r="AC123" s="112">
        <f t="shared" si="169"/>
        <v>0</v>
      </c>
      <c r="AD123" s="112">
        <f t="shared" si="169"/>
        <v>0</v>
      </c>
      <c r="AE123" s="112">
        <f t="shared" si="169"/>
        <v>0</v>
      </c>
      <c r="AF123" s="112">
        <f t="shared" si="169"/>
        <v>0</v>
      </c>
      <c r="AG123" s="112">
        <f t="shared" si="169"/>
        <v>0</v>
      </c>
      <c r="AH123" s="112">
        <f t="shared" si="169"/>
        <v>0</v>
      </c>
      <c r="AI123" s="112">
        <f t="shared" si="169"/>
        <v>0</v>
      </c>
      <c r="AJ123" s="112">
        <f t="shared" si="169"/>
        <v>0</v>
      </c>
      <c r="AK123" s="112">
        <f t="shared" si="169"/>
        <v>0</v>
      </c>
      <c r="AL123" s="112">
        <f t="shared" si="169"/>
        <v>0</v>
      </c>
      <c r="AM123" s="112">
        <f t="shared" si="169"/>
        <v>0</v>
      </c>
      <c r="AN123" s="112">
        <f t="shared" si="169"/>
        <v>0</v>
      </c>
      <c r="AO123" s="112">
        <f t="shared" si="169"/>
        <v>0</v>
      </c>
      <c r="AP123" s="112">
        <f t="shared" si="169"/>
        <v>0</v>
      </c>
      <c r="AQ123" s="112">
        <f t="shared" si="169"/>
        <v>0</v>
      </c>
      <c r="AR123" s="112">
        <f t="shared" si="169"/>
        <v>0</v>
      </c>
      <c r="AS123" s="105"/>
      <c r="AT123" s="112">
        <f t="shared" si="175"/>
        <v>0</v>
      </c>
      <c r="AU123" s="112">
        <f t="shared" si="175"/>
        <v>0</v>
      </c>
      <c r="AV123" s="112">
        <f t="shared" si="175"/>
        <v>0</v>
      </c>
      <c r="AW123" s="112">
        <f t="shared" si="175"/>
        <v>0</v>
      </c>
      <c r="AX123" s="112">
        <f t="shared" si="175"/>
        <v>0</v>
      </c>
      <c r="AY123" s="112">
        <f t="shared" si="176"/>
        <v>0</v>
      </c>
      <c r="AZ123" s="132">
        <f t="shared" si="180"/>
        <v>1</v>
      </c>
      <c r="BA123" s="132">
        <f t="shared" si="181"/>
        <v>0</v>
      </c>
      <c r="BB123" s="105"/>
      <c r="BC123" s="142">
        <f t="shared" si="182"/>
        <v>0</v>
      </c>
      <c r="BD123" s="142">
        <f t="shared" si="182"/>
        <v>0</v>
      </c>
      <c r="BE123" s="142">
        <f t="shared" si="182"/>
        <v>0</v>
      </c>
      <c r="BF123" s="142">
        <f t="shared" si="182"/>
        <v>0</v>
      </c>
      <c r="BG123" s="142">
        <f t="shared" si="182"/>
        <v>0</v>
      </c>
      <c r="BH123" s="142">
        <f t="shared" si="182"/>
        <v>0</v>
      </c>
      <c r="BI123" s="142">
        <f t="shared" si="183"/>
        <v>0</v>
      </c>
      <c r="BJ123" s="132">
        <f t="shared" si="184"/>
        <v>0</v>
      </c>
      <c r="BK123" s="105"/>
      <c r="BL123" s="112">
        <f t="shared" si="177"/>
        <v>0</v>
      </c>
      <c r="BM123" s="112">
        <f t="shared" si="170"/>
        <v>0</v>
      </c>
      <c r="BN123" s="112">
        <f t="shared" si="171"/>
        <v>0</v>
      </c>
      <c r="BO123" s="112">
        <f t="shared" si="172"/>
        <v>0</v>
      </c>
      <c r="BP123" s="112">
        <f t="shared" si="173"/>
        <v>0</v>
      </c>
      <c r="BQ123" s="112">
        <f t="shared" si="178"/>
        <v>0</v>
      </c>
      <c r="BR123" s="132">
        <f t="shared" si="185"/>
        <v>1</v>
      </c>
      <c r="BS123" s="132">
        <f t="shared" si="186"/>
        <v>0</v>
      </c>
    </row>
    <row r="124" spans="1:71">
      <c r="A124" s="105" t="str">
        <f t="shared" si="165"/>
        <v xml:space="preserve"> </v>
      </c>
      <c r="B124" s="145">
        <f t="shared" si="166"/>
        <v>13652</v>
      </c>
      <c r="C124" s="112">
        <f t="shared" si="167"/>
        <v>0</v>
      </c>
      <c r="D124" s="112">
        <f t="shared" si="168"/>
        <v>0</v>
      </c>
      <c r="E124" s="112">
        <f t="shared" si="168"/>
        <v>0</v>
      </c>
      <c r="F124" s="112">
        <f t="shared" si="168"/>
        <v>0</v>
      </c>
      <c r="G124" s="112">
        <f t="shared" si="168"/>
        <v>0</v>
      </c>
      <c r="H124" s="112">
        <f t="shared" si="168"/>
        <v>0</v>
      </c>
      <c r="I124" s="112">
        <f t="shared" si="168"/>
        <v>0</v>
      </c>
      <c r="J124" s="112">
        <f t="shared" si="168"/>
        <v>0</v>
      </c>
      <c r="K124" s="112">
        <f t="shared" si="168"/>
        <v>0</v>
      </c>
      <c r="L124" s="112">
        <f t="shared" si="168"/>
        <v>0</v>
      </c>
      <c r="M124" s="112">
        <f t="shared" si="168"/>
        <v>0</v>
      </c>
      <c r="N124" s="112">
        <f t="shared" si="168"/>
        <v>0</v>
      </c>
      <c r="O124" s="112">
        <f t="shared" si="168"/>
        <v>0</v>
      </c>
      <c r="P124" s="112">
        <f t="shared" si="168"/>
        <v>0</v>
      </c>
      <c r="Q124" s="112">
        <f t="shared" si="168"/>
        <v>0</v>
      </c>
      <c r="R124" s="112">
        <f t="shared" si="168"/>
        <v>0</v>
      </c>
      <c r="S124" s="112">
        <f t="shared" si="168"/>
        <v>0</v>
      </c>
      <c r="T124" s="112">
        <f t="shared" si="168"/>
        <v>0</v>
      </c>
      <c r="U124" s="112">
        <f t="shared" si="168"/>
        <v>0</v>
      </c>
      <c r="V124" s="112">
        <f t="shared" si="168"/>
        <v>0</v>
      </c>
      <c r="W124" s="112">
        <f t="shared" si="168"/>
        <v>0</v>
      </c>
      <c r="X124" s="112">
        <f t="shared" si="168"/>
        <v>0</v>
      </c>
      <c r="Y124" s="112">
        <f t="shared" si="168"/>
        <v>0</v>
      </c>
      <c r="Z124" s="112">
        <f t="shared" si="168"/>
        <v>0</v>
      </c>
      <c r="AA124" s="112">
        <f t="shared" si="168"/>
        <v>0</v>
      </c>
      <c r="AB124" s="105"/>
      <c r="AC124" s="112">
        <f t="shared" si="169"/>
        <v>0</v>
      </c>
      <c r="AD124" s="112">
        <f t="shared" si="169"/>
        <v>0</v>
      </c>
      <c r="AE124" s="112">
        <f t="shared" si="169"/>
        <v>0</v>
      </c>
      <c r="AF124" s="112">
        <f t="shared" si="169"/>
        <v>0</v>
      </c>
      <c r="AG124" s="112">
        <f t="shared" si="169"/>
        <v>0</v>
      </c>
      <c r="AH124" s="112">
        <f t="shared" si="169"/>
        <v>0</v>
      </c>
      <c r="AI124" s="112">
        <f t="shared" si="169"/>
        <v>0</v>
      </c>
      <c r="AJ124" s="112">
        <f t="shared" si="169"/>
        <v>0</v>
      </c>
      <c r="AK124" s="112">
        <f t="shared" si="169"/>
        <v>0</v>
      </c>
      <c r="AL124" s="112">
        <f t="shared" si="169"/>
        <v>0</v>
      </c>
      <c r="AM124" s="112">
        <f t="shared" si="169"/>
        <v>0</v>
      </c>
      <c r="AN124" s="112">
        <f t="shared" si="169"/>
        <v>0</v>
      </c>
      <c r="AO124" s="112">
        <f t="shared" si="169"/>
        <v>0</v>
      </c>
      <c r="AP124" s="112">
        <f t="shared" si="169"/>
        <v>0</v>
      </c>
      <c r="AQ124" s="112">
        <f t="shared" si="169"/>
        <v>0</v>
      </c>
      <c r="AR124" s="112">
        <f t="shared" si="169"/>
        <v>0</v>
      </c>
      <c r="AS124" s="105"/>
      <c r="AT124" s="112">
        <f t="shared" si="175"/>
        <v>0</v>
      </c>
      <c r="AU124" s="112">
        <f t="shared" si="175"/>
        <v>0</v>
      </c>
      <c r="AV124" s="112">
        <f t="shared" si="175"/>
        <v>0</v>
      </c>
      <c r="AW124" s="112">
        <f t="shared" si="175"/>
        <v>0</v>
      </c>
      <c r="AX124" s="112">
        <f t="shared" si="175"/>
        <v>0</v>
      </c>
      <c r="AY124" s="112">
        <f t="shared" si="176"/>
        <v>0</v>
      </c>
      <c r="AZ124" s="132">
        <f t="shared" si="180"/>
        <v>1</v>
      </c>
      <c r="BA124" s="132">
        <f t="shared" si="181"/>
        <v>0</v>
      </c>
      <c r="BB124" s="105"/>
      <c r="BC124" s="142">
        <f t="shared" si="182"/>
        <v>0</v>
      </c>
      <c r="BD124" s="142">
        <f t="shared" si="182"/>
        <v>0</v>
      </c>
      <c r="BE124" s="142">
        <f t="shared" si="182"/>
        <v>0</v>
      </c>
      <c r="BF124" s="142">
        <f t="shared" si="182"/>
        <v>0</v>
      </c>
      <c r="BG124" s="142">
        <f t="shared" si="182"/>
        <v>0</v>
      </c>
      <c r="BH124" s="142">
        <f t="shared" si="182"/>
        <v>0</v>
      </c>
      <c r="BI124" s="142">
        <f t="shared" si="183"/>
        <v>0</v>
      </c>
      <c r="BJ124" s="132">
        <f t="shared" si="184"/>
        <v>0</v>
      </c>
      <c r="BK124" s="105"/>
      <c r="BL124" s="112">
        <f t="shared" si="177"/>
        <v>0</v>
      </c>
      <c r="BM124" s="112">
        <f t="shared" si="170"/>
        <v>0</v>
      </c>
      <c r="BN124" s="112">
        <f t="shared" si="171"/>
        <v>0</v>
      </c>
      <c r="BO124" s="112">
        <f t="shared" si="172"/>
        <v>0</v>
      </c>
      <c r="BP124" s="112">
        <f t="shared" si="173"/>
        <v>0</v>
      </c>
      <c r="BQ124" s="112">
        <f t="shared" si="178"/>
        <v>0</v>
      </c>
      <c r="BR124" s="132">
        <f t="shared" si="185"/>
        <v>1</v>
      </c>
      <c r="BS124" s="132">
        <f t="shared" si="186"/>
        <v>0</v>
      </c>
    </row>
    <row r="125" spans="1:71">
      <c r="A125" s="105" t="str">
        <f t="shared" si="165"/>
        <v xml:space="preserve"> </v>
      </c>
      <c r="B125" s="145">
        <f t="shared" si="166"/>
        <v>13652</v>
      </c>
      <c r="C125" s="112">
        <f t="shared" si="167"/>
        <v>0</v>
      </c>
      <c r="D125" s="112">
        <f t="shared" si="168"/>
        <v>0</v>
      </c>
      <c r="E125" s="112">
        <f t="shared" si="168"/>
        <v>0</v>
      </c>
      <c r="F125" s="112">
        <f t="shared" si="168"/>
        <v>0</v>
      </c>
      <c r="G125" s="112">
        <f t="shared" si="168"/>
        <v>0</v>
      </c>
      <c r="H125" s="112">
        <f t="shared" si="168"/>
        <v>0</v>
      </c>
      <c r="I125" s="112">
        <f t="shared" si="168"/>
        <v>0</v>
      </c>
      <c r="J125" s="112">
        <f t="shared" ref="D125:AA126" si="187">IFERROR(J110/$B125,0)</f>
        <v>0</v>
      </c>
      <c r="K125" s="112">
        <f t="shared" si="187"/>
        <v>0</v>
      </c>
      <c r="L125" s="112">
        <f t="shared" si="187"/>
        <v>0</v>
      </c>
      <c r="M125" s="112">
        <f t="shared" si="187"/>
        <v>0</v>
      </c>
      <c r="N125" s="112">
        <f t="shared" si="187"/>
        <v>0</v>
      </c>
      <c r="O125" s="112">
        <f t="shared" si="187"/>
        <v>0</v>
      </c>
      <c r="P125" s="112">
        <f t="shared" si="187"/>
        <v>0</v>
      </c>
      <c r="Q125" s="112">
        <f t="shared" si="187"/>
        <v>0</v>
      </c>
      <c r="R125" s="112">
        <f t="shared" si="187"/>
        <v>0</v>
      </c>
      <c r="S125" s="112">
        <f t="shared" si="187"/>
        <v>0</v>
      </c>
      <c r="T125" s="112">
        <f t="shared" si="187"/>
        <v>0</v>
      </c>
      <c r="U125" s="112">
        <f t="shared" si="187"/>
        <v>0</v>
      </c>
      <c r="V125" s="112">
        <f t="shared" si="187"/>
        <v>0</v>
      </c>
      <c r="W125" s="112">
        <f t="shared" si="187"/>
        <v>0</v>
      </c>
      <c r="X125" s="112">
        <f t="shared" si="187"/>
        <v>0</v>
      </c>
      <c r="Y125" s="112">
        <f t="shared" si="187"/>
        <v>0</v>
      </c>
      <c r="Z125" s="112">
        <f t="shared" si="187"/>
        <v>0</v>
      </c>
      <c r="AA125" s="112">
        <f t="shared" si="187"/>
        <v>0</v>
      </c>
      <c r="AB125" s="105"/>
      <c r="AC125" s="112">
        <f t="shared" si="169"/>
        <v>0</v>
      </c>
      <c r="AD125" s="112">
        <f t="shared" si="169"/>
        <v>0</v>
      </c>
      <c r="AE125" s="112">
        <f t="shared" si="169"/>
        <v>0</v>
      </c>
      <c r="AF125" s="112">
        <f t="shared" si="169"/>
        <v>0</v>
      </c>
      <c r="AG125" s="112">
        <f t="shared" si="169"/>
        <v>0</v>
      </c>
      <c r="AH125" s="112">
        <f t="shared" si="169"/>
        <v>0</v>
      </c>
      <c r="AI125" s="112">
        <f t="shared" si="169"/>
        <v>0</v>
      </c>
      <c r="AJ125" s="112">
        <f t="shared" si="169"/>
        <v>0</v>
      </c>
      <c r="AK125" s="112">
        <f t="shared" si="169"/>
        <v>0</v>
      </c>
      <c r="AL125" s="112">
        <f t="shared" si="169"/>
        <v>0</v>
      </c>
      <c r="AM125" s="112">
        <f t="shared" si="169"/>
        <v>0</v>
      </c>
      <c r="AN125" s="112">
        <f t="shared" si="169"/>
        <v>0</v>
      </c>
      <c r="AO125" s="112">
        <f t="shared" si="169"/>
        <v>0</v>
      </c>
      <c r="AP125" s="112">
        <f t="shared" si="169"/>
        <v>0</v>
      </c>
      <c r="AQ125" s="112">
        <f t="shared" si="169"/>
        <v>0</v>
      </c>
      <c r="AR125" s="112">
        <f t="shared" si="169"/>
        <v>0</v>
      </c>
      <c r="AS125" s="105"/>
      <c r="AT125" s="112">
        <f t="shared" si="175"/>
        <v>0</v>
      </c>
      <c r="AU125" s="112">
        <f t="shared" si="175"/>
        <v>0</v>
      </c>
      <c r="AV125" s="112">
        <f t="shared" si="175"/>
        <v>0</v>
      </c>
      <c r="AW125" s="112">
        <f t="shared" si="175"/>
        <v>0</v>
      </c>
      <c r="AX125" s="112">
        <f t="shared" si="175"/>
        <v>0</v>
      </c>
      <c r="AY125" s="112">
        <f t="shared" si="176"/>
        <v>0</v>
      </c>
      <c r="AZ125" s="132">
        <f t="shared" si="180"/>
        <v>1</v>
      </c>
      <c r="BA125" s="132">
        <f t="shared" si="181"/>
        <v>0</v>
      </c>
      <c r="BB125" s="105"/>
      <c r="BC125" s="142">
        <f t="shared" si="182"/>
        <v>0</v>
      </c>
      <c r="BD125" s="142">
        <f t="shared" si="182"/>
        <v>0</v>
      </c>
      <c r="BE125" s="142">
        <f t="shared" si="182"/>
        <v>0</v>
      </c>
      <c r="BF125" s="142">
        <f t="shared" si="182"/>
        <v>0</v>
      </c>
      <c r="BG125" s="142">
        <f t="shared" si="182"/>
        <v>0</v>
      </c>
      <c r="BH125" s="142">
        <f t="shared" si="182"/>
        <v>0</v>
      </c>
      <c r="BI125" s="142">
        <f t="shared" si="183"/>
        <v>0</v>
      </c>
      <c r="BJ125" s="132">
        <f t="shared" si="184"/>
        <v>0</v>
      </c>
      <c r="BK125" s="105"/>
      <c r="BL125" s="112">
        <f t="shared" si="177"/>
        <v>0</v>
      </c>
      <c r="BM125" s="112">
        <f t="shared" si="170"/>
        <v>0</v>
      </c>
      <c r="BN125" s="112">
        <f t="shared" si="171"/>
        <v>0</v>
      </c>
      <c r="BO125" s="112">
        <f t="shared" si="172"/>
        <v>0</v>
      </c>
      <c r="BP125" s="112">
        <f t="shared" si="173"/>
        <v>0</v>
      </c>
      <c r="BQ125" s="112">
        <f t="shared" si="178"/>
        <v>0</v>
      </c>
      <c r="BR125" s="132">
        <f t="shared" si="185"/>
        <v>1</v>
      </c>
      <c r="BS125" s="132">
        <f t="shared" si="186"/>
        <v>0</v>
      </c>
    </row>
    <row r="126" spans="1:71">
      <c r="A126" s="105" t="str">
        <f t="shared" si="165"/>
        <v xml:space="preserve"> </v>
      </c>
      <c r="B126" s="145">
        <f t="shared" si="166"/>
        <v>13652</v>
      </c>
      <c r="C126" s="112">
        <f t="shared" si="167"/>
        <v>0</v>
      </c>
      <c r="D126" s="112">
        <f t="shared" si="187"/>
        <v>0</v>
      </c>
      <c r="E126" s="112">
        <f t="shared" si="187"/>
        <v>0</v>
      </c>
      <c r="F126" s="112">
        <f t="shared" si="187"/>
        <v>0</v>
      </c>
      <c r="G126" s="112">
        <f t="shared" si="187"/>
        <v>0</v>
      </c>
      <c r="H126" s="112">
        <f t="shared" si="187"/>
        <v>0</v>
      </c>
      <c r="I126" s="112">
        <f t="shared" si="187"/>
        <v>0</v>
      </c>
      <c r="J126" s="112">
        <f t="shared" si="187"/>
        <v>0</v>
      </c>
      <c r="K126" s="112">
        <f t="shared" si="187"/>
        <v>0</v>
      </c>
      <c r="L126" s="112">
        <f t="shared" si="187"/>
        <v>0</v>
      </c>
      <c r="M126" s="112">
        <f t="shared" si="187"/>
        <v>0</v>
      </c>
      <c r="N126" s="112">
        <f t="shared" si="187"/>
        <v>0</v>
      </c>
      <c r="O126" s="112">
        <f t="shared" si="187"/>
        <v>0</v>
      </c>
      <c r="P126" s="112">
        <f t="shared" si="187"/>
        <v>0</v>
      </c>
      <c r="Q126" s="112">
        <f t="shared" si="187"/>
        <v>0</v>
      </c>
      <c r="R126" s="112">
        <f t="shared" si="187"/>
        <v>0</v>
      </c>
      <c r="S126" s="112">
        <f t="shared" si="187"/>
        <v>0</v>
      </c>
      <c r="T126" s="112">
        <f t="shared" si="187"/>
        <v>0</v>
      </c>
      <c r="U126" s="112">
        <f t="shared" si="187"/>
        <v>0</v>
      </c>
      <c r="V126" s="112">
        <f t="shared" si="187"/>
        <v>0</v>
      </c>
      <c r="W126" s="112">
        <f t="shared" si="187"/>
        <v>0</v>
      </c>
      <c r="X126" s="112">
        <f t="shared" si="187"/>
        <v>0</v>
      </c>
      <c r="Y126" s="112">
        <f t="shared" si="187"/>
        <v>0</v>
      </c>
      <c r="Z126" s="112">
        <f t="shared" si="187"/>
        <v>0</v>
      </c>
      <c r="AA126" s="112">
        <f t="shared" si="187"/>
        <v>0</v>
      </c>
      <c r="AB126" s="105"/>
      <c r="AC126" s="112">
        <f t="shared" si="169"/>
        <v>0</v>
      </c>
      <c r="AD126" s="112">
        <f t="shared" si="169"/>
        <v>0</v>
      </c>
      <c r="AE126" s="112">
        <f t="shared" si="169"/>
        <v>0</v>
      </c>
      <c r="AF126" s="112">
        <f t="shared" si="169"/>
        <v>0</v>
      </c>
      <c r="AG126" s="112">
        <f t="shared" si="169"/>
        <v>0</v>
      </c>
      <c r="AH126" s="112">
        <f t="shared" si="169"/>
        <v>0</v>
      </c>
      <c r="AI126" s="112">
        <f t="shared" si="169"/>
        <v>0</v>
      </c>
      <c r="AJ126" s="112">
        <f t="shared" si="169"/>
        <v>0</v>
      </c>
      <c r="AK126" s="112">
        <f t="shared" si="169"/>
        <v>0</v>
      </c>
      <c r="AL126" s="112">
        <f t="shared" si="169"/>
        <v>0</v>
      </c>
      <c r="AM126" s="112">
        <f t="shared" si="169"/>
        <v>0</v>
      </c>
      <c r="AN126" s="112">
        <f t="shared" si="169"/>
        <v>0</v>
      </c>
      <c r="AO126" s="112">
        <f t="shared" si="169"/>
        <v>0</v>
      </c>
      <c r="AP126" s="112">
        <f t="shared" si="169"/>
        <v>0</v>
      </c>
      <c r="AQ126" s="112">
        <f t="shared" si="169"/>
        <v>0</v>
      </c>
      <c r="AR126" s="112">
        <f t="shared" si="169"/>
        <v>0</v>
      </c>
      <c r="AS126" s="105"/>
      <c r="AT126" s="112">
        <f t="shared" si="175"/>
        <v>0</v>
      </c>
      <c r="AU126" s="112">
        <f t="shared" si="175"/>
        <v>0</v>
      </c>
      <c r="AV126" s="112">
        <f t="shared" si="175"/>
        <v>0</v>
      </c>
      <c r="AW126" s="112">
        <f t="shared" si="175"/>
        <v>0</v>
      </c>
      <c r="AX126" s="112">
        <f t="shared" si="175"/>
        <v>0</v>
      </c>
      <c r="AY126" s="112">
        <f t="shared" si="176"/>
        <v>0</v>
      </c>
      <c r="AZ126" s="132">
        <f t="shared" si="180"/>
        <v>1</v>
      </c>
      <c r="BA126" s="132">
        <f t="shared" si="181"/>
        <v>0</v>
      </c>
      <c r="BB126" s="105"/>
      <c r="BC126" s="142">
        <f t="shared" si="182"/>
        <v>0</v>
      </c>
      <c r="BD126" s="142">
        <f t="shared" si="182"/>
        <v>0</v>
      </c>
      <c r="BE126" s="142">
        <f t="shared" si="182"/>
        <v>0</v>
      </c>
      <c r="BF126" s="142">
        <f t="shared" si="182"/>
        <v>0</v>
      </c>
      <c r="BG126" s="142">
        <f t="shared" si="182"/>
        <v>0</v>
      </c>
      <c r="BH126" s="142">
        <f t="shared" si="182"/>
        <v>0</v>
      </c>
      <c r="BI126" s="142">
        <f t="shared" si="183"/>
        <v>0</v>
      </c>
      <c r="BJ126" s="132">
        <f t="shared" si="184"/>
        <v>0</v>
      </c>
      <c r="BK126" s="105"/>
      <c r="BL126" s="112">
        <f t="shared" si="177"/>
        <v>0</v>
      </c>
      <c r="BM126" s="112">
        <f t="shared" si="170"/>
        <v>0</v>
      </c>
      <c r="BN126" s="112">
        <f t="shared" si="171"/>
        <v>0</v>
      </c>
      <c r="BO126" s="112">
        <f t="shared" si="172"/>
        <v>0</v>
      </c>
      <c r="BP126" s="112">
        <f t="shared" si="173"/>
        <v>0</v>
      </c>
      <c r="BQ126" s="112">
        <f t="shared" si="178"/>
        <v>0</v>
      </c>
      <c r="BR126" s="132">
        <f t="shared" si="185"/>
        <v>1</v>
      </c>
      <c r="BS126" s="132">
        <f t="shared" si="186"/>
        <v>0</v>
      </c>
    </row>
    <row r="127" spans="1:71">
      <c r="A127" s="105"/>
      <c r="B127" s="105"/>
      <c r="C127" s="105"/>
      <c r="D127" s="105"/>
      <c r="E127" s="105"/>
      <c r="F127" s="105"/>
      <c r="G127" s="105"/>
      <c r="H127" s="105"/>
      <c r="I127" s="105"/>
      <c r="J127" s="105"/>
      <c r="K127" s="105"/>
      <c r="L127" s="105"/>
      <c r="M127" s="105"/>
      <c r="N127" s="105"/>
      <c r="O127" s="105"/>
      <c r="P127" s="105"/>
      <c r="Q127" s="105"/>
      <c r="R127" s="105"/>
      <c r="S127" s="105"/>
      <c r="T127" s="105"/>
      <c r="U127" s="105"/>
      <c r="V127" s="105"/>
      <c r="W127" s="105"/>
      <c r="X127" s="105"/>
      <c r="Y127" s="105"/>
      <c r="Z127" s="105"/>
      <c r="AA127" s="105"/>
      <c r="AB127" s="105"/>
      <c r="AC127" s="105"/>
      <c r="AD127" s="105"/>
      <c r="AE127" s="105"/>
      <c r="AF127" s="105"/>
      <c r="AG127" s="105"/>
      <c r="AH127" s="105"/>
      <c r="AI127" s="105"/>
      <c r="AJ127" s="105"/>
      <c r="AK127" s="105"/>
      <c r="AL127" s="105"/>
      <c r="AM127" s="105"/>
      <c r="AN127" s="105"/>
      <c r="AO127" s="105"/>
      <c r="AP127" s="105"/>
      <c r="AQ127" s="105"/>
      <c r="AR127" s="105"/>
      <c r="AS127" s="105"/>
      <c r="AT127" s="105"/>
      <c r="AU127" s="105"/>
      <c r="AV127" s="105"/>
      <c r="AW127" s="105"/>
      <c r="AX127" s="105"/>
      <c r="AY127" s="105"/>
      <c r="AZ127" s="105"/>
      <c r="BA127" s="105"/>
      <c r="BB127" s="105"/>
      <c r="BC127" s="105"/>
      <c r="BD127" s="105"/>
      <c r="BE127" s="105"/>
      <c r="BF127" s="105"/>
      <c r="BG127" s="105"/>
      <c r="BH127" s="105"/>
      <c r="BI127" s="105"/>
      <c r="BJ127" s="105"/>
      <c r="BK127" s="105"/>
      <c r="BL127" s="105"/>
      <c r="BM127" s="105"/>
      <c r="BN127" s="105"/>
      <c r="BO127" s="105"/>
      <c r="BP127" s="105"/>
      <c r="BQ127" s="105"/>
      <c r="BR127" s="105"/>
      <c r="BS127" s="105"/>
    </row>
    <row r="128" spans="1:71" ht="15" customHeight="1" thickBot="1">
      <c r="A128" s="194" t="s">
        <v>319</v>
      </c>
      <c r="B128" s="194"/>
      <c r="C128" s="194"/>
      <c r="D128" s="194"/>
      <c r="E128" s="194"/>
      <c r="F128" s="194"/>
      <c r="G128" s="194"/>
      <c r="H128" s="194"/>
      <c r="I128" s="194"/>
      <c r="J128" s="194"/>
      <c r="K128" s="194"/>
      <c r="L128" s="194"/>
      <c r="M128" s="194"/>
      <c r="N128" s="194"/>
      <c r="O128" s="194"/>
      <c r="P128" s="194"/>
      <c r="Q128" s="194"/>
      <c r="R128" s="194"/>
      <c r="S128" s="194"/>
      <c r="T128" s="194"/>
      <c r="U128" s="194"/>
      <c r="V128" s="194"/>
      <c r="W128" s="194"/>
      <c r="X128" s="194"/>
      <c r="Y128" s="194"/>
      <c r="Z128" s="194"/>
      <c r="AA128" s="194"/>
    </row>
    <row r="129" spans="1:70">
      <c r="A129" s="105" t="str">
        <f>A9</f>
        <v>LEED Baseline</v>
      </c>
      <c r="B129" s="105"/>
      <c r="AZ129" s="40"/>
      <c r="BR129" s="40"/>
    </row>
    <row r="130" spans="1:70">
      <c r="A130" s="105" t="str">
        <f>A10</f>
        <v>Code Baseline</v>
      </c>
      <c r="B130" s="105"/>
      <c r="AZ130" s="40"/>
      <c r="BR130" s="40"/>
    </row>
    <row r="131" spans="1:70" s="136" customFormat="1">
      <c r="A131" s="134" t="str">
        <f>A11</f>
        <v xml:space="preserve"> </v>
      </c>
      <c r="B131" s="134"/>
      <c r="AZ131" s="144"/>
      <c r="BR131" s="144"/>
    </row>
    <row r="132" spans="1:70">
      <c r="A132" s="105" t="str">
        <f t="shared" ref="A132:A140" si="188">A12</f>
        <v>Proposed Design</v>
      </c>
      <c r="B132" s="105"/>
      <c r="AZ132" s="132">
        <f>MAX($AZ102,AVERAGE(MAX($AZ102,$AZ42,$AZ72),LARGE(($AZ102,$AZ42,$AZ72),2)))</f>
        <v>0</v>
      </c>
      <c r="BR132" s="132">
        <f>MAX($BR102,AVERAGE(MAX($BR102,$BR42,$BR72),LARGE(($BR102,$BR42,$BR72),2)))</f>
        <v>0</v>
      </c>
    </row>
    <row r="133" spans="1:70">
      <c r="A133" s="105" t="str">
        <f t="shared" si="188"/>
        <v xml:space="preserve"> </v>
      </c>
      <c r="B133" s="105"/>
      <c r="AZ133" s="132">
        <f>MAX($AZ103,AVERAGE(MAX($AZ103,$AZ43,$AZ73),LARGE(($AZ103,$AZ43,$AZ73),2)))</f>
        <v>1</v>
      </c>
      <c r="BR133" s="132">
        <f>MAX($BR103,AVERAGE(MAX($BR103,$BR43,$BR73),LARGE(($BR103,$BR43,$BR73),2)))</f>
        <v>1</v>
      </c>
    </row>
    <row r="134" spans="1:70">
      <c r="A134" s="105" t="str">
        <f t="shared" si="188"/>
        <v xml:space="preserve"> </v>
      </c>
      <c r="B134" s="105"/>
      <c r="AZ134" s="132">
        <f>MAX($AZ104,AVERAGE(MAX($AZ104,$AZ44,$AZ74),LARGE(($AZ104,$AZ44,$AZ74),2)))</f>
        <v>1</v>
      </c>
      <c r="BR134" s="132">
        <f>MAX($BR104,AVERAGE(MAX($BR104,$BR44,$BR74),LARGE(($BR104,$BR44,$BR74),2)))</f>
        <v>1</v>
      </c>
    </row>
    <row r="135" spans="1:70">
      <c r="A135" s="105" t="str">
        <f t="shared" si="188"/>
        <v xml:space="preserve"> </v>
      </c>
      <c r="B135" s="105"/>
      <c r="AZ135" s="132">
        <f>MAX($AZ105,AVERAGE(MAX($AZ105,$AZ45,$AZ75),LARGE(($AZ105,$AZ45,$AZ75),2)))</f>
        <v>1</v>
      </c>
      <c r="BR135" s="132">
        <f>MAX($BR105,AVERAGE(MAX($BR105,$BR45,$BR75),LARGE(($BR105,$BR45,$BR75),2)))</f>
        <v>1</v>
      </c>
    </row>
    <row r="136" spans="1:70">
      <c r="A136" s="105" t="str">
        <f t="shared" si="188"/>
        <v xml:space="preserve"> </v>
      </c>
      <c r="B136" s="105"/>
      <c r="AZ136" s="132">
        <f>MAX($AZ106,AVERAGE(MAX($AZ106,$AZ46,$AZ76),LARGE(($AZ106,$AZ46,$AZ76),2)))</f>
        <v>1</v>
      </c>
      <c r="BR136" s="132">
        <f>MAX($BR106,AVERAGE(MAX($BR106,$BR46,$BR76),LARGE(($BR106,$BR46,$BR76),2)))</f>
        <v>1</v>
      </c>
    </row>
    <row r="137" spans="1:70">
      <c r="A137" s="105" t="str">
        <f t="shared" si="188"/>
        <v xml:space="preserve"> </v>
      </c>
      <c r="B137" s="105"/>
      <c r="AZ137" s="132">
        <f>MAX($AZ107,AVERAGE(MAX($AZ107,$AZ47,$AZ77),LARGE(($AZ107,$AZ47,$AZ77),2)))</f>
        <v>1</v>
      </c>
      <c r="BR137" s="132">
        <f>MAX($BR107,AVERAGE(MAX($BR107,$BR47,$BR77),LARGE(($BR107,$BR47,$BR77),2)))</f>
        <v>1</v>
      </c>
    </row>
    <row r="138" spans="1:70">
      <c r="A138" s="105" t="str">
        <f t="shared" si="188"/>
        <v xml:space="preserve"> </v>
      </c>
      <c r="B138" s="105"/>
      <c r="AZ138" s="132">
        <f>MAX($AZ108,AVERAGE(MAX($AZ108,$AZ48,$AZ78),LARGE(($AZ108,$AZ48,$AZ78),2)))</f>
        <v>1</v>
      </c>
      <c r="BR138" s="132">
        <f>MAX($BR108,AVERAGE(MAX($BR108,$BR48,$BR78),LARGE(($BR108,$BR48,$BR78),2)))</f>
        <v>1</v>
      </c>
    </row>
    <row r="139" spans="1:70">
      <c r="A139" s="105" t="str">
        <f t="shared" si="188"/>
        <v xml:space="preserve"> </v>
      </c>
      <c r="B139" s="105"/>
      <c r="AZ139" s="132">
        <f>MAX($AZ109,AVERAGE(MAX($AZ109,$AZ49,$AZ79),LARGE(($AZ109,$AZ49,$AZ79),2)))</f>
        <v>1</v>
      </c>
      <c r="BR139" s="132">
        <f>MAX($BR109,AVERAGE(MAX($BR109,$BR49,$BR79),LARGE(($BR109,$BR49,$BR79),2)))</f>
        <v>1</v>
      </c>
    </row>
    <row r="140" spans="1:70">
      <c r="A140" s="4" t="str">
        <f t="shared" si="188"/>
        <v xml:space="preserve"> </v>
      </c>
      <c r="AZ140" s="132">
        <f>MAX($AZ110,AVERAGE(MAX($AZ110,$AZ50,$AZ80),LARGE(($AZ110,$AZ50,$AZ80),2)))</f>
        <v>1</v>
      </c>
      <c r="BR140" s="132">
        <f>MAX($BR110,AVERAGE(MAX($BR110,$BR50,$BR80),LARGE(($BR110,$BR50,$BR80),2)))</f>
        <v>1</v>
      </c>
    </row>
    <row r="141" spans="1:70">
      <c r="A141" s="4" t="str">
        <f>A21</f>
        <v xml:space="preserve"> </v>
      </c>
      <c r="AZ141" s="132">
        <f>MAX($AZ111,AVERAGE(MAX($AZ111,$AZ51,$AZ81),LARGE(($AZ111,$AZ51,$AZ81),2)))</f>
        <v>1</v>
      </c>
      <c r="BR141" s="132">
        <f>MAX($BR111,AVERAGE(MAX($BR111,$BR51,$BR81),LARGE(($BR111,$BR51,$BR81),2)))</f>
        <v>1</v>
      </c>
    </row>
  </sheetData>
  <pageMargins left="0.7" right="0.7" top="0.75" bottom="0.75" header="0.3" footer="0.3"/>
  <pageSetup paperSize="258" orientation="portrait" horizontalDpi="30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1F8817-56DF-4F40-9A06-B000F0ACC542}">
  <dimension ref="A1:AT155"/>
  <sheetViews>
    <sheetView showGridLines="0" workbookViewId="0"/>
  </sheetViews>
  <sheetFormatPr defaultRowHeight="14.4"/>
  <cols>
    <col min="1" max="1" width="3.88671875" customWidth="1"/>
    <col min="2" max="2" width="24.88671875" customWidth="1"/>
    <col min="3" max="9" width="30.88671875" customWidth="1"/>
    <col min="10" max="24" width="12.88671875" customWidth="1"/>
  </cols>
  <sheetData>
    <row r="1" spans="1:46" s="79" customFormat="1" ht="15">
      <c r="A1" s="77" t="s">
        <v>320</v>
      </c>
      <c r="B1" s="77"/>
      <c r="C1" s="77"/>
      <c r="D1" s="77"/>
      <c r="E1" s="77"/>
      <c r="F1" s="77"/>
      <c r="G1" s="77"/>
      <c r="H1" s="77"/>
      <c r="I1" s="77"/>
      <c r="J1" s="77"/>
      <c r="K1" s="77"/>
      <c r="L1" s="77"/>
      <c r="M1" s="77"/>
      <c r="N1" s="77"/>
      <c r="O1" s="77"/>
      <c r="P1" s="77"/>
      <c r="Q1" s="77"/>
      <c r="R1" s="77"/>
      <c r="S1" s="77"/>
      <c r="T1" s="77"/>
      <c r="U1" s="77"/>
      <c r="V1" s="77"/>
      <c r="W1" s="77"/>
      <c r="X1" s="77"/>
      <c r="Y1" s="77"/>
      <c r="Z1" s="77"/>
      <c r="AA1" s="77"/>
      <c r="AB1" s="77"/>
      <c r="AC1" s="77"/>
      <c r="AD1" s="77"/>
      <c r="AE1" s="77"/>
      <c r="AF1" s="77"/>
      <c r="AG1" s="77"/>
      <c r="AH1" s="77"/>
      <c r="AI1" s="77"/>
      <c r="AJ1" s="77"/>
      <c r="AK1" s="77"/>
      <c r="AL1" s="77"/>
      <c r="AM1" s="77"/>
      <c r="AN1" s="77"/>
      <c r="AO1" s="77"/>
      <c r="AP1" s="77"/>
      <c r="AQ1" s="77"/>
      <c r="AR1" s="77"/>
      <c r="AS1" s="77"/>
      <c r="AT1" s="77"/>
    </row>
    <row r="3" spans="1:46" ht="28.2" thickBot="1">
      <c r="B3" s="193" t="s">
        <v>321</v>
      </c>
      <c r="C3" s="193" t="str">
        <f>Menus!$M$2</f>
        <v>None</v>
      </c>
      <c r="D3" s="193" t="str">
        <f>Menus!$M$3</f>
        <v>LEED v2009</v>
      </c>
      <c r="E3" s="193" t="str">
        <f>Menus!$M$4</f>
        <v>LEED v4</v>
      </c>
      <c r="F3" s="193" t="str">
        <f>Menus!$M$5</f>
        <v>LEED v4 Energy Update</v>
      </c>
      <c r="G3" s="193" t="str">
        <f>Menus!$M$6</f>
        <v>LEED v4.1</v>
      </c>
      <c r="H3" s="193" t="str">
        <f>Menus!$M$7</f>
        <v>LEED v5 (registered before 1/1/2028)</v>
      </c>
      <c r="I3" s="193" t="str">
        <f>Menus!$M$8</f>
        <v>LEED v5 (registered after 1/1/2028)</v>
      </c>
    </row>
    <row r="4" spans="1:46">
      <c r="B4" s="59" t="s">
        <v>322</v>
      </c>
      <c r="C4" s="59" t="s">
        <v>65</v>
      </c>
      <c r="D4" s="59" t="s">
        <v>65</v>
      </c>
      <c r="E4" s="59" t="s">
        <v>65</v>
      </c>
      <c r="F4" s="59" t="s">
        <v>65</v>
      </c>
      <c r="G4" s="59" t="s">
        <v>65</v>
      </c>
      <c r="H4" s="59" t="s">
        <v>65</v>
      </c>
      <c r="I4" s="59" t="s">
        <v>65</v>
      </c>
    </row>
    <row r="5" spans="1:46">
      <c r="B5" s="59" t="s">
        <v>323</v>
      </c>
      <c r="C5" s="59" t="s">
        <v>65</v>
      </c>
      <c r="D5" s="59" t="s">
        <v>65</v>
      </c>
      <c r="E5" s="59" t="s">
        <v>65</v>
      </c>
      <c r="F5" s="59" t="s">
        <v>66</v>
      </c>
      <c r="G5" s="59" t="s">
        <v>65</v>
      </c>
      <c r="H5" s="59" t="s">
        <v>66</v>
      </c>
      <c r="I5" s="59" t="s">
        <v>66</v>
      </c>
    </row>
    <row r="6" spans="1:46">
      <c r="B6" s="59" t="s">
        <v>302</v>
      </c>
      <c r="C6" s="59" t="s">
        <v>65</v>
      </c>
      <c r="D6" s="59" t="s">
        <v>65</v>
      </c>
      <c r="E6" s="59" t="s">
        <v>65</v>
      </c>
      <c r="F6" s="59" t="s">
        <v>66</v>
      </c>
      <c r="G6" s="59" t="s">
        <v>66</v>
      </c>
      <c r="H6" s="59" t="s">
        <v>65</v>
      </c>
      <c r="I6" s="59" t="s">
        <v>65</v>
      </c>
    </row>
    <row r="7" spans="1:46">
      <c r="B7" s="59" t="s">
        <v>324</v>
      </c>
      <c r="C7" s="59" t="s">
        <v>65</v>
      </c>
      <c r="D7" s="59" t="s">
        <v>66</v>
      </c>
      <c r="E7" s="59" t="s">
        <v>66</v>
      </c>
      <c r="F7" s="59" t="s">
        <v>66</v>
      </c>
      <c r="G7" s="59" t="s">
        <v>66</v>
      </c>
      <c r="H7" s="59" t="s">
        <v>65</v>
      </c>
      <c r="I7" s="59" t="s">
        <v>65</v>
      </c>
    </row>
    <row r="9" spans="1:46" ht="28.2" thickBot="1">
      <c r="B9" s="193"/>
      <c r="C9" s="193" t="str">
        <f>Menus!$M$2</f>
        <v>None</v>
      </c>
      <c r="D9" s="193" t="str">
        <f>Menus!$M$3</f>
        <v>LEED v2009</v>
      </c>
      <c r="E9" s="193" t="str">
        <f>Menus!$M$4</f>
        <v>LEED v4</v>
      </c>
      <c r="F9" s="193" t="str">
        <f>Menus!$M$5</f>
        <v>LEED v4 Energy Update</v>
      </c>
      <c r="G9" s="193" t="str">
        <f>Menus!$M$6</f>
        <v>LEED v4.1</v>
      </c>
      <c r="H9" s="193" t="str">
        <f>Menus!$M$7</f>
        <v>LEED v5 (registered before 1/1/2028)</v>
      </c>
      <c r="I9" s="193" t="str">
        <f>Menus!$M$8</f>
        <v>LEED v5 (registered after 1/1/2028)</v>
      </c>
    </row>
    <row r="10" spans="1:46">
      <c r="B10" s="59" t="s">
        <v>325</v>
      </c>
      <c r="C10" s="206"/>
      <c r="D10" s="59" t="s">
        <v>326</v>
      </c>
      <c r="E10" s="59" t="s">
        <v>326</v>
      </c>
      <c r="F10" s="59" t="s">
        <v>327</v>
      </c>
      <c r="G10" s="59" t="s">
        <v>327</v>
      </c>
      <c r="H10" s="59" t="s">
        <v>328</v>
      </c>
      <c r="I10" s="59" t="str">
        <f>H10</f>
        <v>Enhanced Energy Efficiency</v>
      </c>
    </row>
    <row r="11" spans="1:46">
      <c r="B11" s="59" t="s">
        <v>329</v>
      </c>
      <c r="C11" s="206"/>
      <c r="D11" s="206"/>
      <c r="E11" s="59" t="s">
        <v>330</v>
      </c>
      <c r="F11" s="59" t="s">
        <v>331</v>
      </c>
      <c r="G11" s="59" t="s">
        <v>331</v>
      </c>
      <c r="H11" s="59" t="s">
        <v>332</v>
      </c>
      <c r="I11" s="59" t="str">
        <f t="shared" ref="I11" si="0">H11</f>
        <v xml:space="preserve">   (with Renewables)</v>
      </c>
    </row>
    <row r="12" spans="1:46">
      <c r="B12" s="59" t="s">
        <v>333</v>
      </c>
      <c r="C12" s="206"/>
      <c r="D12" s="59" t="s">
        <v>334</v>
      </c>
      <c r="E12" s="59" t="s">
        <v>335</v>
      </c>
      <c r="F12" s="59" t="s">
        <v>335</v>
      </c>
      <c r="G12" s="59" t="s">
        <v>240</v>
      </c>
      <c r="H12" s="212" t="s">
        <v>240</v>
      </c>
      <c r="I12" s="59" t="str">
        <f>H12</f>
        <v>Renewable Energy</v>
      </c>
    </row>
    <row r="13" spans="1:46">
      <c r="B13" s="59" t="s">
        <v>336</v>
      </c>
      <c r="C13" s="206"/>
      <c r="D13" s="206"/>
      <c r="E13" s="206"/>
      <c r="F13" s="206"/>
      <c r="G13" s="206"/>
      <c r="H13" s="59" t="s">
        <v>337</v>
      </c>
      <c r="I13" s="59" t="str">
        <f t="shared" ref="I13:I14" si="1">H13</f>
        <v>Electrification</v>
      </c>
    </row>
    <row r="14" spans="1:46">
      <c r="B14" s="59" t="s">
        <v>338</v>
      </c>
      <c r="C14" s="206"/>
      <c r="D14" s="206"/>
      <c r="E14" s="206"/>
      <c r="F14" s="206"/>
      <c r="G14" s="206"/>
      <c r="H14" s="59" t="s">
        <v>339</v>
      </c>
      <c r="I14" s="59" t="str">
        <f t="shared" si="1"/>
        <v>Reduced Peak Thermal Loads</v>
      </c>
    </row>
    <row r="15" spans="1:46">
      <c r="B15" s="59" t="str">
        <f>_xlfn.CONCAT(B10," Savings")</f>
        <v>Credit 1 Savings</v>
      </c>
      <c r="C15" s="206"/>
      <c r="D15" s="198">
        <f>IFERROR(INDEX(Calculations!$BR$102:$BR$111,MATCH(Report!$C$4,Calculations!$A$12:$A$21,0)),0)</f>
        <v>0</v>
      </c>
      <c r="E15" s="198">
        <f>IFERROR(INDEX(Calculations!$BR$102:$BR$111,MATCH(Report!$C$4,Calculations!$A$12:$A$21,0)),0)</f>
        <v>0</v>
      </c>
      <c r="F15" s="198">
        <f>IFERROR(INDEX(Calculations!$BR$102:$BR$111,MATCH(Report!$C$4,Calculations!$A$12:$A$21,0)),0)</f>
        <v>0</v>
      </c>
      <c r="G15" s="198">
        <f>IFERROR(INDEX(Calculations!$BR$102:$BR$111,MATCH(Report!$C$4,Calculations!$A$12:$A$21,0)),0)</f>
        <v>0</v>
      </c>
      <c r="H15" s="198">
        <f>IFERROR(INDEX(Calculations!$AZ$42:$AZ$51,MATCH(Report!$C$4,Calculations!$A$12:$A$21,0)),0)</f>
        <v>0</v>
      </c>
      <c r="I15" s="198">
        <f>IFERROR(INDEX(Calculations!$AZ$42:$AZ$51,MATCH(Report!$C$4,Calculations!$A$12:$A$21,0)),0)</f>
        <v>0</v>
      </c>
    </row>
    <row r="16" spans="1:46">
      <c r="B16" s="59" t="str">
        <f t="shared" ref="B16:B19" si="2">_xlfn.CONCAT(B11," Savings")</f>
        <v>Credit 2 Savings</v>
      </c>
      <c r="C16" s="206"/>
      <c r="D16" s="206"/>
      <c r="E16" s="198">
        <f>IFERROR(INDEX(Calculations!$BR$132:$BR$141,MATCH(Report!$C$4,Calculations!$A$12:$A$21,0)),0)</f>
        <v>0</v>
      </c>
      <c r="F16" s="198">
        <f>IFERROR(INDEX(Calculations!$BR$72:$BR$81,MATCH(Report!$C$4,Calculations!$A$12:$A$21,0)),0)</f>
        <v>0</v>
      </c>
      <c r="G16" s="198">
        <f>IFERROR(INDEX(Calculations!$BR$72:$BR$81,MATCH(Report!$C$4,Calculations!$A$12:$A$21,0)),0)</f>
        <v>0</v>
      </c>
      <c r="H16" s="198">
        <f>IFERROR(INDEX(Calculations!$BR$42:$BR$51,MATCH(Report!$C$4,Calculations!$A$12:$A$21,0)),0)</f>
        <v>0</v>
      </c>
      <c r="I16" s="198">
        <f>IFERROR(INDEX(Calculations!$BR$42:$BR$51,MATCH(Report!$C$4,Calculations!$A$12:$A$21,0)),0)</f>
        <v>0</v>
      </c>
    </row>
    <row r="17" spans="2:9">
      <c r="B17" s="59" t="str">
        <f t="shared" si="2"/>
        <v>Credit 3 Savings</v>
      </c>
      <c r="C17" s="206"/>
      <c r="D17" s="198">
        <f>IFERROR(INDEX(Calculations!$BJ$102:$BJ$111,MATCH(Report!$C$4,Calculations!$A$12:$A$21,0)),0)</f>
        <v>0</v>
      </c>
      <c r="E17" s="198">
        <f>IFERROR(INDEX(Calculations!$BJ$102:$BJ$111,MATCH(Report!$C$4,Calculations!$A$12:$A$21,0)),0)</f>
        <v>0</v>
      </c>
      <c r="F17" s="198">
        <f>IFERROR(INDEX(Calculations!$BJ$102:$BJ$111,MATCH(Report!$C$4,Calculations!$A$12:$A$21,0)),0)</f>
        <v>0</v>
      </c>
      <c r="G17" s="198">
        <f>IFERROR(INDEX(Calculations!$BJ$72:$BJ$81,MATCH(Report!$C$4,Calculations!$A$12:$A$21,0)),0)</f>
        <v>0</v>
      </c>
      <c r="H17" s="198">
        <f>IFERROR(INDEX(Calculations!$BJ$12:$BJ$21,MATCH(Report!$C$4,Calculations!$A$12:$A$21,0)),0)</f>
        <v>0</v>
      </c>
      <c r="I17" s="198">
        <f>IFERROR(INDEX(Calculations!$BJ$12:$BJ$21,MATCH(Report!$C$4,Calculations!$A$12:$A$21,0)),0)</f>
        <v>0</v>
      </c>
    </row>
    <row r="18" spans="2:9">
      <c r="B18" s="59" t="str">
        <f t="shared" si="2"/>
        <v>Credit 4 Savings</v>
      </c>
      <c r="C18" s="206"/>
      <c r="D18" s="206"/>
      <c r="E18" s="206"/>
      <c r="F18" s="206"/>
      <c r="G18" s="206"/>
      <c r="H18" s="198">
        <f>IFERROR(IF(AND(INDEX(Calculations!$BM$12:$BM$21,MATCH(Report!$C$4,Calculations!$A$12:$A$21,0))=0,INDEX(Calculations!$BN$12:$BN$21,MATCH(Report!$C$4,Calculations!$A$12:$A$21,0))=0),1,0),0)</f>
        <v>1</v>
      </c>
      <c r="I18" s="198">
        <f>IFERROR(IF(AND(INDEX(Calculations!$BM$12:$BM$21,MATCH(Report!$C$4,Calculations!$A$12:$A$21,0))=0,INDEX(Calculations!$BN$12:$BN$21,MATCH(Report!$C$4,Calculations!$A$12:$A$21,0))=0),1,0),0)</f>
        <v>1</v>
      </c>
    </row>
    <row r="19" spans="2:9">
      <c r="B19" s="59" t="str">
        <f t="shared" si="2"/>
        <v>Credit 5 Savings</v>
      </c>
      <c r="C19" s="206"/>
      <c r="D19" s="206"/>
      <c r="E19" s="206"/>
      <c r="F19" s="206"/>
      <c r="G19" s="206"/>
      <c r="H19" s="59"/>
      <c r="I19" s="59"/>
    </row>
    <row r="20" spans="2:9">
      <c r="B20" s="59" t="str">
        <f>_xlfn.CONCAT(B10," Points")</f>
        <v>Credit 1 Points</v>
      </c>
      <c r="C20" s="206"/>
      <c r="D20" s="59">
        <f>IFERROR(INDEX(D48:D67,MATCH(D15,D26:D45,1)),0)</f>
        <v>0</v>
      </c>
      <c r="E20" s="59">
        <f t="shared" ref="E20:I20" si="3">IFERROR(INDEX(E48:E67,MATCH(E15,E26:E45,1)),0)</f>
        <v>0</v>
      </c>
      <c r="F20" s="59">
        <f t="shared" si="3"/>
        <v>0</v>
      </c>
      <c r="G20" s="59">
        <f t="shared" si="3"/>
        <v>0</v>
      </c>
      <c r="H20" s="59">
        <f>IFERROR(INDEX(H48:H67,MATCH(H15,H26:H45,1)),0)</f>
        <v>0</v>
      </c>
      <c r="I20" s="59">
        <f t="shared" si="3"/>
        <v>1</v>
      </c>
    </row>
    <row r="21" spans="2:9">
      <c r="B21" s="59" t="str">
        <f t="shared" ref="B21:B24" si="4">_xlfn.CONCAT(B11," Points")</f>
        <v>Credit 2 Points</v>
      </c>
      <c r="C21" s="206"/>
      <c r="D21" s="206"/>
      <c r="E21" s="59">
        <f>IFERROR(INDEX(E92:E111,MATCH(E16,E70:E89,1)),0)</f>
        <v>0</v>
      </c>
      <c r="F21" s="59">
        <f t="shared" ref="F21:I21" si="5">IFERROR(INDEX(F92:F111,MATCH(F16,F70:F89,1)),0)</f>
        <v>0</v>
      </c>
      <c r="G21" s="59">
        <f t="shared" si="5"/>
        <v>0</v>
      </c>
      <c r="H21" s="59">
        <f t="shared" si="5"/>
        <v>0</v>
      </c>
      <c r="I21" s="59">
        <f t="shared" si="5"/>
        <v>0</v>
      </c>
    </row>
    <row r="22" spans="2:9">
      <c r="B22" s="59" t="str">
        <f t="shared" si="4"/>
        <v>Credit 3 Points</v>
      </c>
      <c r="C22" s="206"/>
      <c r="D22" s="59">
        <f>IFERROR(INDEX(D136:D155,MATCH(D17,D114:D133,1)),0)</f>
        <v>0</v>
      </c>
      <c r="E22" s="59">
        <f t="shared" ref="E22:I22" si="6">IFERROR(INDEX(E136:E155,MATCH(E17,E114:E133,1)),0)</f>
        <v>0</v>
      </c>
      <c r="F22" s="59">
        <f t="shared" si="6"/>
        <v>0</v>
      </c>
      <c r="G22" s="59">
        <f t="shared" si="6"/>
        <v>0</v>
      </c>
      <c r="H22" s="59">
        <f t="shared" si="6"/>
        <v>0</v>
      </c>
      <c r="I22" s="59">
        <f t="shared" si="6"/>
        <v>0</v>
      </c>
    </row>
    <row r="23" spans="2:9">
      <c r="B23" s="59" t="str">
        <f t="shared" si="4"/>
        <v>Credit 4 Points</v>
      </c>
      <c r="C23" s="206"/>
      <c r="D23" s="206"/>
      <c r="E23" s="206"/>
      <c r="F23" s="206"/>
      <c r="G23" s="206"/>
      <c r="H23" s="59"/>
      <c r="I23" s="59"/>
    </row>
    <row r="24" spans="2:9">
      <c r="B24" s="59" t="str">
        <f t="shared" si="4"/>
        <v>Credit 5 Points</v>
      </c>
      <c r="C24" s="206"/>
      <c r="D24" s="206"/>
      <c r="E24" s="206"/>
      <c r="F24" s="206"/>
      <c r="G24" s="206"/>
      <c r="H24" s="59"/>
      <c r="I24" s="59"/>
    </row>
    <row r="26" spans="2:9">
      <c r="B26" s="59" t="str">
        <f>_xlfn.CONCAT(B$10," Thresholds")</f>
        <v>Credit 1 Thresholds</v>
      </c>
      <c r="C26" s="206"/>
      <c r="D26" s="198">
        <f>'RefTable LEED'!K6</f>
        <v>0</v>
      </c>
      <c r="E26" s="198">
        <f>'RefTable LEED'!V6</f>
        <v>0</v>
      </c>
      <c r="F26" s="198">
        <f>'RefTable LEED'!AG6</f>
        <v>0</v>
      </c>
      <c r="G26" s="198">
        <f>'RefTable LEED'!AR6</f>
        <v>0</v>
      </c>
      <c r="H26" s="198">
        <f>'RefTable LEED'!BC6</f>
        <v>0</v>
      </c>
      <c r="I26" s="198">
        <f>'RefTable LEED'!BN5</f>
        <v>0</v>
      </c>
    </row>
    <row r="27" spans="2:9">
      <c r="B27" s="59"/>
      <c r="C27" s="206"/>
      <c r="D27" s="198">
        <f>'RefTable LEED'!K7</f>
        <v>0.12</v>
      </c>
      <c r="E27" s="198">
        <f>'RefTable LEED'!V7</f>
        <v>0.06</v>
      </c>
      <c r="F27" s="198">
        <f>'RefTable LEED'!AG7</f>
        <v>0.2</v>
      </c>
      <c r="G27" s="198">
        <f>'RefTable LEED'!AR7</f>
        <v>0.05</v>
      </c>
      <c r="H27" s="198">
        <f>'RefTable LEED'!BC7</f>
        <v>0.03</v>
      </c>
      <c r="I27" s="198">
        <f>'RefTable LEED'!BN6</f>
        <v>0</v>
      </c>
    </row>
    <row r="28" spans="2:9">
      <c r="B28" s="59"/>
      <c r="C28" s="206"/>
      <c r="D28" s="198">
        <f>'RefTable LEED'!K8</f>
        <v>0.14000000000000001</v>
      </c>
      <c r="E28" s="198">
        <f>'RefTable LEED'!V8</f>
        <v>0.08</v>
      </c>
      <c r="F28" s="198">
        <f>'RefTable LEED'!AG8</f>
        <v>0.25</v>
      </c>
      <c r="G28" s="198">
        <f>'RefTable LEED'!AR8</f>
        <v>0.1</v>
      </c>
      <c r="H28" s="198">
        <f>'RefTable LEED'!BC8</f>
        <v>0.09</v>
      </c>
      <c r="I28" s="198">
        <f>'RefTable LEED'!BN7</f>
        <v>0.03</v>
      </c>
    </row>
    <row r="29" spans="2:9">
      <c r="B29" s="59"/>
      <c r="C29" s="206"/>
      <c r="D29" s="198">
        <f>'RefTable LEED'!K9</f>
        <v>0.16</v>
      </c>
      <c r="E29" s="198">
        <f>'RefTable LEED'!V9</f>
        <v>0.1</v>
      </c>
      <c r="F29" s="198">
        <f>'RefTable LEED'!AG9</f>
        <v>0.3</v>
      </c>
      <c r="G29" s="198">
        <f>'RefTable LEED'!AR9</f>
        <v>0.15</v>
      </c>
      <c r="H29" s="198">
        <f>'RefTable LEED'!BC9</f>
        <v>0.12</v>
      </c>
      <c r="I29" s="198">
        <f>'RefTable LEED'!BN8</f>
        <v>0.09</v>
      </c>
    </row>
    <row r="30" spans="2:9">
      <c r="B30" s="59"/>
      <c r="C30" s="206"/>
      <c r="D30" s="198">
        <f>'RefTable LEED'!K10</f>
        <v>0.18</v>
      </c>
      <c r="E30" s="198">
        <f>'RefTable LEED'!V10</f>
        <v>0.12</v>
      </c>
      <c r="F30" s="198">
        <f>'RefTable LEED'!AG10</f>
        <v>0.35</v>
      </c>
      <c r="G30" s="198">
        <f>'RefTable LEED'!AR10</f>
        <v>0.2</v>
      </c>
      <c r="H30" s="198">
        <f>'RefTable LEED'!BC10</f>
        <v>0.15</v>
      </c>
      <c r="I30" s="198">
        <f>'RefTable LEED'!BN9</f>
        <v>0.12</v>
      </c>
    </row>
    <row r="31" spans="2:9">
      <c r="B31" s="59"/>
      <c r="C31" s="206"/>
      <c r="D31" s="198">
        <f>'RefTable LEED'!K11</f>
        <v>0.2</v>
      </c>
      <c r="E31" s="198">
        <f>'RefTable LEED'!V11</f>
        <v>0.14000000000000001</v>
      </c>
      <c r="F31" s="198">
        <f>'RefTable LEED'!AG11</f>
        <v>0.4</v>
      </c>
      <c r="G31" s="198">
        <f>'RefTable LEED'!AR11</f>
        <v>0.25</v>
      </c>
      <c r="H31" s="198">
        <f>'RefTable LEED'!BC11</f>
        <v>0.18</v>
      </c>
      <c r="I31" s="198">
        <f>'RefTable LEED'!BN10</f>
        <v>0.15</v>
      </c>
    </row>
    <row r="32" spans="2:9">
      <c r="B32" s="59"/>
      <c r="C32" s="206"/>
      <c r="D32" s="198">
        <f>'RefTable LEED'!K12</f>
        <v>0.22</v>
      </c>
      <c r="E32" s="198">
        <f>'RefTable LEED'!V12</f>
        <v>0.16</v>
      </c>
      <c r="F32" s="198">
        <f>'RefTable LEED'!AG12</f>
        <v>0.45</v>
      </c>
      <c r="G32" s="198">
        <f>'RefTable LEED'!AR12</f>
        <v>0.3</v>
      </c>
      <c r="H32" s="198">
        <f>'RefTable LEED'!BC12</f>
        <v>0.21</v>
      </c>
      <c r="I32" s="198">
        <f>'RefTable LEED'!BN11</f>
        <v>0.18</v>
      </c>
    </row>
    <row r="33" spans="2:9">
      <c r="B33" s="59"/>
      <c r="C33" s="206"/>
      <c r="D33" s="198">
        <f>'RefTable LEED'!K13</f>
        <v>0.24</v>
      </c>
      <c r="E33" s="198">
        <f>'RefTable LEED'!V13</f>
        <v>0.18</v>
      </c>
      <c r="F33" s="198">
        <f>'RefTable LEED'!AG13</f>
        <v>0.5</v>
      </c>
      <c r="G33" s="198">
        <f>'RefTable LEED'!AR13</f>
        <v>0.35</v>
      </c>
      <c r="H33" s="198">
        <f>'RefTable LEED'!BC13</f>
        <v>0.24</v>
      </c>
      <c r="I33" s="198">
        <f>'RefTable LEED'!BN12</f>
        <v>0.21</v>
      </c>
    </row>
    <row r="34" spans="2:9">
      <c r="B34" s="59"/>
      <c r="C34" s="206"/>
      <c r="D34" s="198">
        <f>'RefTable LEED'!K14</f>
        <v>0.26</v>
      </c>
      <c r="E34" s="198">
        <f>'RefTable LEED'!V14</f>
        <v>0.2</v>
      </c>
      <c r="F34" s="198">
        <f>'RefTable LEED'!AG14</f>
        <v>0.55000000000000004</v>
      </c>
      <c r="G34" s="198">
        <f>'RefTable LEED'!AR14</f>
        <v>0.4</v>
      </c>
      <c r="H34" s="198">
        <f>'RefTable LEED'!BC14</f>
        <v>0.27</v>
      </c>
      <c r="I34" s="198">
        <f>'RefTable LEED'!BN13</f>
        <v>0.24</v>
      </c>
    </row>
    <row r="35" spans="2:9">
      <c r="B35" s="59"/>
      <c r="C35" s="206"/>
      <c r="D35" s="198">
        <f>'RefTable LEED'!K15</f>
        <v>0.28000000000000003</v>
      </c>
      <c r="E35" s="198">
        <f>'RefTable LEED'!V15</f>
        <v>0.22</v>
      </c>
      <c r="F35" s="198">
        <f>'RefTable LEED'!AG15</f>
        <v>0.6</v>
      </c>
      <c r="G35" s="198">
        <f>'RefTable LEED'!AR15</f>
        <v>0.45</v>
      </c>
      <c r="H35" s="198">
        <f>'RefTable LEED'!BC15</f>
        <v>0.3</v>
      </c>
      <c r="I35" s="198">
        <f>'RefTable LEED'!BN14</f>
        <v>0.27</v>
      </c>
    </row>
    <row r="36" spans="2:9">
      <c r="B36" s="59"/>
      <c r="C36" s="206"/>
      <c r="D36" s="198">
        <f>'RefTable LEED'!K16</f>
        <v>0.3</v>
      </c>
      <c r="E36" s="198">
        <f>'RefTable LEED'!V16</f>
        <v>0.24</v>
      </c>
      <c r="F36" s="198">
        <f>'RefTable LEED'!AG16</f>
        <v>1</v>
      </c>
      <c r="G36" s="198">
        <f>'RefTable LEED'!AR16</f>
        <v>0.5</v>
      </c>
      <c r="H36" s="198">
        <f>'RefTable LEED'!BC16</f>
        <v>0.5</v>
      </c>
      <c r="I36" s="198">
        <f>'RefTable LEED'!BN15</f>
        <v>0.3</v>
      </c>
    </row>
    <row r="37" spans="2:9">
      <c r="B37" s="59"/>
      <c r="C37" s="206"/>
      <c r="D37" s="198">
        <f>'RefTable LEED'!K17</f>
        <v>0.32</v>
      </c>
      <c r="E37" s="198">
        <f>'RefTable LEED'!V17</f>
        <v>0.26</v>
      </c>
      <c r="F37" s="198">
        <f>'RefTable LEED'!AG17</f>
        <v>0</v>
      </c>
      <c r="G37" s="198">
        <f>'RefTable LEED'!AR17</f>
        <v>0</v>
      </c>
      <c r="H37" s="198">
        <f>'RefTable LEED'!BC17</f>
        <v>0</v>
      </c>
      <c r="I37" s="198">
        <f>'RefTable LEED'!BN16</f>
        <v>0.5</v>
      </c>
    </row>
    <row r="38" spans="2:9">
      <c r="B38" s="59"/>
      <c r="C38" s="206"/>
      <c r="D38" s="198">
        <f>'RefTable LEED'!K18</f>
        <v>0.34</v>
      </c>
      <c r="E38" s="198">
        <f>'RefTable LEED'!V18</f>
        <v>0.28999999999999998</v>
      </c>
      <c r="F38" s="198">
        <f>'RefTable LEED'!AG18</f>
        <v>0</v>
      </c>
      <c r="G38" s="198">
        <f>'RefTable LEED'!AR18</f>
        <v>0</v>
      </c>
      <c r="H38" s="198">
        <f>'RefTable LEED'!BC18</f>
        <v>0</v>
      </c>
      <c r="I38" s="198">
        <f>'RefTable LEED'!BN17</f>
        <v>0</v>
      </c>
    </row>
    <row r="39" spans="2:9">
      <c r="B39" s="59"/>
      <c r="C39" s="206"/>
      <c r="D39" s="198">
        <f>'RefTable LEED'!K19</f>
        <v>0.36</v>
      </c>
      <c r="E39" s="198">
        <f>'RefTable LEED'!V19</f>
        <v>0.32</v>
      </c>
      <c r="F39" s="198">
        <f>'RefTable LEED'!AG19</f>
        <v>0</v>
      </c>
      <c r="G39" s="198">
        <f>'RefTable LEED'!AR19</f>
        <v>0</v>
      </c>
      <c r="H39" s="198">
        <f>'RefTable LEED'!BC19</f>
        <v>0</v>
      </c>
      <c r="I39" s="198">
        <f>'RefTable LEED'!BN18</f>
        <v>0</v>
      </c>
    </row>
    <row r="40" spans="2:9">
      <c r="B40" s="59"/>
      <c r="C40" s="206"/>
      <c r="D40" s="198">
        <f>'RefTable LEED'!K20</f>
        <v>0.38</v>
      </c>
      <c r="E40" s="198">
        <f>'RefTable LEED'!V20</f>
        <v>0.35</v>
      </c>
      <c r="F40" s="198">
        <f>'RefTable LEED'!AG20</f>
        <v>0</v>
      </c>
      <c r="G40" s="198">
        <f>'RefTable LEED'!AR20</f>
        <v>0</v>
      </c>
      <c r="H40" s="198">
        <f>'RefTable LEED'!BC20</f>
        <v>0</v>
      </c>
      <c r="I40" s="198">
        <f>'RefTable LEED'!BN19</f>
        <v>0</v>
      </c>
    </row>
    <row r="41" spans="2:9">
      <c r="B41" s="59"/>
      <c r="C41" s="206"/>
      <c r="D41" s="198">
        <f>'RefTable LEED'!K21</f>
        <v>0.4</v>
      </c>
      <c r="E41" s="198">
        <f>'RefTable LEED'!V21</f>
        <v>0.38</v>
      </c>
      <c r="F41" s="198">
        <f>'RefTable LEED'!AG21</f>
        <v>0</v>
      </c>
      <c r="G41" s="198">
        <f>'RefTable LEED'!AR21</f>
        <v>0</v>
      </c>
      <c r="H41" s="198">
        <f>'RefTable LEED'!BC21</f>
        <v>0</v>
      </c>
      <c r="I41" s="198">
        <f>'RefTable LEED'!BN20</f>
        <v>0</v>
      </c>
    </row>
    <row r="42" spans="2:9">
      <c r="B42" s="59"/>
      <c r="C42" s="206"/>
      <c r="D42" s="198">
        <f>'RefTable LEED'!K22</f>
        <v>0.42</v>
      </c>
      <c r="E42" s="198">
        <f>'RefTable LEED'!V22</f>
        <v>0.42</v>
      </c>
      <c r="F42" s="198">
        <f>'RefTable LEED'!AG22</f>
        <v>0</v>
      </c>
      <c r="G42" s="198">
        <f>'RefTable LEED'!AR22</f>
        <v>0</v>
      </c>
      <c r="H42" s="198">
        <f>'RefTable LEED'!BC22</f>
        <v>0</v>
      </c>
      <c r="I42" s="198">
        <f>'RefTable LEED'!BN21</f>
        <v>0</v>
      </c>
    </row>
    <row r="43" spans="2:9">
      <c r="B43" s="59"/>
      <c r="C43" s="206"/>
      <c r="D43" s="198">
        <f>'RefTable LEED'!K23</f>
        <v>0.44</v>
      </c>
      <c r="E43" s="198">
        <f>'RefTable LEED'!V23</f>
        <v>0.46</v>
      </c>
      <c r="F43" s="198">
        <f>'RefTable LEED'!AG23</f>
        <v>0</v>
      </c>
      <c r="G43" s="198">
        <f>'RefTable LEED'!AR23</f>
        <v>0</v>
      </c>
      <c r="H43" s="198">
        <f>'RefTable LEED'!BC23</f>
        <v>0</v>
      </c>
      <c r="I43" s="198">
        <f>'RefTable LEED'!BN22</f>
        <v>0</v>
      </c>
    </row>
    <row r="44" spans="2:9">
      <c r="B44" s="59"/>
      <c r="C44" s="206"/>
      <c r="D44" s="198">
        <f>'RefTable LEED'!K24</f>
        <v>0.46</v>
      </c>
      <c r="E44" s="198">
        <f>'RefTable LEED'!V24</f>
        <v>0.5</v>
      </c>
      <c r="F44" s="198">
        <f>'RefTable LEED'!AG24</f>
        <v>0</v>
      </c>
      <c r="G44" s="198">
        <f>'RefTable LEED'!AR24</f>
        <v>0</v>
      </c>
      <c r="H44" s="198">
        <f>'RefTable LEED'!BC24</f>
        <v>0</v>
      </c>
      <c r="I44" s="198">
        <f>'RefTable LEED'!BN23</f>
        <v>0</v>
      </c>
    </row>
    <row r="45" spans="2:9">
      <c r="B45" s="59"/>
      <c r="C45" s="206"/>
      <c r="D45" s="198">
        <f>'RefTable LEED'!K25</f>
        <v>0.48</v>
      </c>
      <c r="E45" s="198">
        <f>'RefTable LEED'!V25</f>
        <v>0</v>
      </c>
      <c r="F45" s="198">
        <f>'RefTable LEED'!AG25</f>
        <v>0</v>
      </c>
      <c r="G45" s="198">
        <f>'RefTable LEED'!AR25</f>
        <v>0</v>
      </c>
      <c r="H45" s="198">
        <f>'RefTable LEED'!BC25</f>
        <v>0</v>
      </c>
      <c r="I45" s="198">
        <f>'RefTable LEED'!BN24</f>
        <v>0</v>
      </c>
    </row>
    <row r="48" spans="2:9">
      <c r="B48" s="59" t="str">
        <f>_xlfn.CONCAT(B$10," Points")</f>
        <v>Credit 1 Points</v>
      </c>
      <c r="C48" s="206"/>
      <c r="D48" s="59">
        <f>'RefTable LEED'!L6</f>
        <v>0</v>
      </c>
      <c r="E48" s="59">
        <f>'RefTable LEED'!W6</f>
        <v>0</v>
      </c>
      <c r="F48" s="59">
        <f>'RefTable LEED'!AH6</f>
        <v>0</v>
      </c>
      <c r="G48" s="59">
        <f>'RefTable LEED'!AS6</f>
        <v>0</v>
      </c>
      <c r="H48" s="59">
        <f>'RefTable LEED'!BD6</f>
        <v>0</v>
      </c>
      <c r="I48" s="59">
        <f>'RefTable LEED'!BO6</f>
        <v>0</v>
      </c>
    </row>
    <row r="49" spans="2:9">
      <c r="B49" s="59"/>
      <c r="C49" s="206"/>
      <c r="D49" s="59">
        <f>'RefTable LEED'!L7</f>
        <v>1</v>
      </c>
      <c r="E49" s="59">
        <f>'RefTable LEED'!W7</f>
        <v>1</v>
      </c>
      <c r="F49" s="59">
        <f>'RefTable LEED'!AH7</f>
        <v>1</v>
      </c>
      <c r="G49" s="59">
        <f>'RefTable LEED'!AS7</f>
        <v>1</v>
      </c>
      <c r="H49" s="59">
        <f>'RefTable LEED'!BD7</f>
        <v>1</v>
      </c>
      <c r="I49" s="59">
        <f>'RefTable LEED'!BO7</f>
        <v>1</v>
      </c>
    </row>
    <row r="50" spans="2:9">
      <c r="B50" s="59"/>
      <c r="C50" s="206"/>
      <c r="D50" s="59">
        <f>'RefTable LEED'!L8</f>
        <v>2</v>
      </c>
      <c r="E50" s="59">
        <f>'RefTable LEED'!W8</f>
        <v>2</v>
      </c>
      <c r="F50" s="59">
        <f>'RefTable LEED'!AH8</f>
        <v>2</v>
      </c>
      <c r="G50" s="59">
        <f>'RefTable LEED'!AS8</f>
        <v>2</v>
      </c>
      <c r="H50" s="59">
        <f>'RefTable LEED'!BD8</f>
        <v>2</v>
      </c>
      <c r="I50" s="59">
        <f>'RefTable LEED'!BO8</f>
        <v>2</v>
      </c>
    </row>
    <row r="51" spans="2:9">
      <c r="B51" s="59"/>
      <c r="C51" s="206"/>
      <c r="D51" s="59">
        <f>'RefTable LEED'!L9</f>
        <v>3</v>
      </c>
      <c r="E51" s="59">
        <f>'RefTable LEED'!W9</f>
        <v>3</v>
      </c>
      <c r="F51" s="59">
        <f>'RefTable LEED'!AH9</f>
        <v>3</v>
      </c>
      <c r="G51" s="59">
        <f>'RefTable LEED'!AS9</f>
        <v>3</v>
      </c>
      <c r="H51" s="59">
        <f>'RefTable LEED'!BD9</f>
        <v>3</v>
      </c>
      <c r="I51" s="59">
        <f>'RefTable LEED'!BO9</f>
        <v>3</v>
      </c>
    </row>
    <row r="52" spans="2:9">
      <c r="B52" s="59"/>
      <c r="C52" s="206"/>
      <c r="D52" s="59">
        <f>'RefTable LEED'!L10</f>
        <v>4</v>
      </c>
      <c r="E52" s="59">
        <f>'RefTable LEED'!W10</f>
        <v>4</v>
      </c>
      <c r="F52" s="59">
        <f>'RefTable LEED'!AH10</f>
        <v>4</v>
      </c>
      <c r="G52" s="59">
        <f>'RefTable LEED'!AS10</f>
        <v>4</v>
      </c>
      <c r="H52" s="59">
        <f>'RefTable LEED'!BD10</f>
        <v>4</v>
      </c>
      <c r="I52" s="59">
        <f>'RefTable LEED'!BO10</f>
        <v>4</v>
      </c>
    </row>
    <row r="53" spans="2:9">
      <c r="B53" s="59"/>
      <c r="C53" s="206"/>
      <c r="D53" s="59">
        <f>'RefTable LEED'!L11</f>
        <v>5</v>
      </c>
      <c r="E53" s="59">
        <f>'RefTable LEED'!W11</f>
        <v>5</v>
      </c>
      <c r="F53" s="59">
        <f>'RefTable LEED'!AH11</f>
        <v>5</v>
      </c>
      <c r="G53" s="59">
        <f>'RefTable LEED'!AS11</f>
        <v>5</v>
      </c>
      <c r="H53" s="59">
        <f>'RefTable LEED'!BD11</f>
        <v>5</v>
      </c>
      <c r="I53" s="59">
        <f>'RefTable LEED'!BO11</f>
        <v>5</v>
      </c>
    </row>
    <row r="54" spans="2:9">
      <c r="B54" s="59"/>
      <c r="C54" s="206"/>
      <c r="D54" s="59">
        <f>'RefTable LEED'!L12</f>
        <v>6</v>
      </c>
      <c r="E54" s="59">
        <f>'RefTable LEED'!W12</f>
        <v>6</v>
      </c>
      <c r="F54" s="59">
        <f>'RefTable LEED'!AH12</f>
        <v>6</v>
      </c>
      <c r="G54" s="59">
        <f>'RefTable LEED'!AS12</f>
        <v>6</v>
      </c>
      <c r="H54" s="59">
        <f>'RefTable LEED'!BD12</f>
        <v>6</v>
      </c>
      <c r="I54" s="59">
        <f>'RefTable LEED'!BO12</f>
        <v>6</v>
      </c>
    </row>
    <row r="55" spans="2:9">
      <c r="B55" s="59"/>
      <c r="C55" s="206"/>
      <c r="D55" s="59">
        <f>'RefTable LEED'!L13</f>
        <v>7</v>
      </c>
      <c r="E55" s="59">
        <f>'RefTable LEED'!W13</f>
        <v>7</v>
      </c>
      <c r="F55" s="59">
        <f>'RefTable LEED'!AH13</f>
        <v>7</v>
      </c>
      <c r="G55" s="59">
        <f>'RefTable LEED'!AS13</f>
        <v>7</v>
      </c>
      <c r="H55" s="59">
        <f>'RefTable LEED'!BD13</f>
        <v>7</v>
      </c>
      <c r="I55" s="59">
        <f>'RefTable LEED'!BO13</f>
        <v>7</v>
      </c>
    </row>
    <row r="56" spans="2:9">
      <c r="B56" s="59"/>
      <c r="C56" s="206"/>
      <c r="D56" s="59">
        <f>'RefTable LEED'!L14</f>
        <v>8</v>
      </c>
      <c r="E56" s="59">
        <f>'RefTable LEED'!W14</f>
        <v>8</v>
      </c>
      <c r="F56" s="59">
        <f>'RefTable LEED'!AH14</f>
        <v>8</v>
      </c>
      <c r="G56" s="59">
        <f>'RefTable LEED'!AS14</f>
        <v>7</v>
      </c>
      <c r="H56" s="59">
        <f>'RefTable LEED'!BD14</f>
        <v>8</v>
      </c>
      <c r="I56" s="59">
        <f>'RefTable LEED'!BO14</f>
        <v>8</v>
      </c>
    </row>
    <row r="57" spans="2:9">
      <c r="B57" s="59"/>
      <c r="C57" s="206"/>
      <c r="D57" s="59">
        <f>'RefTable LEED'!L15</f>
        <v>9</v>
      </c>
      <c r="E57" s="59">
        <f>'RefTable LEED'!W15</f>
        <v>9</v>
      </c>
      <c r="F57" s="59" t="str">
        <f>'RefTable LEED'!AH15</f>
        <v>8 + EP</v>
      </c>
      <c r="G57" s="59">
        <f>'RefTable LEED'!AS15</f>
        <v>8</v>
      </c>
      <c r="H57" s="59">
        <f>'RefTable LEED'!BD15</f>
        <v>9</v>
      </c>
      <c r="I57" s="59">
        <f>'RefTable LEED'!BO15</f>
        <v>9</v>
      </c>
    </row>
    <row r="58" spans="2:9">
      <c r="B58" s="59"/>
      <c r="C58" s="206"/>
      <c r="D58" s="59">
        <f>'RefTable LEED'!L16</f>
        <v>10</v>
      </c>
      <c r="E58" s="59">
        <f>'RefTable LEED'!W16</f>
        <v>10</v>
      </c>
      <c r="F58" s="59">
        <f>'RefTable LEED'!AH16</f>
        <v>0</v>
      </c>
      <c r="G58" s="59" t="str">
        <f>'RefTable LEED'!AS16</f>
        <v>8 + EP</v>
      </c>
      <c r="H58" s="59">
        <f>'RefTable LEED'!BD16</f>
        <v>10</v>
      </c>
      <c r="I58" s="59">
        <f>'RefTable LEED'!BO16</f>
        <v>10</v>
      </c>
    </row>
    <row r="59" spans="2:9">
      <c r="B59" s="59"/>
      <c r="C59" s="206"/>
      <c r="D59" s="59">
        <f>'RefTable LEED'!L17</f>
        <v>11</v>
      </c>
      <c r="E59" s="59">
        <f>'RefTable LEED'!W17</f>
        <v>11</v>
      </c>
      <c r="F59" s="59">
        <f>'RefTable LEED'!AH17</f>
        <v>0</v>
      </c>
      <c r="G59" s="59" t="str">
        <f>'RefTable LEED'!AS17</f>
        <v>8 + EP</v>
      </c>
      <c r="H59" s="59">
        <f>'RefTable LEED'!BD17</f>
        <v>0</v>
      </c>
      <c r="I59" s="59">
        <f>'RefTable LEED'!BO17</f>
        <v>0</v>
      </c>
    </row>
    <row r="60" spans="2:9">
      <c r="B60" s="59"/>
      <c r="C60" s="206"/>
      <c r="D60" s="59">
        <f>'RefTable LEED'!L18</f>
        <v>12</v>
      </c>
      <c r="E60" s="59">
        <f>'RefTable LEED'!W18</f>
        <v>12</v>
      </c>
      <c r="F60" s="59">
        <f>'RefTable LEED'!AH18</f>
        <v>0</v>
      </c>
      <c r="G60" s="59">
        <f>'RefTable LEED'!AS18</f>
        <v>0</v>
      </c>
      <c r="H60" s="59">
        <f>'RefTable LEED'!BD18</f>
        <v>0</v>
      </c>
      <c r="I60" s="59">
        <f>'RefTable LEED'!BO18</f>
        <v>0</v>
      </c>
    </row>
    <row r="61" spans="2:9">
      <c r="B61" s="59"/>
      <c r="C61" s="206"/>
      <c r="D61" s="59">
        <f>'RefTable LEED'!L19</f>
        <v>13</v>
      </c>
      <c r="E61" s="59">
        <f>'RefTable LEED'!W19</f>
        <v>13</v>
      </c>
      <c r="F61" s="59">
        <f>'RefTable LEED'!AH19</f>
        <v>0</v>
      </c>
      <c r="G61" s="59">
        <f>'RefTable LEED'!AS19</f>
        <v>0</v>
      </c>
      <c r="H61" s="59">
        <f>'RefTable LEED'!BD19</f>
        <v>0</v>
      </c>
      <c r="I61" s="59">
        <f>'RefTable LEED'!BO19</f>
        <v>0</v>
      </c>
    </row>
    <row r="62" spans="2:9">
      <c r="B62" s="59"/>
      <c r="C62" s="206"/>
      <c r="D62" s="59">
        <f>'RefTable LEED'!L20</f>
        <v>14</v>
      </c>
      <c r="E62" s="59">
        <f>'RefTable LEED'!W20</f>
        <v>14</v>
      </c>
      <c r="F62" s="59">
        <f>'RefTable LEED'!AH20</f>
        <v>0</v>
      </c>
      <c r="G62" s="59">
        <f>'RefTable LEED'!AS20</f>
        <v>0</v>
      </c>
      <c r="H62" s="59">
        <f>'RefTable LEED'!BD20</f>
        <v>0</v>
      </c>
      <c r="I62" s="59">
        <f>'RefTable LEED'!BO20</f>
        <v>0</v>
      </c>
    </row>
    <row r="63" spans="2:9">
      <c r="B63" s="59"/>
      <c r="C63" s="206"/>
      <c r="D63" s="59">
        <f>'RefTable LEED'!L21</f>
        <v>15</v>
      </c>
      <c r="E63" s="59">
        <f>'RefTable LEED'!W21</f>
        <v>15</v>
      </c>
      <c r="F63" s="59">
        <f>'RefTable LEED'!AH21</f>
        <v>0</v>
      </c>
      <c r="G63" s="59">
        <f>'RefTable LEED'!AS21</f>
        <v>0</v>
      </c>
      <c r="H63" s="59">
        <f>'RefTable LEED'!BD21</f>
        <v>0</v>
      </c>
      <c r="I63" s="59">
        <f>'RefTable LEED'!BO21</f>
        <v>0</v>
      </c>
    </row>
    <row r="64" spans="2:9">
      <c r="B64" s="59"/>
      <c r="C64" s="206"/>
      <c r="D64" s="59">
        <f>'RefTable LEED'!L22</f>
        <v>16</v>
      </c>
      <c r="E64" s="59">
        <f>'RefTable LEED'!W22</f>
        <v>16</v>
      </c>
      <c r="F64" s="59">
        <f>'RefTable LEED'!AH22</f>
        <v>0</v>
      </c>
      <c r="G64" s="59">
        <f>'RefTable LEED'!AS22</f>
        <v>0</v>
      </c>
      <c r="H64" s="59">
        <f>'RefTable LEED'!BD22</f>
        <v>0</v>
      </c>
      <c r="I64" s="59">
        <f>'RefTable LEED'!BO22</f>
        <v>0</v>
      </c>
    </row>
    <row r="65" spans="2:9">
      <c r="B65" s="59"/>
      <c r="C65" s="206"/>
      <c r="D65" s="59">
        <f>'RefTable LEED'!L23</f>
        <v>17</v>
      </c>
      <c r="E65" s="59">
        <f>'RefTable LEED'!W23</f>
        <v>16</v>
      </c>
      <c r="F65" s="59">
        <f>'RefTable LEED'!AH23</f>
        <v>0</v>
      </c>
      <c r="G65" s="59">
        <f>'RefTable LEED'!AS23</f>
        <v>0</v>
      </c>
      <c r="H65" s="59">
        <f>'RefTable LEED'!BD23</f>
        <v>0</v>
      </c>
      <c r="I65" s="59">
        <f>'RefTable LEED'!BO23</f>
        <v>0</v>
      </c>
    </row>
    <row r="66" spans="2:9">
      <c r="B66" s="59"/>
      <c r="C66" s="206"/>
      <c r="D66" s="59">
        <f>'RefTable LEED'!L24</f>
        <v>18</v>
      </c>
      <c r="E66" s="59">
        <f>'RefTable LEED'!W24</f>
        <v>16</v>
      </c>
      <c r="F66" s="59">
        <f>'RefTable LEED'!AH24</f>
        <v>0</v>
      </c>
      <c r="G66" s="59">
        <f>'RefTable LEED'!AS24</f>
        <v>0</v>
      </c>
      <c r="H66" s="59">
        <f>'RefTable LEED'!BD24</f>
        <v>0</v>
      </c>
      <c r="I66" s="59">
        <f>'RefTable LEED'!BO24</f>
        <v>0</v>
      </c>
    </row>
    <row r="67" spans="2:9">
      <c r="B67" s="59"/>
      <c r="C67" s="206"/>
      <c r="D67" s="59">
        <f>'RefTable LEED'!L25</f>
        <v>19</v>
      </c>
      <c r="E67" s="59">
        <f>'RefTable LEED'!W25</f>
        <v>0</v>
      </c>
      <c r="F67" s="59">
        <f>'RefTable LEED'!AH25</f>
        <v>0</v>
      </c>
      <c r="G67" s="59">
        <f>'RefTable LEED'!AS25</f>
        <v>0</v>
      </c>
      <c r="H67" s="59">
        <f>'RefTable LEED'!BD25</f>
        <v>0</v>
      </c>
      <c r="I67" s="59">
        <f>'RefTable LEED'!BO25</f>
        <v>0</v>
      </c>
    </row>
    <row r="70" spans="2:9">
      <c r="B70" s="59" t="str">
        <f>_xlfn.CONCAT(B$11," Thresholds")</f>
        <v>Credit 2 Thresholds</v>
      </c>
      <c r="C70" s="206"/>
      <c r="D70" s="206"/>
      <c r="E70" s="198">
        <f>'RefTable LEED'!V28</f>
        <v>0</v>
      </c>
      <c r="F70" s="198">
        <f>'RefTable LEED'!AG28</f>
        <v>0</v>
      </c>
      <c r="G70" s="198">
        <f>'RefTable LEED'!AR28</f>
        <v>0</v>
      </c>
      <c r="H70" s="198">
        <f>'RefTable LEED'!BC28</f>
        <v>0</v>
      </c>
      <c r="I70" s="198">
        <f>'RefTable LEED'!BN28</f>
        <v>0</v>
      </c>
    </row>
    <row r="71" spans="2:9">
      <c r="B71" s="59"/>
      <c r="C71" s="206"/>
      <c r="D71" s="206"/>
      <c r="E71" s="198">
        <f>'RefTable LEED'!V29</f>
        <v>0.06</v>
      </c>
      <c r="F71" s="198">
        <f>'RefTable LEED'!AG29</f>
        <v>0.2</v>
      </c>
      <c r="G71" s="198">
        <f>'RefTable LEED'!AR29</f>
        <v>0.05</v>
      </c>
      <c r="H71" s="198">
        <f>'RefTable LEED'!BC29</f>
        <v>0.1</v>
      </c>
      <c r="I71" s="198">
        <f>'RefTable LEED'!BN29</f>
        <v>0.1</v>
      </c>
    </row>
    <row r="72" spans="2:9">
      <c r="B72" s="59"/>
      <c r="C72" s="206"/>
      <c r="D72" s="206"/>
      <c r="E72" s="198">
        <f>'RefTable LEED'!V30</f>
        <v>0.08</v>
      </c>
      <c r="F72" s="198">
        <f>'RefTable LEED'!AG30</f>
        <v>0.25</v>
      </c>
      <c r="G72" s="198">
        <f>'RefTable LEED'!AR30</f>
        <v>0.1</v>
      </c>
      <c r="H72" s="198">
        <f>'RefTable LEED'!BC30</f>
        <v>0.2</v>
      </c>
      <c r="I72" s="198">
        <f>'RefTable LEED'!BN30</f>
        <v>0.2</v>
      </c>
    </row>
    <row r="73" spans="2:9">
      <c r="B73" s="59"/>
      <c r="C73" s="206"/>
      <c r="D73" s="206"/>
      <c r="E73" s="198">
        <f>'RefTable LEED'!V31</f>
        <v>0.1</v>
      </c>
      <c r="F73" s="198">
        <f>'RefTable LEED'!AG31</f>
        <v>0.3</v>
      </c>
      <c r="G73" s="198">
        <f>'RefTable LEED'!AR31</f>
        <v>0.16</v>
      </c>
      <c r="H73" s="198">
        <f>'RefTable LEED'!BC31</f>
        <v>0.3</v>
      </c>
      <c r="I73" s="198">
        <f>'RefTable LEED'!BN31</f>
        <v>0.3</v>
      </c>
    </row>
    <row r="74" spans="2:9">
      <c r="B74" s="59"/>
      <c r="C74" s="206"/>
      <c r="D74" s="206"/>
      <c r="E74" s="198">
        <f>'RefTable LEED'!V32</f>
        <v>0.12</v>
      </c>
      <c r="F74" s="198">
        <f>'RefTable LEED'!AG32</f>
        <v>0.35</v>
      </c>
      <c r="G74" s="198">
        <f>'RefTable LEED'!AR32</f>
        <v>0.24</v>
      </c>
      <c r="H74" s="198">
        <f>'RefTable LEED'!BC32</f>
        <v>0.4</v>
      </c>
      <c r="I74" s="198">
        <f>'RefTable LEED'!BN32</f>
        <v>0.4</v>
      </c>
    </row>
    <row r="75" spans="2:9">
      <c r="B75" s="59"/>
      <c r="C75" s="206"/>
      <c r="D75" s="206"/>
      <c r="E75" s="198">
        <f>'RefTable LEED'!V33</f>
        <v>0.14000000000000001</v>
      </c>
      <c r="F75" s="198">
        <f>'RefTable LEED'!AG33</f>
        <v>0.42</v>
      </c>
      <c r="G75" s="198">
        <f>'RefTable LEED'!AR33</f>
        <v>0.32</v>
      </c>
      <c r="H75" s="198">
        <f>'RefTable LEED'!BC33</f>
        <v>0.5</v>
      </c>
      <c r="I75" s="198">
        <f>'RefTable LEED'!BN33</f>
        <v>0.5</v>
      </c>
    </row>
    <row r="76" spans="2:9">
      <c r="B76" s="59"/>
      <c r="C76" s="206"/>
      <c r="D76" s="206"/>
      <c r="E76" s="198">
        <f>'RefTable LEED'!V34</f>
        <v>0.16</v>
      </c>
      <c r="F76" s="198">
        <f>'RefTable LEED'!AG34</f>
        <v>0.5</v>
      </c>
      <c r="G76" s="198">
        <f>'RefTable LEED'!AR34</f>
        <v>0.4</v>
      </c>
      <c r="H76" s="198">
        <f>'RefTable LEED'!BC34</f>
        <v>0.6</v>
      </c>
      <c r="I76" s="198">
        <f>'RefTable LEED'!BN34</f>
        <v>0.6</v>
      </c>
    </row>
    <row r="77" spans="2:9">
      <c r="B77" s="59"/>
      <c r="C77" s="206"/>
      <c r="D77" s="206"/>
      <c r="E77" s="198">
        <f>'RefTable LEED'!V35</f>
        <v>0.18</v>
      </c>
      <c r="F77" s="198">
        <f>'RefTable LEED'!AG35</f>
        <v>0.6</v>
      </c>
      <c r="G77" s="198">
        <f>'RefTable LEED'!AR35</f>
        <v>0.5</v>
      </c>
      <c r="H77" s="198">
        <f>'RefTable LEED'!BC35</f>
        <v>0.7</v>
      </c>
      <c r="I77" s="198">
        <f>'RefTable LEED'!BN35</f>
        <v>0.7</v>
      </c>
    </row>
    <row r="78" spans="2:9">
      <c r="B78" s="59"/>
      <c r="C78" s="206"/>
      <c r="D78" s="206"/>
      <c r="E78" s="198">
        <f>'RefTable LEED'!V36</f>
        <v>0.2</v>
      </c>
      <c r="F78" s="198">
        <f>'RefTable LEED'!AG36</f>
        <v>0.7</v>
      </c>
      <c r="G78" s="198">
        <f>'RefTable LEED'!AR36</f>
        <v>0.65</v>
      </c>
      <c r="H78" s="198">
        <f>'RefTable LEED'!BC36</f>
        <v>0.8</v>
      </c>
      <c r="I78" s="198">
        <f>'RefTable LEED'!BN36</f>
        <v>0.8</v>
      </c>
    </row>
    <row r="79" spans="2:9">
      <c r="B79" s="59"/>
      <c r="C79" s="206"/>
      <c r="D79" s="206"/>
      <c r="E79" s="198">
        <f>'RefTable LEED'!V37</f>
        <v>0.22</v>
      </c>
      <c r="F79" s="198">
        <f>'RefTable LEED'!AG37</f>
        <v>0.85</v>
      </c>
      <c r="G79" s="198">
        <f>'RefTable LEED'!AR37</f>
        <v>0.8</v>
      </c>
      <c r="H79" s="198">
        <f>'RefTable LEED'!BC37</f>
        <v>0.9</v>
      </c>
      <c r="I79" s="198">
        <f>'RefTable LEED'!BN37</f>
        <v>0.9</v>
      </c>
    </row>
    <row r="80" spans="2:9">
      <c r="B80" s="59"/>
      <c r="C80" s="206"/>
      <c r="D80" s="206"/>
      <c r="E80" s="198">
        <f>'RefTable LEED'!V38</f>
        <v>0.24</v>
      </c>
      <c r="F80" s="198">
        <f>'RefTable LEED'!AG38</f>
        <v>1</v>
      </c>
      <c r="G80" s="198">
        <f>'RefTable LEED'!AR38</f>
        <v>1</v>
      </c>
      <c r="H80" s="198">
        <f>'RefTable LEED'!BC38</f>
        <v>1</v>
      </c>
      <c r="I80" s="198">
        <f>'RefTable LEED'!BN38</f>
        <v>1</v>
      </c>
    </row>
    <row r="81" spans="2:9">
      <c r="B81" s="59"/>
      <c r="C81" s="206"/>
      <c r="D81" s="206"/>
      <c r="E81" s="198">
        <f>'RefTable LEED'!V39</f>
        <v>0.26</v>
      </c>
      <c r="F81" s="198">
        <f>'RefTable LEED'!AG39</f>
        <v>0</v>
      </c>
      <c r="G81" s="198">
        <f>'RefTable LEED'!AR39</f>
        <v>0</v>
      </c>
      <c r="H81" s="198">
        <f>'RefTable LEED'!BC39</f>
        <v>0</v>
      </c>
      <c r="I81" s="198">
        <f>'RefTable LEED'!BN39</f>
        <v>0</v>
      </c>
    </row>
    <row r="82" spans="2:9">
      <c r="B82" s="59"/>
      <c r="C82" s="206"/>
      <c r="D82" s="206"/>
      <c r="E82" s="198">
        <f>'RefTable LEED'!V40</f>
        <v>0.28999999999999998</v>
      </c>
      <c r="F82" s="198">
        <f>'RefTable LEED'!AG40</f>
        <v>0</v>
      </c>
      <c r="G82" s="198">
        <f>'RefTable LEED'!AR40</f>
        <v>0</v>
      </c>
      <c r="H82" s="198">
        <f>'RefTable LEED'!BC40</f>
        <v>0</v>
      </c>
      <c r="I82" s="198">
        <f>'RefTable LEED'!BN40</f>
        <v>0</v>
      </c>
    </row>
    <row r="83" spans="2:9">
      <c r="B83" s="59"/>
      <c r="C83" s="206"/>
      <c r="D83" s="206"/>
      <c r="E83" s="198">
        <f>'RefTable LEED'!V41</f>
        <v>0.32</v>
      </c>
      <c r="F83" s="198">
        <f>'RefTable LEED'!AG41</f>
        <v>0</v>
      </c>
      <c r="G83" s="198">
        <f>'RefTable LEED'!AR41</f>
        <v>0</v>
      </c>
      <c r="H83" s="198">
        <f>'RefTable LEED'!BC41</f>
        <v>0</v>
      </c>
      <c r="I83" s="198">
        <f>'RefTable LEED'!BN41</f>
        <v>0</v>
      </c>
    </row>
    <row r="84" spans="2:9">
      <c r="B84" s="59"/>
      <c r="C84" s="206"/>
      <c r="D84" s="206"/>
      <c r="E84" s="198">
        <f>'RefTable LEED'!V42</f>
        <v>0.35</v>
      </c>
      <c r="F84" s="198">
        <f>'RefTable LEED'!AG42</f>
        <v>0</v>
      </c>
      <c r="G84" s="198">
        <f>'RefTable LEED'!AR42</f>
        <v>0</v>
      </c>
      <c r="H84" s="198">
        <f>'RefTable LEED'!BC42</f>
        <v>0</v>
      </c>
      <c r="I84" s="198">
        <f>'RefTable LEED'!BN42</f>
        <v>0</v>
      </c>
    </row>
    <row r="85" spans="2:9">
      <c r="B85" s="59"/>
      <c r="C85" s="206"/>
      <c r="D85" s="206"/>
      <c r="E85" s="198">
        <f>'RefTable LEED'!V43</f>
        <v>0.38</v>
      </c>
      <c r="F85" s="198">
        <f>'RefTable LEED'!AG43</f>
        <v>0</v>
      </c>
      <c r="G85" s="198">
        <f>'RefTable LEED'!AR43</f>
        <v>0</v>
      </c>
      <c r="H85" s="198">
        <f>'RefTable LEED'!BC43</f>
        <v>0</v>
      </c>
      <c r="I85" s="198">
        <f>'RefTable LEED'!BN43</f>
        <v>0</v>
      </c>
    </row>
    <row r="86" spans="2:9">
      <c r="B86" s="59"/>
      <c r="C86" s="206"/>
      <c r="D86" s="206"/>
      <c r="E86" s="198">
        <f>'RefTable LEED'!V44</f>
        <v>0.42</v>
      </c>
      <c r="F86" s="198">
        <f>'RefTable LEED'!AG44</f>
        <v>0</v>
      </c>
      <c r="G86" s="198">
        <f>'RefTable LEED'!AR44</f>
        <v>0</v>
      </c>
      <c r="H86" s="198">
        <f>'RefTable LEED'!BC44</f>
        <v>0</v>
      </c>
      <c r="I86" s="198">
        <f>'RefTable LEED'!BN44</f>
        <v>0</v>
      </c>
    </row>
    <row r="87" spans="2:9">
      <c r="B87" s="59"/>
      <c r="C87" s="206"/>
      <c r="D87" s="206"/>
      <c r="E87" s="198">
        <f>'RefTable LEED'!V45</f>
        <v>0.46</v>
      </c>
      <c r="F87" s="198">
        <f>'RefTable LEED'!AG45</f>
        <v>0</v>
      </c>
      <c r="G87" s="198">
        <f>'RefTable LEED'!AR45</f>
        <v>0</v>
      </c>
      <c r="H87" s="198">
        <f>'RefTable LEED'!BC45</f>
        <v>0</v>
      </c>
      <c r="I87" s="198">
        <f>'RefTable LEED'!BN45</f>
        <v>0</v>
      </c>
    </row>
    <row r="88" spans="2:9">
      <c r="B88" s="59"/>
      <c r="C88" s="206"/>
      <c r="D88" s="206"/>
      <c r="E88" s="198">
        <f>'RefTable LEED'!V46</f>
        <v>0.5</v>
      </c>
      <c r="F88" s="198">
        <f>'RefTable LEED'!AG46</f>
        <v>0</v>
      </c>
      <c r="G88" s="198">
        <f>'RefTable LEED'!AR46</f>
        <v>0</v>
      </c>
      <c r="H88" s="198">
        <f>'RefTable LEED'!BC46</f>
        <v>0</v>
      </c>
      <c r="I88" s="198">
        <f>'RefTable LEED'!BN46</f>
        <v>0</v>
      </c>
    </row>
    <row r="89" spans="2:9">
      <c r="B89" s="59"/>
      <c r="C89" s="206"/>
      <c r="D89" s="206"/>
      <c r="E89" s="198">
        <f>'RefTable LEED'!V47</f>
        <v>0</v>
      </c>
      <c r="F89" s="198">
        <f>'RefTable LEED'!AG47</f>
        <v>0</v>
      </c>
      <c r="G89" s="198">
        <f>'RefTable LEED'!AR47</f>
        <v>0</v>
      </c>
      <c r="H89" s="198">
        <f>'RefTable LEED'!BC47</f>
        <v>0</v>
      </c>
      <c r="I89" s="198">
        <f>'RefTable LEED'!BN47</f>
        <v>0</v>
      </c>
    </row>
    <row r="92" spans="2:9">
      <c r="B92" s="59" t="str">
        <f>_xlfn.CONCAT(B$11," Points")</f>
        <v>Credit 2 Points</v>
      </c>
      <c r="C92" s="206"/>
      <c r="D92" s="206"/>
      <c r="E92" s="59">
        <f>'RefTable LEED'!W28</f>
        <v>0</v>
      </c>
      <c r="F92" s="59">
        <f>'RefTable LEED'!AH28</f>
        <v>0</v>
      </c>
      <c r="G92" s="59">
        <f>'RefTable LEED'!AS28</f>
        <v>0</v>
      </c>
      <c r="H92" s="59">
        <f>'RefTable LEED'!BD28</f>
        <v>0</v>
      </c>
      <c r="I92" s="59">
        <f>'RefTable LEED'!BO28</f>
        <v>0</v>
      </c>
    </row>
    <row r="93" spans="2:9">
      <c r="B93" s="59"/>
      <c r="C93" s="206"/>
      <c r="D93" s="206"/>
      <c r="E93" s="59">
        <f>'RefTable LEED'!W29</f>
        <v>1</v>
      </c>
      <c r="F93" s="59">
        <f>'RefTable LEED'!AH29</f>
        <v>1</v>
      </c>
      <c r="G93" s="59">
        <f>'RefTable LEED'!AS29</f>
        <v>1</v>
      </c>
      <c r="H93" s="59">
        <f>'RefTable LEED'!BD29</f>
        <v>1</v>
      </c>
      <c r="I93" s="59">
        <f>'RefTable LEED'!BO29</f>
        <v>1</v>
      </c>
    </row>
    <row r="94" spans="2:9">
      <c r="B94" s="59"/>
      <c r="C94" s="206"/>
      <c r="D94" s="206"/>
      <c r="E94" s="59">
        <f>'RefTable LEED'!W30</f>
        <v>2</v>
      </c>
      <c r="F94" s="59">
        <f>'RefTable LEED'!AH30</f>
        <v>2</v>
      </c>
      <c r="G94" s="59">
        <f>'RefTable LEED'!AS30</f>
        <v>2</v>
      </c>
      <c r="H94" s="59">
        <f>'RefTable LEED'!BD30</f>
        <v>2</v>
      </c>
      <c r="I94" s="59">
        <f>'RefTable LEED'!BO30</f>
        <v>2</v>
      </c>
    </row>
    <row r="95" spans="2:9">
      <c r="B95" s="59"/>
      <c r="C95" s="206"/>
      <c r="D95" s="206"/>
      <c r="E95" s="59">
        <f>'RefTable LEED'!W31</f>
        <v>3</v>
      </c>
      <c r="F95" s="59">
        <f>'RefTable LEED'!AH31</f>
        <v>3</v>
      </c>
      <c r="G95" s="59">
        <f>'RefTable LEED'!AS31</f>
        <v>3</v>
      </c>
      <c r="H95" s="59">
        <f>'RefTable LEED'!BD31</f>
        <v>3</v>
      </c>
      <c r="I95" s="59">
        <f>'RefTable LEED'!BO31</f>
        <v>3</v>
      </c>
    </row>
    <row r="96" spans="2:9">
      <c r="B96" s="59"/>
      <c r="C96" s="206"/>
      <c r="D96" s="206"/>
      <c r="E96" s="59">
        <f>'RefTable LEED'!W32</f>
        <v>4</v>
      </c>
      <c r="F96" s="59">
        <f>'RefTable LEED'!AH32</f>
        <v>4</v>
      </c>
      <c r="G96" s="59">
        <f>'RefTable LEED'!AS32</f>
        <v>4</v>
      </c>
      <c r="H96" s="59">
        <f>'RefTable LEED'!BD32</f>
        <v>4</v>
      </c>
      <c r="I96" s="59">
        <f>'RefTable LEED'!BO32</f>
        <v>4</v>
      </c>
    </row>
    <row r="97" spans="2:9">
      <c r="B97" s="59"/>
      <c r="C97" s="206"/>
      <c r="D97" s="206"/>
      <c r="E97" s="59">
        <f>'RefTable LEED'!W33</f>
        <v>5</v>
      </c>
      <c r="F97" s="59">
        <f>'RefTable LEED'!AH33</f>
        <v>5</v>
      </c>
      <c r="G97" s="59">
        <f>'RefTable LEED'!AS33</f>
        <v>5</v>
      </c>
      <c r="H97" s="59">
        <f>'RefTable LEED'!BD33</f>
        <v>5</v>
      </c>
      <c r="I97" s="59">
        <f>'RefTable LEED'!BO33</f>
        <v>5</v>
      </c>
    </row>
    <row r="98" spans="2:9">
      <c r="B98" s="59"/>
      <c r="C98" s="206"/>
      <c r="D98" s="206"/>
      <c r="E98" s="59">
        <f>'RefTable LEED'!W34</f>
        <v>6</v>
      </c>
      <c r="F98" s="59">
        <f>'RefTable LEED'!AH34</f>
        <v>6</v>
      </c>
      <c r="G98" s="59">
        <f>'RefTable LEED'!AS34</f>
        <v>6</v>
      </c>
      <c r="H98" s="59">
        <f>'RefTable LEED'!BD34</f>
        <v>6</v>
      </c>
      <c r="I98" s="59">
        <f>'RefTable LEED'!BO34</f>
        <v>6</v>
      </c>
    </row>
    <row r="99" spans="2:9">
      <c r="B99" s="59"/>
      <c r="C99" s="206"/>
      <c r="D99" s="206"/>
      <c r="E99" s="59">
        <f>'RefTable LEED'!W35</f>
        <v>7</v>
      </c>
      <c r="F99" s="59">
        <f>'RefTable LEED'!AH35</f>
        <v>7</v>
      </c>
      <c r="G99" s="59">
        <f>'RefTable LEED'!AS35</f>
        <v>7</v>
      </c>
      <c r="H99" s="59">
        <f>'RefTable LEED'!BD35</f>
        <v>7</v>
      </c>
      <c r="I99" s="59">
        <f>'RefTable LEED'!BO35</f>
        <v>7</v>
      </c>
    </row>
    <row r="100" spans="2:9">
      <c r="B100" s="59"/>
      <c r="C100" s="206"/>
      <c r="D100" s="206"/>
      <c r="E100" s="59">
        <f>'RefTable LEED'!W36</f>
        <v>8</v>
      </c>
      <c r="F100" s="59">
        <f>'RefTable LEED'!AH36</f>
        <v>8</v>
      </c>
      <c r="G100" s="59">
        <f>'RefTable LEED'!AS36</f>
        <v>7</v>
      </c>
      <c r="H100" s="59">
        <f>'RefTable LEED'!BD36</f>
        <v>8</v>
      </c>
      <c r="I100" s="59">
        <f>'RefTable LEED'!BO36</f>
        <v>8</v>
      </c>
    </row>
    <row r="101" spans="2:9">
      <c r="B101" s="59"/>
      <c r="C101" s="206"/>
      <c r="D101" s="206"/>
      <c r="E101" s="59">
        <f>'RefTable LEED'!W37</f>
        <v>9</v>
      </c>
      <c r="F101" s="59" t="str">
        <f>'RefTable LEED'!AH37</f>
        <v>8 + EP</v>
      </c>
      <c r="G101" s="59">
        <f>'RefTable LEED'!AS37</f>
        <v>8</v>
      </c>
      <c r="H101" s="59">
        <f>'RefTable LEED'!BD37</f>
        <v>9</v>
      </c>
      <c r="I101" s="59">
        <f>'RefTable LEED'!BO37</f>
        <v>9</v>
      </c>
    </row>
    <row r="102" spans="2:9">
      <c r="B102" s="59"/>
      <c r="C102" s="206"/>
      <c r="D102" s="206"/>
      <c r="E102" s="59">
        <f>'RefTable LEED'!W38</f>
        <v>10</v>
      </c>
      <c r="F102" s="59">
        <f>'RefTable LEED'!AH38</f>
        <v>0</v>
      </c>
      <c r="G102" s="59" t="str">
        <f>'RefTable LEED'!AS38</f>
        <v>8+ EP</v>
      </c>
      <c r="H102" s="59">
        <f>'RefTable LEED'!BD38</f>
        <v>10</v>
      </c>
      <c r="I102" s="59">
        <f>'RefTable LEED'!BO38</f>
        <v>10</v>
      </c>
    </row>
    <row r="103" spans="2:9">
      <c r="B103" s="59"/>
      <c r="C103" s="206"/>
      <c r="D103" s="206"/>
      <c r="E103" s="59">
        <f>'RefTable LEED'!W39</f>
        <v>11</v>
      </c>
      <c r="F103" s="59">
        <f>'RefTable LEED'!AH39</f>
        <v>0</v>
      </c>
      <c r="G103" s="59" t="str">
        <f>'RefTable LEED'!AS39</f>
        <v>8+ EP</v>
      </c>
      <c r="H103" s="59">
        <f>'RefTable LEED'!BD39</f>
        <v>0</v>
      </c>
      <c r="I103" s="59">
        <f>'RefTable LEED'!BO39</f>
        <v>0</v>
      </c>
    </row>
    <row r="104" spans="2:9">
      <c r="B104" s="59"/>
      <c r="C104" s="206"/>
      <c r="D104" s="206"/>
      <c r="E104" s="59">
        <f>'RefTable LEED'!W40</f>
        <v>12</v>
      </c>
      <c r="F104" s="59">
        <f>'RefTable LEED'!AH40</f>
        <v>0</v>
      </c>
      <c r="G104" s="59">
        <f>'RefTable LEED'!AS40</f>
        <v>0</v>
      </c>
      <c r="H104" s="59">
        <f>'RefTable LEED'!BD40</f>
        <v>0</v>
      </c>
      <c r="I104" s="59">
        <f>'RefTable LEED'!BO40</f>
        <v>0</v>
      </c>
    </row>
    <row r="105" spans="2:9">
      <c r="B105" s="59"/>
      <c r="C105" s="206"/>
      <c r="D105" s="206"/>
      <c r="E105" s="59">
        <f>'RefTable LEED'!W41</f>
        <v>13</v>
      </c>
      <c r="F105" s="59">
        <f>'RefTable LEED'!AH41</f>
        <v>0</v>
      </c>
      <c r="G105" s="59">
        <f>'RefTable LEED'!AS41</f>
        <v>0</v>
      </c>
      <c r="H105" s="59">
        <f>'RefTable LEED'!BD41</f>
        <v>0</v>
      </c>
      <c r="I105" s="59">
        <f>'RefTable LEED'!BO41</f>
        <v>0</v>
      </c>
    </row>
    <row r="106" spans="2:9">
      <c r="B106" s="59"/>
      <c r="C106" s="206"/>
      <c r="D106" s="206"/>
      <c r="E106" s="59">
        <f>'RefTable LEED'!W42</f>
        <v>14</v>
      </c>
      <c r="F106" s="59">
        <f>'RefTable LEED'!AH42</f>
        <v>0</v>
      </c>
      <c r="G106" s="59">
        <f>'RefTable LEED'!AS42</f>
        <v>0</v>
      </c>
      <c r="H106" s="59">
        <f>'RefTable LEED'!BD42</f>
        <v>0</v>
      </c>
      <c r="I106" s="59">
        <f>'RefTable LEED'!BO42</f>
        <v>0</v>
      </c>
    </row>
    <row r="107" spans="2:9">
      <c r="B107" s="59"/>
      <c r="C107" s="206"/>
      <c r="D107" s="206"/>
      <c r="E107" s="59">
        <f>'RefTable LEED'!W43</f>
        <v>15</v>
      </c>
      <c r="F107" s="59">
        <f>'RefTable LEED'!AH43</f>
        <v>0</v>
      </c>
      <c r="G107" s="59">
        <f>'RefTable LEED'!AS43</f>
        <v>0</v>
      </c>
      <c r="H107" s="59">
        <f>'RefTable LEED'!BD43</f>
        <v>0</v>
      </c>
      <c r="I107" s="59">
        <f>'RefTable LEED'!BO43</f>
        <v>0</v>
      </c>
    </row>
    <row r="108" spans="2:9">
      <c r="B108" s="59"/>
      <c r="C108" s="206"/>
      <c r="D108" s="206"/>
      <c r="E108" s="59">
        <f>'RefTable LEED'!W44</f>
        <v>16</v>
      </c>
      <c r="F108" s="59">
        <f>'RefTable LEED'!AH44</f>
        <v>0</v>
      </c>
      <c r="G108" s="59">
        <f>'RefTable LEED'!AS44</f>
        <v>0</v>
      </c>
      <c r="H108" s="59">
        <f>'RefTable LEED'!BD44</f>
        <v>0</v>
      </c>
      <c r="I108" s="59">
        <f>'RefTable LEED'!BO44</f>
        <v>0</v>
      </c>
    </row>
    <row r="109" spans="2:9">
      <c r="B109" s="59"/>
      <c r="C109" s="206"/>
      <c r="D109" s="206"/>
      <c r="E109" s="59">
        <f>'RefTable LEED'!W45</f>
        <v>16</v>
      </c>
      <c r="F109" s="59">
        <f>'RefTable LEED'!AH45</f>
        <v>0</v>
      </c>
      <c r="G109" s="59">
        <f>'RefTable LEED'!AS45</f>
        <v>0</v>
      </c>
      <c r="H109" s="59">
        <f>'RefTable LEED'!BD45</f>
        <v>0</v>
      </c>
      <c r="I109" s="59">
        <f>'RefTable LEED'!BO45</f>
        <v>0</v>
      </c>
    </row>
    <row r="110" spans="2:9">
      <c r="B110" s="59"/>
      <c r="C110" s="206"/>
      <c r="D110" s="206"/>
      <c r="E110" s="59">
        <f>'RefTable LEED'!W46</f>
        <v>16</v>
      </c>
      <c r="F110" s="59">
        <f>'RefTable LEED'!AH46</f>
        <v>0</v>
      </c>
      <c r="G110" s="59">
        <f>'RefTable LEED'!AS46</f>
        <v>0</v>
      </c>
      <c r="H110" s="59">
        <f>'RefTable LEED'!BD46</f>
        <v>0</v>
      </c>
      <c r="I110" s="59">
        <f>'RefTable LEED'!BO46</f>
        <v>0</v>
      </c>
    </row>
    <row r="111" spans="2:9">
      <c r="B111" s="59"/>
      <c r="C111" s="206"/>
      <c r="D111" s="206"/>
      <c r="E111" s="59">
        <f>'RefTable LEED'!W47</f>
        <v>0</v>
      </c>
      <c r="F111" s="59">
        <f>'RefTable LEED'!AH47</f>
        <v>0</v>
      </c>
      <c r="G111" s="59">
        <f>'RefTable LEED'!AS47</f>
        <v>0</v>
      </c>
      <c r="H111" s="59">
        <f>'RefTable LEED'!BD47</f>
        <v>0</v>
      </c>
      <c r="I111" s="59">
        <f>'RefTable LEED'!BO47</f>
        <v>0</v>
      </c>
    </row>
    <row r="114" spans="2:9">
      <c r="B114" s="59" t="str">
        <f>_xlfn.CONCAT(B$12," Thresholds")</f>
        <v>Credit 3 Thresholds</v>
      </c>
      <c r="C114" s="206"/>
      <c r="D114" s="198">
        <f>'RefTable LEED'!K50</f>
        <v>0</v>
      </c>
      <c r="E114" s="198">
        <f>'RefTable LEED'!V50</f>
        <v>0</v>
      </c>
      <c r="F114" s="198">
        <f>'RefTable LEED'!AG50</f>
        <v>0</v>
      </c>
      <c r="G114" s="198">
        <f>'RefTable LEED'!AR50</f>
        <v>0</v>
      </c>
      <c r="H114" s="198">
        <f>'RefTable LEED'!BC50</f>
        <v>0</v>
      </c>
      <c r="I114" s="198">
        <f>'RefTable LEED'!BN50</f>
        <v>0</v>
      </c>
    </row>
    <row r="115" spans="2:9">
      <c r="B115" s="59"/>
      <c r="C115" s="206"/>
      <c r="D115" s="198">
        <f>'RefTable LEED'!K51</f>
        <v>0.01</v>
      </c>
      <c r="E115" s="198">
        <f>'RefTable LEED'!V51</f>
        <v>0.01</v>
      </c>
      <c r="F115" s="198">
        <f>'RefTable LEED'!AG51</f>
        <v>0.01</v>
      </c>
      <c r="G115" s="198">
        <f>'RefTable LEED'!AR51</f>
        <v>0.02</v>
      </c>
      <c r="H115" s="198">
        <f>'RefTable LEED'!BC51</f>
        <v>0.05</v>
      </c>
      <c r="I115" s="198">
        <f>'RefTable LEED'!BN51</f>
        <v>0</v>
      </c>
    </row>
    <row r="116" spans="2:9">
      <c r="B116" s="59"/>
      <c r="C116" s="206"/>
      <c r="D116" s="198">
        <f>'RefTable LEED'!K52</f>
        <v>0.03</v>
      </c>
      <c r="E116" s="198">
        <f>'RefTable LEED'!V52</f>
        <v>0.05</v>
      </c>
      <c r="F116" s="198">
        <f>'RefTable LEED'!AG52</f>
        <v>0.05</v>
      </c>
      <c r="G116" s="198">
        <f>'RefTable LEED'!AR52</f>
        <v>0.05</v>
      </c>
      <c r="H116" s="198">
        <f>'RefTable LEED'!BC52</f>
        <v>0.1</v>
      </c>
      <c r="I116" s="198">
        <f>'RefTable LEED'!BN52</f>
        <v>0</v>
      </c>
    </row>
    <row r="117" spans="2:9">
      <c r="B117" s="59"/>
      <c r="C117" s="206"/>
      <c r="D117" s="198">
        <f>'RefTable LEED'!K53</f>
        <v>0.05</v>
      </c>
      <c r="E117" s="198">
        <f>'RefTable LEED'!V53</f>
        <v>0.1</v>
      </c>
      <c r="F117" s="198">
        <f>'RefTable LEED'!AG53</f>
        <v>0.1</v>
      </c>
      <c r="G117" s="198">
        <f>'RefTable LEED'!AR53</f>
        <v>0.1</v>
      </c>
      <c r="H117" s="198">
        <f>'RefTable LEED'!BC53</f>
        <v>0.2</v>
      </c>
      <c r="I117" s="198">
        <f>'RefTable LEED'!BN53</f>
        <v>0</v>
      </c>
    </row>
    <row r="118" spans="2:9">
      <c r="B118" s="59"/>
      <c r="C118" s="206"/>
      <c r="D118" s="198">
        <f>'RefTable LEED'!K54</f>
        <v>7.0000000000000007E-2</v>
      </c>
      <c r="E118" s="198">
        <f>'RefTable LEED'!V54</f>
        <v>0.15</v>
      </c>
      <c r="F118" s="198">
        <f>'RefTable LEED'!AG54</f>
        <v>0.15</v>
      </c>
      <c r="G118" s="198">
        <f>'RefTable LEED'!AR54</f>
        <v>0.15</v>
      </c>
      <c r="H118" s="198">
        <f>'RefTable LEED'!BC54</f>
        <v>0.35</v>
      </c>
      <c r="I118" s="198">
        <f>'RefTable LEED'!BN54</f>
        <v>0</v>
      </c>
    </row>
    <row r="119" spans="2:9">
      <c r="B119" s="59"/>
      <c r="C119" s="206"/>
      <c r="D119" s="198">
        <f>'RefTable LEED'!K55</f>
        <v>0.09</v>
      </c>
      <c r="E119" s="198">
        <f>'RefTable LEED'!V55</f>
        <v>1</v>
      </c>
      <c r="F119" s="198">
        <f>'RefTable LEED'!AG55</f>
        <v>1</v>
      </c>
      <c r="G119" s="198">
        <f>'RefTable LEED'!AR55</f>
        <v>0.2</v>
      </c>
      <c r="H119" s="198">
        <f>'RefTable LEED'!BC55</f>
        <v>1</v>
      </c>
      <c r="I119" s="198">
        <f>'RefTable LEED'!BN55</f>
        <v>0</v>
      </c>
    </row>
    <row r="120" spans="2:9">
      <c r="B120" s="59"/>
      <c r="C120" s="206"/>
      <c r="D120" s="198">
        <f>'RefTable LEED'!K56</f>
        <v>0.11</v>
      </c>
      <c r="E120" s="198">
        <f>'RefTable LEED'!V56</f>
        <v>0</v>
      </c>
      <c r="F120" s="198">
        <f>'RefTable LEED'!AG56</f>
        <v>0</v>
      </c>
      <c r="G120" s="198">
        <f>'RefTable LEED'!AR56</f>
        <v>0.25</v>
      </c>
      <c r="H120" s="198">
        <f>'RefTable LEED'!BC56</f>
        <v>0</v>
      </c>
      <c r="I120" s="198">
        <f>'RefTable LEED'!BN56</f>
        <v>0</v>
      </c>
    </row>
    <row r="121" spans="2:9">
      <c r="B121" s="59"/>
      <c r="C121" s="206"/>
      <c r="D121" s="198">
        <f>'RefTable LEED'!K57</f>
        <v>0.13</v>
      </c>
      <c r="E121" s="198">
        <f>'RefTable LEED'!V57</f>
        <v>0</v>
      </c>
      <c r="F121" s="198">
        <f>'RefTable LEED'!AG57</f>
        <v>0</v>
      </c>
      <c r="G121" s="198">
        <f>'RefTable LEED'!AR57</f>
        <v>1</v>
      </c>
      <c r="H121" s="198">
        <f>'RefTable LEED'!BC57</f>
        <v>0</v>
      </c>
      <c r="I121" s="198">
        <f>'RefTable LEED'!BN57</f>
        <v>0</v>
      </c>
    </row>
    <row r="122" spans="2:9">
      <c r="B122" s="59"/>
      <c r="C122" s="206"/>
      <c r="D122" s="198">
        <f>'RefTable LEED'!K58</f>
        <v>0.15</v>
      </c>
      <c r="E122" s="198">
        <f>'RefTable LEED'!V58</f>
        <v>0</v>
      </c>
      <c r="F122" s="198">
        <f>'RefTable LEED'!AG58</f>
        <v>0</v>
      </c>
      <c r="G122" s="198">
        <f>'RefTable LEED'!AR58</f>
        <v>0</v>
      </c>
      <c r="H122" s="198">
        <f>'RefTable LEED'!BC58</f>
        <v>0</v>
      </c>
      <c r="I122" s="198">
        <f>'RefTable LEED'!BN58</f>
        <v>0</v>
      </c>
    </row>
    <row r="123" spans="2:9">
      <c r="B123" s="59"/>
      <c r="C123" s="206"/>
      <c r="D123" s="198">
        <f>'RefTable LEED'!K59</f>
        <v>0</v>
      </c>
      <c r="E123" s="198">
        <f>'RefTable LEED'!V59</f>
        <v>0</v>
      </c>
      <c r="F123" s="198">
        <f>'RefTable LEED'!AG59</f>
        <v>0</v>
      </c>
      <c r="G123" s="198">
        <f>'RefTable LEED'!AR59</f>
        <v>0</v>
      </c>
      <c r="H123" s="198">
        <f>'RefTable LEED'!BC59</f>
        <v>0</v>
      </c>
      <c r="I123" s="198">
        <f>'RefTable LEED'!BN59</f>
        <v>0</v>
      </c>
    </row>
    <row r="124" spans="2:9">
      <c r="B124" s="59"/>
      <c r="C124" s="206"/>
      <c r="D124" s="198">
        <f>'RefTable LEED'!K60</f>
        <v>0</v>
      </c>
      <c r="E124" s="198">
        <f>'RefTable LEED'!V60</f>
        <v>0</v>
      </c>
      <c r="F124" s="198">
        <f>'RefTable LEED'!AG60</f>
        <v>0</v>
      </c>
      <c r="G124" s="198">
        <f>'RefTable LEED'!AR60</f>
        <v>0</v>
      </c>
      <c r="H124" s="198">
        <f>'RefTable LEED'!BC60</f>
        <v>0</v>
      </c>
      <c r="I124" s="198">
        <f>'RefTable LEED'!BN60</f>
        <v>0</v>
      </c>
    </row>
    <row r="125" spans="2:9">
      <c r="B125" s="59"/>
      <c r="C125" s="206"/>
      <c r="D125" s="198">
        <f>'RefTable LEED'!K61</f>
        <v>0</v>
      </c>
      <c r="E125" s="198">
        <f>'RefTable LEED'!V61</f>
        <v>0</v>
      </c>
      <c r="F125" s="198">
        <f>'RefTable LEED'!AG61</f>
        <v>0</v>
      </c>
      <c r="G125" s="198">
        <f>'RefTable LEED'!AR61</f>
        <v>0</v>
      </c>
      <c r="H125" s="198">
        <f>'RefTable LEED'!BC61</f>
        <v>0</v>
      </c>
      <c r="I125" s="198">
        <f>'RefTable LEED'!BN61</f>
        <v>0</v>
      </c>
    </row>
    <row r="126" spans="2:9">
      <c r="B126" s="59"/>
      <c r="C126" s="206"/>
      <c r="D126" s="198">
        <f>'RefTable LEED'!K62</f>
        <v>0</v>
      </c>
      <c r="E126" s="198">
        <f>'RefTable LEED'!V62</f>
        <v>0</v>
      </c>
      <c r="F126" s="198">
        <f>'RefTable LEED'!AG62</f>
        <v>0</v>
      </c>
      <c r="G126" s="198">
        <f>'RefTable LEED'!AR62</f>
        <v>0</v>
      </c>
      <c r="H126" s="198">
        <f>'RefTable LEED'!BC62</f>
        <v>0</v>
      </c>
      <c r="I126" s="198">
        <f>'RefTable LEED'!BN62</f>
        <v>0</v>
      </c>
    </row>
    <row r="127" spans="2:9">
      <c r="B127" s="59"/>
      <c r="C127" s="206"/>
      <c r="D127" s="198">
        <f>'RefTable LEED'!K63</f>
        <v>0</v>
      </c>
      <c r="E127" s="198">
        <f>'RefTable LEED'!V63</f>
        <v>0</v>
      </c>
      <c r="F127" s="198">
        <f>'RefTable LEED'!AG63</f>
        <v>0</v>
      </c>
      <c r="G127" s="198">
        <f>'RefTable LEED'!AR63</f>
        <v>0</v>
      </c>
      <c r="H127" s="198">
        <f>'RefTable LEED'!BC63</f>
        <v>0</v>
      </c>
      <c r="I127" s="198">
        <f>'RefTable LEED'!BN63</f>
        <v>0</v>
      </c>
    </row>
    <row r="128" spans="2:9">
      <c r="B128" s="59"/>
      <c r="C128" s="206"/>
      <c r="D128" s="198">
        <f>'RefTable LEED'!K64</f>
        <v>0</v>
      </c>
      <c r="E128" s="198">
        <f>'RefTable LEED'!V64</f>
        <v>0</v>
      </c>
      <c r="F128" s="198">
        <f>'RefTable LEED'!AG64</f>
        <v>0</v>
      </c>
      <c r="G128" s="198">
        <f>'RefTable LEED'!AR64</f>
        <v>0</v>
      </c>
      <c r="H128" s="198">
        <f>'RefTable LEED'!BC64</f>
        <v>0</v>
      </c>
      <c r="I128" s="198">
        <f>'RefTable LEED'!BN64</f>
        <v>0</v>
      </c>
    </row>
    <row r="129" spans="2:9">
      <c r="B129" s="59"/>
      <c r="C129" s="206"/>
      <c r="D129" s="198">
        <f>'RefTable LEED'!K65</f>
        <v>0</v>
      </c>
      <c r="E129" s="198">
        <f>'RefTable LEED'!V65</f>
        <v>0</v>
      </c>
      <c r="F129" s="198">
        <f>'RefTable LEED'!AG65</f>
        <v>0</v>
      </c>
      <c r="G129" s="198">
        <f>'RefTable LEED'!AR65</f>
        <v>0</v>
      </c>
      <c r="H129" s="198">
        <f>'RefTable LEED'!BC65</f>
        <v>0</v>
      </c>
      <c r="I129" s="198">
        <f>'RefTable LEED'!BN65</f>
        <v>0</v>
      </c>
    </row>
    <row r="130" spans="2:9">
      <c r="B130" s="59"/>
      <c r="C130" s="206"/>
      <c r="D130" s="198">
        <f>'RefTable LEED'!K66</f>
        <v>0</v>
      </c>
      <c r="E130" s="198">
        <f>'RefTable LEED'!V66</f>
        <v>0</v>
      </c>
      <c r="F130" s="198">
        <f>'RefTable LEED'!AG66</f>
        <v>0</v>
      </c>
      <c r="G130" s="198">
        <f>'RefTable LEED'!AR66</f>
        <v>0</v>
      </c>
      <c r="H130" s="198">
        <f>'RefTable LEED'!BC66</f>
        <v>0</v>
      </c>
      <c r="I130" s="198">
        <f>'RefTable LEED'!BN66</f>
        <v>0</v>
      </c>
    </row>
    <row r="131" spans="2:9">
      <c r="B131" s="59"/>
      <c r="C131" s="206"/>
      <c r="D131" s="198">
        <f>'RefTable LEED'!K67</f>
        <v>0</v>
      </c>
      <c r="E131" s="198">
        <f>'RefTable LEED'!V67</f>
        <v>0</v>
      </c>
      <c r="F131" s="198">
        <f>'RefTable LEED'!AG67</f>
        <v>0</v>
      </c>
      <c r="G131" s="198">
        <f>'RefTable LEED'!AR67</f>
        <v>0</v>
      </c>
      <c r="H131" s="198">
        <f>'RefTable LEED'!BC67</f>
        <v>0</v>
      </c>
      <c r="I131" s="198">
        <f>'RefTable LEED'!BN67</f>
        <v>0</v>
      </c>
    </row>
    <row r="132" spans="2:9">
      <c r="B132" s="59"/>
      <c r="C132" s="206"/>
      <c r="D132" s="198">
        <f>'RefTable LEED'!K68</f>
        <v>0</v>
      </c>
      <c r="E132" s="198">
        <f>'RefTable LEED'!V68</f>
        <v>0</v>
      </c>
      <c r="F132" s="198">
        <f>'RefTable LEED'!AG68</f>
        <v>0</v>
      </c>
      <c r="G132" s="198">
        <f>'RefTable LEED'!AR68</f>
        <v>0</v>
      </c>
      <c r="H132" s="198">
        <f>'RefTable LEED'!BC68</f>
        <v>0</v>
      </c>
      <c r="I132" s="198">
        <f>'RefTable LEED'!BN68</f>
        <v>0</v>
      </c>
    </row>
    <row r="133" spans="2:9">
      <c r="B133" s="59"/>
      <c r="C133" s="206"/>
      <c r="D133" s="198">
        <f>'RefTable LEED'!K69</f>
        <v>0</v>
      </c>
      <c r="E133" s="198">
        <f>'RefTable LEED'!V69</f>
        <v>0</v>
      </c>
      <c r="F133" s="198">
        <f>'RefTable LEED'!AG69</f>
        <v>0</v>
      </c>
      <c r="G133" s="198">
        <f>'RefTable LEED'!AR69</f>
        <v>0</v>
      </c>
      <c r="H133" s="198">
        <f>'RefTable LEED'!BC69</f>
        <v>0</v>
      </c>
      <c r="I133" s="198">
        <f>'RefTable LEED'!BN69</f>
        <v>0</v>
      </c>
    </row>
    <row r="136" spans="2:9">
      <c r="B136" s="59" t="str">
        <f>_xlfn.CONCAT(B$12," Points")</f>
        <v>Credit 3 Points</v>
      </c>
      <c r="C136" s="206"/>
      <c r="D136" s="59">
        <f>'RefTable LEED'!L50</f>
        <v>0</v>
      </c>
      <c r="E136" s="59">
        <f>'RefTable LEED'!W50</f>
        <v>0</v>
      </c>
      <c r="F136" s="59">
        <f>'RefTable LEED'!AH50</f>
        <v>0</v>
      </c>
      <c r="G136" s="59">
        <f>'RefTable LEED'!AS50</f>
        <v>0</v>
      </c>
      <c r="H136" s="59">
        <f>'RefTable LEED'!BD50</f>
        <v>0</v>
      </c>
      <c r="I136" s="59">
        <f>'RefTable LEED'!BO50</f>
        <v>0</v>
      </c>
    </row>
    <row r="137" spans="2:9">
      <c r="B137" s="59"/>
      <c r="C137" s="206"/>
      <c r="D137" s="59">
        <f>'RefTable LEED'!L51</f>
        <v>1</v>
      </c>
      <c r="E137" s="59">
        <f>'RefTable LEED'!W51</f>
        <v>1</v>
      </c>
      <c r="F137" s="59">
        <f>'RefTable LEED'!AH51</f>
        <v>1</v>
      </c>
      <c r="G137" s="59">
        <f>'RefTable LEED'!AS51</f>
        <v>1</v>
      </c>
      <c r="H137" s="59">
        <f>'RefTable LEED'!BD51</f>
        <v>1</v>
      </c>
      <c r="I137" s="59">
        <f>'RefTable LEED'!BO51</f>
        <v>0</v>
      </c>
    </row>
    <row r="138" spans="2:9">
      <c r="B138" s="59"/>
      <c r="C138" s="206"/>
      <c r="D138" s="59">
        <f>'RefTable LEED'!L52</f>
        <v>2</v>
      </c>
      <c r="E138" s="59">
        <f>'RefTable LEED'!W52</f>
        <v>2</v>
      </c>
      <c r="F138" s="59">
        <f>'RefTable LEED'!AH52</f>
        <v>2</v>
      </c>
      <c r="G138" s="59">
        <f>'RefTable LEED'!AS52</f>
        <v>2</v>
      </c>
      <c r="H138" s="59">
        <f>'RefTable LEED'!BD52</f>
        <v>2</v>
      </c>
      <c r="I138" s="59">
        <f>'RefTable LEED'!BO52</f>
        <v>0</v>
      </c>
    </row>
    <row r="139" spans="2:9">
      <c r="B139" s="59"/>
      <c r="C139" s="206"/>
      <c r="D139" s="59">
        <f>'RefTable LEED'!L53</f>
        <v>3</v>
      </c>
      <c r="E139" s="59">
        <f>'RefTable LEED'!W53</f>
        <v>3</v>
      </c>
      <c r="F139" s="59">
        <f>'RefTable LEED'!AH53</f>
        <v>3</v>
      </c>
      <c r="G139" s="59">
        <f>'RefTable LEED'!AS53</f>
        <v>3</v>
      </c>
      <c r="H139" s="59">
        <f>'RefTable LEED'!BD53</f>
        <v>3</v>
      </c>
      <c r="I139" s="59">
        <f>'RefTable LEED'!BO53</f>
        <v>0</v>
      </c>
    </row>
    <row r="140" spans="2:9">
      <c r="B140" s="59"/>
      <c r="C140" s="206"/>
      <c r="D140" s="59">
        <f>'RefTable LEED'!L54</f>
        <v>4</v>
      </c>
      <c r="E140" s="59" t="str">
        <f>'RefTable LEED'!W54</f>
        <v>3 + 1 EP</v>
      </c>
      <c r="F140" s="59" t="str">
        <f>'RefTable LEED'!AH54</f>
        <v>3 + 1 EP</v>
      </c>
      <c r="G140" s="59">
        <f>'RefTable LEED'!AS54</f>
        <v>4</v>
      </c>
      <c r="H140" s="59">
        <f>'RefTable LEED'!BD54</f>
        <v>4</v>
      </c>
      <c r="I140" s="59">
        <f>'RefTable LEED'!BO54</f>
        <v>0</v>
      </c>
    </row>
    <row r="141" spans="2:9">
      <c r="B141" s="59"/>
      <c r="C141" s="206"/>
      <c r="D141" s="59">
        <f>'RefTable LEED'!L55</f>
        <v>5</v>
      </c>
      <c r="E141" s="59" t="str">
        <f>'RefTable LEED'!W55</f>
        <v>3 + 1 EP</v>
      </c>
      <c r="F141" s="59" t="str">
        <f>'RefTable LEED'!AH55</f>
        <v>3 + 1 EP</v>
      </c>
      <c r="G141" s="59">
        <f>'RefTable LEED'!AS55</f>
        <v>5</v>
      </c>
      <c r="H141" s="59">
        <f>'RefTable LEED'!BD55</f>
        <v>5</v>
      </c>
      <c r="I141" s="59">
        <f>'RefTable LEED'!BO55</f>
        <v>0</v>
      </c>
    </row>
    <row r="142" spans="2:9">
      <c r="B142" s="59"/>
      <c r="C142" s="206"/>
      <c r="D142" s="59">
        <f>'RefTable LEED'!L56</f>
        <v>6</v>
      </c>
      <c r="E142" s="59">
        <f>'RefTable LEED'!W56</f>
        <v>0</v>
      </c>
      <c r="F142" s="59">
        <f>'RefTable LEED'!AH56</f>
        <v>0</v>
      </c>
      <c r="G142" s="59" t="str">
        <f>'RefTable LEED'!AS56</f>
        <v>5 + 1 EP</v>
      </c>
      <c r="H142" s="59">
        <f>'RefTable LEED'!BD56</f>
        <v>0</v>
      </c>
      <c r="I142" s="59">
        <f>'RefTable LEED'!BO56</f>
        <v>0</v>
      </c>
    </row>
    <row r="143" spans="2:9">
      <c r="B143" s="59"/>
      <c r="C143" s="206"/>
      <c r="D143" s="59">
        <f>'RefTable LEED'!L57</f>
        <v>7</v>
      </c>
      <c r="E143" s="59">
        <f>'RefTable LEED'!W57</f>
        <v>0</v>
      </c>
      <c r="F143" s="59">
        <f>'RefTable LEED'!AH57</f>
        <v>0</v>
      </c>
      <c r="G143" s="59" t="str">
        <f>'RefTable LEED'!AS57</f>
        <v>5 + 1 EP</v>
      </c>
      <c r="H143" s="59">
        <f>'RefTable LEED'!BD57</f>
        <v>0</v>
      </c>
      <c r="I143" s="59">
        <f>'RefTable LEED'!BO57</f>
        <v>0</v>
      </c>
    </row>
    <row r="144" spans="2:9">
      <c r="B144" s="59"/>
      <c r="C144" s="206"/>
      <c r="D144" s="59" t="str">
        <f>'RefTable LEED'!L58</f>
        <v>7 + 1 EP</v>
      </c>
      <c r="E144" s="59">
        <f>'RefTable LEED'!W58</f>
        <v>0</v>
      </c>
      <c r="F144" s="59">
        <f>'RefTable LEED'!AH58</f>
        <v>0</v>
      </c>
      <c r="G144" s="59">
        <f>'RefTable LEED'!AS58</f>
        <v>0</v>
      </c>
      <c r="H144" s="59">
        <f>'RefTable LEED'!BD58</f>
        <v>0</v>
      </c>
      <c r="I144" s="59">
        <f>'RefTable LEED'!BO58</f>
        <v>0</v>
      </c>
    </row>
    <row r="145" spans="2:9">
      <c r="B145" s="59"/>
      <c r="C145" s="206"/>
      <c r="D145" s="59">
        <f>'RefTable LEED'!L59</f>
        <v>0</v>
      </c>
      <c r="E145" s="59">
        <f>'RefTable LEED'!W59</f>
        <v>0</v>
      </c>
      <c r="F145" s="59">
        <f>'RefTable LEED'!AH59</f>
        <v>0</v>
      </c>
      <c r="G145" s="59">
        <f>'RefTable LEED'!AS59</f>
        <v>0</v>
      </c>
      <c r="H145" s="59">
        <f>'RefTable LEED'!BD59</f>
        <v>0</v>
      </c>
      <c r="I145" s="59">
        <f>'RefTable LEED'!BO59</f>
        <v>0</v>
      </c>
    </row>
    <row r="146" spans="2:9">
      <c r="B146" s="59"/>
      <c r="C146" s="206"/>
      <c r="D146" s="59">
        <f>'RefTable LEED'!L60</f>
        <v>0</v>
      </c>
      <c r="E146" s="59">
        <f>'RefTable LEED'!W60</f>
        <v>0</v>
      </c>
      <c r="F146" s="59">
        <f>'RefTable LEED'!AH60</f>
        <v>0</v>
      </c>
      <c r="G146" s="59">
        <f>'RefTable LEED'!AS60</f>
        <v>0</v>
      </c>
      <c r="H146" s="59">
        <f>'RefTable LEED'!BD60</f>
        <v>0</v>
      </c>
      <c r="I146" s="59">
        <f>'RefTable LEED'!BO60</f>
        <v>0</v>
      </c>
    </row>
    <row r="147" spans="2:9">
      <c r="B147" s="59"/>
      <c r="C147" s="206"/>
      <c r="D147" s="59">
        <f>'RefTable LEED'!L61</f>
        <v>0</v>
      </c>
      <c r="E147" s="59">
        <f>'RefTable LEED'!W61</f>
        <v>0</v>
      </c>
      <c r="F147" s="59">
        <f>'RefTable LEED'!AH61</f>
        <v>0</v>
      </c>
      <c r="G147" s="59">
        <f>'RefTable LEED'!AS61</f>
        <v>0</v>
      </c>
      <c r="H147" s="59">
        <f>'RefTable LEED'!BD61</f>
        <v>0</v>
      </c>
      <c r="I147" s="59">
        <f>'RefTable LEED'!BO61</f>
        <v>0</v>
      </c>
    </row>
    <row r="148" spans="2:9">
      <c r="B148" s="59"/>
      <c r="C148" s="206"/>
      <c r="D148" s="59">
        <f>'RefTable LEED'!L62</f>
        <v>0</v>
      </c>
      <c r="E148" s="59">
        <f>'RefTable LEED'!W62</f>
        <v>0</v>
      </c>
      <c r="F148" s="59">
        <f>'RefTable LEED'!AH62</f>
        <v>0</v>
      </c>
      <c r="G148" s="59">
        <f>'RefTable LEED'!AS62</f>
        <v>0</v>
      </c>
      <c r="H148" s="59">
        <f>'RefTable LEED'!BD62</f>
        <v>0</v>
      </c>
      <c r="I148" s="59">
        <f>'RefTable LEED'!BO62</f>
        <v>0</v>
      </c>
    </row>
    <row r="149" spans="2:9">
      <c r="B149" s="59"/>
      <c r="C149" s="206"/>
      <c r="D149" s="59">
        <f>'RefTable LEED'!L63</f>
        <v>0</v>
      </c>
      <c r="E149" s="59">
        <f>'RefTable LEED'!W63</f>
        <v>0</v>
      </c>
      <c r="F149" s="59">
        <f>'RefTable LEED'!AH63</f>
        <v>0</v>
      </c>
      <c r="G149" s="59">
        <f>'RefTable LEED'!AS63</f>
        <v>0</v>
      </c>
      <c r="H149" s="59">
        <f>'RefTable LEED'!BD63</f>
        <v>0</v>
      </c>
      <c r="I149" s="59">
        <f>'RefTable LEED'!BO63</f>
        <v>0</v>
      </c>
    </row>
    <row r="150" spans="2:9">
      <c r="B150" s="59"/>
      <c r="C150" s="206"/>
      <c r="D150" s="59">
        <f>'RefTable LEED'!L64</f>
        <v>0</v>
      </c>
      <c r="E150" s="59">
        <f>'RefTable LEED'!W64</f>
        <v>0</v>
      </c>
      <c r="F150" s="59">
        <f>'RefTable LEED'!AH64</f>
        <v>0</v>
      </c>
      <c r="G150" s="59">
        <f>'RefTable LEED'!AS64</f>
        <v>0</v>
      </c>
      <c r="H150" s="59">
        <f>'RefTable LEED'!BD64</f>
        <v>0</v>
      </c>
      <c r="I150" s="59">
        <f>'RefTable LEED'!BO64</f>
        <v>0</v>
      </c>
    </row>
    <row r="151" spans="2:9">
      <c r="B151" s="59"/>
      <c r="C151" s="206"/>
      <c r="D151" s="59">
        <f>'RefTable LEED'!L65</f>
        <v>0</v>
      </c>
      <c r="E151" s="59">
        <f>'RefTable LEED'!W65</f>
        <v>0</v>
      </c>
      <c r="F151" s="59">
        <f>'RefTable LEED'!AH65</f>
        <v>0</v>
      </c>
      <c r="G151" s="59">
        <f>'RefTable LEED'!AS65</f>
        <v>0</v>
      </c>
      <c r="H151" s="59">
        <f>'RefTable LEED'!BD65</f>
        <v>0</v>
      </c>
      <c r="I151" s="59">
        <f>'RefTable LEED'!BO65</f>
        <v>0</v>
      </c>
    </row>
    <row r="152" spans="2:9">
      <c r="B152" s="59"/>
      <c r="C152" s="206"/>
      <c r="D152" s="59">
        <f>'RefTable LEED'!L66</f>
        <v>0</v>
      </c>
      <c r="E152" s="59">
        <f>'RefTable LEED'!W66</f>
        <v>0</v>
      </c>
      <c r="F152" s="59">
        <f>'RefTable LEED'!AH66</f>
        <v>0</v>
      </c>
      <c r="G152" s="59">
        <f>'RefTable LEED'!AS66</f>
        <v>0</v>
      </c>
      <c r="H152" s="59">
        <f>'RefTable LEED'!BD66</f>
        <v>0</v>
      </c>
      <c r="I152" s="59">
        <f>'RefTable LEED'!BO66</f>
        <v>0</v>
      </c>
    </row>
    <row r="153" spans="2:9">
      <c r="B153" s="59"/>
      <c r="C153" s="206"/>
      <c r="D153" s="59">
        <f>'RefTable LEED'!L67</f>
        <v>0</v>
      </c>
      <c r="E153" s="59">
        <f>'RefTable LEED'!W67</f>
        <v>0</v>
      </c>
      <c r="F153" s="59">
        <f>'RefTable LEED'!AH67</f>
        <v>0</v>
      </c>
      <c r="G153" s="59">
        <f>'RefTable LEED'!AS67</f>
        <v>0</v>
      </c>
      <c r="H153" s="59">
        <f>'RefTable LEED'!BD67</f>
        <v>0</v>
      </c>
      <c r="I153" s="59">
        <f>'RefTable LEED'!BO67</f>
        <v>0</v>
      </c>
    </row>
    <row r="154" spans="2:9">
      <c r="B154" s="59"/>
      <c r="C154" s="206"/>
      <c r="D154" s="59">
        <f>'RefTable LEED'!L68</f>
        <v>0</v>
      </c>
      <c r="E154" s="59">
        <f>'RefTable LEED'!W68</f>
        <v>0</v>
      </c>
      <c r="F154" s="59">
        <f>'RefTable LEED'!AH68</f>
        <v>0</v>
      </c>
      <c r="G154" s="59">
        <f>'RefTable LEED'!AS68</f>
        <v>0</v>
      </c>
      <c r="H154" s="59">
        <f>'RefTable LEED'!BD68</f>
        <v>0</v>
      </c>
      <c r="I154" s="59">
        <f>'RefTable LEED'!BO68</f>
        <v>0</v>
      </c>
    </row>
    <row r="155" spans="2:9">
      <c r="B155" s="59"/>
      <c r="C155" s="206"/>
      <c r="D155" s="59">
        <f>'RefTable LEED'!L69</f>
        <v>0</v>
      </c>
      <c r="E155" s="59">
        <f>'RefTable LEED'!W69</f>
        <v>0</v>
      </c>
      <c r="F155" s="59">
        <f>'RefTable LEED'!AH69</f>
        <v>0</v>
      </c>
      <c r="G155" s="59">
        <f>'RefTable LEED'!AS69</f>
        <v>0</v>
      </c>
      <c r="H155" s="59">
        <f>'RefTable LEED'!BD69</f>
        <v>0</v>
      </c>
      <c r="I155" s="59">
        <f>'RefTable LEED'!BO69</f>
        <v>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O69"/>
  <sheetViews>
    <sheetView showGridLines="0" zoomScale="70" zoomScaleNormal="70" workbookViewId="0"/>
  </sheetViews>
  <sheetFormatPr defaultColWidth="9.109375" defaultRowHeight="15"/>
  <cols>
    <col min="1" max="1" width="3.5546875" style="1" customWidth="1"/>
    <col min="2" max="2" width="20.5546875" style="1" customWidth="1"/>
    <col min="3" max="9" width="12.88671875" style="1" customWidth="1"/>
    <col min="10" max="10" width="3.88671875" style="1" customWidth="1"/>
    <col min="11" max="12" width="12.88671875" style="1" customWidth="1"/>
    <col min="13" max="13" width="3.88671875" style="1" customWidth="1"/>
    <col min="14" max="20" width="12.88671875" style="1" customWidth="1"/>
    <col min="21" max="21" width="3.88671875" style="1" customWidth="1"/>
    <col min="22" max="23" width="12.88671875" style="1" customWidth="1"/>
    <col min="24" max="24" width="3.88671875" style="1" customWidth="1"/>
    <col min="25" max="31" width="12.88671875" style="1" customWidth="1"/>
    <col min="32" max="32" width="3.88671875" style="1" customWidth="1"/>
    <col min="33" max="34" width="12.88671875" style="1" customWidth="1"/>
    <col min="35" max="35" width="3.88671875" style="1" customWidth="1"/>
    <col min="36" max="42" width="12.88671875" style="1" customWidth="1"/>
    <col min="43" max="43" width="3.88671875" style="1" customWidth="1"/>
    <col min="44" max="45" width="12.88671875" style="1" customWidth="1"/>
    <col min="46" max="46" width="3.88671875" style="1" customWidth="1"/>
    <col min="47" max="53" width="12.88671875" style="1" customWidth="1"/>
    <col min="54" max="54" width="3.88671875" style="1" customWidth="1"/>
    <col min="55" max="56" width="12.88671875" style="1" customWidth="1"/>
    <col min="57" max="57" width="3.88671875" style="1" customWidth="1"/>
    <col min="58" max="64" width="12.88671875" style="1" customWidth="1"/>
    <col min="65" max="65" width="3.88671875" style="1" customWidth="1"/>
    <col min="66" max="67" width="12.88671875" style="1" customWidth="1"/>
    <col min="68" max="68" width="3.88671875" style="1" customWidth="1"/>
    <col min="69" max="16384" width="9.109375" style="1"/>
  </cols>
  <sheetData>
    <row r="1" spans="1:67" s="79" customFormat="1">
      <c r="A1" s="77" t="s">
        <v>340</v>
      </c>
      <c r="B1" s="77"/>
      <c r="C1" s="77"/>
      <c r="D1" s="77"/>
      <c r="E1" s="77"/>
      <c r="F1" s="77"/>
      <c r="G1" s="77"/>
      <c r="H1" s="77"/>
      <c r="I1" s="77"/>
      <c r="J1" s="77"/>
      <c r="K1" s="77"/>
      <c r="L1" s="77"/>
      <c r="M1" s="77"/>
      <c r="N1" s="77"/>
      <c r="O1" s="77"/>
      <c r="P1" s="77"/>
      <c r="Q1" s="77"/>
      <c r="R1" s="77"/>
      <c r="S1" s="77"/>
      <c r="T1" s="77"/>
      <c r="U1" s="77"/>
      <c r="V1" s="77"/>
      <c r="W1" s="77"/>
      <c r="X1" s="77"/>
      <c r="Y1" s="77"/>
      <c r="Z1" s="77"/>
      <c r="AA1" s="77"/>
      <c r="AB1" s="77"/>
      <c r="AC1" s="77"/>
      <c r="AD1" s="77"/>
      <c r="AE1" s="77"/>
      <c r="AF1" s="77"/>
      <c r="AG1" s="77"/>
      <c r="AH1" s="77"/>
      <c r="AI1" s="77"/>
      <c r="AJ1" s="77"/>
      <c r="AK1" s="77"/>
      <c r="AL1" s="77"/>
      <c r="AM1" s="77"/>
      <c r="AN1" s="77"/>
      <c r="AO1" s="77"/>
      <c r="AP1" s="77"/>
      <c r="AQ1" s="77"/>
      <c r="AR1" s="77"/>
      <c r="AS1" s="77"/>
      <c r="AT1" s="77"/>
      <c r="AU1" s="77"/>
      <c r="AV1" s="77"/>
      <c r="AW1" s="77"/>
      <c r="AX1" s="77"/>
      <c r="AY1" s="77"/>
      <c r="AZ1" s="77"/>
      <c r="BA1" s="77"/>
      <c r="BB1" s="77"/>
      <c r="BC1" s="77"/>
      <c r="BD1" s="77"/>
    </row>
    <row r="3" spans="1:67">
      <c r="B3" s="2" t="s">
        <v>341</v>
      </c>
      <c r="C3" s="4" t="str">
        <f>Menus!$M$3</f>
        <v>LEED v2009</v>
      </c>
      <c r="D3" s="4"/>
      <c r="E3" s="4"/>
      <c r="F3" s="4"/>
      <c r="G3" s="4"/>
      <c r="H3" s="4"/>
      <c r="I3" s="4"/>
      <c r="N3" s="4" t="str">
        <f>Menus!$M$4</f>
        <v>LEED v4</v>
      </c>
      <c r="O3" s="4"/>
      <c r="P3" s="4"/>
      <c r="Q3" s="4"/>
      <c r="R3" s="4"/>
      <c r="S3" s="4"/>
      <c r="T3" s="4"/>
      <c r="U3" s="4"/>
      <c r="V3" s="4"/>
      <c r="W3" s="4"/>
      <c r="X3" s="4"/>
      <c r="Y3" s="4" t="str">
        <f>Menus!$M$5</f>
        <v>LEED v4 Energy Update</v>
      </c>
      <c r="Z3" s="4"/>
      <c r="AA3" s="4"/>
      <c r="AB3" s="4"/>
      <c r="AC3" s="4"/>
      <c r="AD3" s="4"/>
      <c r="AE3" s="4"/>
      <c r="AF3" s="4"/>
      <c r="AG3" s="4"/>
      <c r="AH3" s="4"/>
      <c r="AJ3" s="4" t="str">
        <f>Menus!$M$6</f>
        <v>LEED v4.1</v>
      </c>
      <c r="AK3" s="4"/>
      <c r="AL3" s="4"/>
      <c r="AM3" s="4"/>
      <c r="AN3" s="4"/>
      <c r="AO3" s="4"/>
      <c r="AP3" s="4"/>
      <c r="AQ3" s="4"/>
      <c r="AR3" s="4"/>
      <c r="AS3" s="4"/>
      <c r="AT3" s="4"/>
      <c r="AU3" s="4" t="str">
        <f>Menus!M7</f>
        <v>LEED v5 (registered before 1/1/2028)</v>
      </c>
      <c r="AV3" s="4"/>
      <c r="AW3" s="4"/>
      <c r="AX3" s="4"/>
      <c r="AY3" s="4"/>
      <c r="AZ3" s="4"/>
      <c r="BA3" s="4"/>
      <c r="BF3" s="1" t="str">
        <f>Menus!M8</f>
        <v>LEED v5 (registered after 1/1/2028)</v>
      </c>
    </row>
    <row r="4" spans="1:67" s="208" customFormat="1" ht="70.2" thickBot="1">
      <c r="C4" s="193" t="s">
        <v>342</v>
      </c>
      <c r="D4" s="193" t="s">
        <v>343</v>
      </c>
      <c r="E4" s="193" t="s">
        <v>210</v>
      </c>
      <c r="F4" s="193"/>
      <c r="G4" s="193" t="s">
        <v>344</v>
      </c>
      <c r="H4" s="193" t="s">
        <v>345</v>
      </c>
      <c r="I4" s="209" t="s">
        <v>210</v>
      </c>
      <c r="J4" s="210"/>
      <c r="K4" s="193" t="s">
        <v>346</v>
      </c>
      <c r="L4" s="193" t="s">
        <v>234</v>
      </c>
      <c r="M4" s="210"/>
      <c r="N4" s="193" t="s">
        <v>69</v>
      </c>
      <c r="O4" s="193" t="s">
        <v>347</v>
      </c>
      <c r="P4" s="193" t="s">
        <v>345</v>
      </c>
      <c r="Q4" s="193"/>
      <c r="R4" s="193" t="s">
        <v>348</v>
      </c>
      <c r="S4" s="193" t="s">
        <v>349</v>
      </c>
      <c r="T4" s="193" t="s">
        <v>44</v>
      </c>
      <c r="U4" s="211"/>
      <c r="V4" s="193" t="s">
        <v>346</v>
      </c>
      <c r="W4" s="193" t="s">
        <v>234</v>
      </c>
      <c r="X4" s="211"/>
      <c r="Y4" s="193" t="s">
        <v>350</v>
      </c>
      <c r="Z4" s="193" t="s">
        <v>351</v>
      </c>
      <c r="AA4" s="193" t="s">
        <v>345</v>
      </c>
      <c r="AB4" s="193" t="s">
        <v>349</v>
      </c>
      <c r="AC4" s="193" t="s">
        <v>348</v>
      </c>
      <c r="AD4" s="193" t="s">
        <v>349</v>
      </c>
      <c r="AE4" s="193" t="s">
        <v>44</v>
      </c>
      <c r="AF4" s="211"/>
      <c r="AG4" s="193" t="s">
        <v>346</v>
      </c>
      <c r="AH4" s="193" t="s">
        <v>234</v>
      </c>
      <c r="AI4" s="210"/>
      <c r="AJ4" s="193" t="s">
        <v>69</v>
      </c>
      <c r="AK4" s="193" t="s">
        <v>352</v>
      </c>
      <c r="AL4" s="193" t="s">
        <v>210</v>
      </c>
      <c r="AM4" s="193"/>
      <c r="AN4" s="193" t="s">
        <v>348</v>
      </c>
      <c r="AO4" s="193" t="s">
        <v>349</v>
      </c>
      <c r="AP4" s="193" t="s">
        <v>44</v>
      </c>
      <c r="AQ4" s="211"/>
      <c r="AR4" s="193" t="s">
        <v>346</v>
      </c>
      <c r="AS4" s="193" t="s">
        <v>234</v>
      </c>
      <c r="AT4" s="211"/>
      <c r="AU4" s="193" t="s">
        <v>69</v>
      </c>
      <c r="AV4" s="193" t="s">
        <v>353</v>
      </c>
      <c r="AW4" s="193"/>
      <c r="AX4" s="193" t="s">
        <v>210</v>
      </c>
      <c r="AY4" s="193" t="s">
        <v>354</v>
      </c>
      <c r="AZ4" s="193"/>
      <c r="BA4" s="193"/>
      <c r="BC4" s="193" t="s">
        <v>346</v>
      </c>
      <c r="BD4" s="193" t="s">
        <v>234</v>
      </c>
      <c r="BF4" s="193" t="str">
        <f>AU4</f>
        <v>New Construction</v>
      </c>
      <c r="BG4" s="193" t="str">
        <f t="shared" ref="BG4:BJ4" si="0">AV4</f>
        <v>Core  and Shell</v>
      </c>
      <c r="BH4" s="193"/>
      <c r="BI4" s="193"/>
      <c r="BJ4" s="193" t="str">
        <f t="shared" si="0"/>
        <v>All</v>
      </c>
      <c r="BK4" s="193"/>
      <c r="BL4" s="193"/>
      <c r="BN4" s="193" t="s">
        <v>346</v>
      </c>
      <c r="BO4" s="193" t="s">
        <v>234</v>
      </c>
    </row>
    <row r="5" spans="1:67">
      <c r="C5" s="85" t="str">
        <f>'LEED Calc'!D10</f>
        <v>Optimize Energy Performance</v>
      </c>
      <c r="D5" s="84"/>
      <c r="E5" s="84"/>
      <c r="F5" s="84"/>
      <c r="G5" s="84"/>
      <c r="H5" s="84"/>
      <c r="I5" s="84"/>
      <c r="J5" s="17"/>
      <c r="K5" s="17"/>
      <c r="L5" s="17"/>
      <c r="M5" s="17"/>
      <c r="N5" s="85" t="str">
        <f>'LEED Calc'!E10</f>
        <v>Optimize Energy Performance</v>
      </c>
      <c r="O5" s="84"/>
      <c r="P5" s="84"/>
      <c r="Q5" s="84"/>
      <c r="R5" s="84"/>
      <c r="S5" s="84"/>
      <c r="T5" s="84"/>
      <c r="U5" s="84"/>
      <c r="V5" s="84"/>
      <c r="W5" s="84"/>
      <c r="X5" s="84"/>
      <c r="Y5" s="85" t="str">
        <f>'LEED Calc'!F10</f>
        <v>Optimize Energy Performance (Cost)</v>
      </c>
      <c r="Z5" s="84"/>
      <c r="AA5" s="84"/>
      <c r="AB5" s="84"/>
      <c r="AC5" s="84"/>
      <c r="AD5" s="84"/>
      <c r="AE5" s="84"/>
      <c r="AF5" s="84"/>
      <c r="AG5" s="84"/>
      <c r="AH5" s="84"/>
      <c r="AI5" s="17"/>
      <c r="AJ5" s="85" t="str">
        <f>'LEED Calc'!G10</f>
        <v>Optimize Energy Performance (Cost)</v>
      </c>
      <c r="AK5" s="84"/>
      <c r="AL5" s="84"/>
      <c r="AM5" s="84"/>
      <c r="AN5" s="84"/>
      <c r="AO5" s="84"/>
      <c r="AP5" s="84"/>
      <c r="AQ5" s="84"/>
      <c r="AR5" s="84"/>
      <c r="AS5" s="84"/>
      <c r="AT5" s="84"/>
      <c r="AU5" s="85" t="str">
        <f>'LEED Calc'!H10</f>
        <v>Enhanced Energy Efficiency</v>
      </c>
      <c r="AV5" s="85"/>
      <c r="AW5" s="84"/>
      <c r="AX5" s="84"/>
      <c r="AY5" s="84"/>
      <c r="AZ5" s="84"/>
      <c r="BA5" s="84"/>
      <c r="BC5" s="84"/>
      <c r="BD5" s="84"/>
      <c r="BF5" s="85" t="str">
        <f>AU5</f>
        <v>Enhanced Energy Efficiency</v>
      </c>
      <c r="BG5" s="85"/>
      <c r="BH5" s="84"/>
      <c r="BI5" s="84"/>
      <c r="BJ5" s="84"/>
      <c r="BK5" s="84"/>
      <c r="BL5" s="84"/>
    </row>
    <row r="6" spans="1:67">
      <c r="C6" s="82">
        <v>0</v>
      </c>
      <c r="D6" s="82">
        <v>0</v>
      </c>
      <c r="E6" s="66"/>
      <c r="F6" s="66"/>
      <c r="G6" s="66">
        <v>0</v>
      </c>
      <c r="H6" s="66">
        <v>0</v>
      </c>
      <c r="I6" s="66"/>
      <c r="K6" s="26">
        <f>IFERROR(INDEX(C6:F6,MATCH('Project Info'!$D$13,C$4:F$4,0)),C6)</f>
        <v>0</v>
      </c>
      <c r="L6" s="207">
        <f>IFERROR(INDEX(G6:I6,MATCH('Project Info'!$D$14,G$4:I$4,0)),G6)</f>
        <v>0</v>
      </c>
      <c r="N6" s="82">
        <v>0</v>
      </c>
      <c r="O6" s="82">
        <v>0</v>
      </c>
      <c r="P6" s="82">
        <v>0</v>
      </c>
      <c r="Q6" s="82"/>
      <c r="R6" s="66">
        <v>0</v>
      </c>
      <c r="S6" s="66">
        <v>0</v>
      </c>
      <c r="T6" s="66">
        <v>0</v>
      </c>
      <c r="U6" s="117"/>
      <c r="V6" s="26">
        <f>IFERROR(INDEX(N6:Q6,MATCH('Project Info'!$D$13,N$4:Q$4,0)),N6)</f>
        <v>0</v>
      </c>
      <c r="W6" s="207">
        <f>IFERROR(INDEX(R6:T6,MATCH('Project Info'!$D$14,R$4:T$4,0)),R6)</f>
        <v>0</v>
      </c>
      <c r="X6" s="117"/>
      <c r="Y6" s="82">
        <v>0</v>
      </c>
      <c r="Z6" s="82">
        <v>0</v>
      </c>
      <c r="AA6" s="82">
        <v>0</v>
      </c>
      <c r="AB6" s="82">
        <v>0</v>
      </c>
      <c r="AC6" s="66">
        <v>0</v>
      </c>
      <c r="AD6" s="66">
        <v>0</v>
      </c>
      <c r="AE6" s="66">
        <v>0</v>
      </c>
      <c r="AF6" s="117"/>
      <c r="AG6" s="26">
        <f>IFERROR(INDEX(Y6:AB6,MATCH('Project Info'!$D$13,Y$4:AB$4,0)),Y6)</f>
        <v>0</v>
      </c>
      <c r="AH6" s="207">
        <f>IFERROR(INDEX(AC6:AE6,MATCH('Project Info'!$D$14,AC$4:AE$4,0)),AC6)</f>
        <v>0</v>
      </c>
      <c r="AJ6" s="82">
        <v>0</v>
      </c>
      <c r="AK6" s="82">
        <v>0</v>
      </c>
      <c r="AL6" s="82"/>
      <c r="AM6" s="82"/>
      <c r="AN6" s="66">
        <v>0</v>
      </c>
      <c r="AO6" s="66">
        <v>0</v>
      </c>
      <c r="AP6" s="66">
        <v>0</v>
      </c>
      <c r="AQ6" s="117"/>
      <c r="AR6" s="26">
        <f>IFERROR(INDEX(AJ6:AM6,MATCH('Project Info'!$D$13,AJ$4:AM$4,0)),AJ6)</f>
        <v>0</v>
      </c>
      <c r="AS6" s="207">
        <f>IFERROR(INDEX(AN6:AP6,MATCH('Project Info'!$D$14,AN$4:AP$4,0)),AN6)</f>
        <v>0</v>
      </c>
      <c r="AT6" s="117"/>
      <c r="AU6" s="82">
        <v>0</v>
      </c>
      <c r="AV6" s="82">
        <v>0</v>
      </c>
      <c r="AW6" s="82">
        <f>IF('Project Info'!$D$12=Menus!$M$8," ",0)</f>
        <v>0</v>
      </c>
      <c r="AX6" s="82">
        <f>IF('Project Info'!$D$12=Menus!$M$8," ",0)</f>
        <v>0</v>
      </c>
      <c r="AY6" s="66">
        <v>0</v>
      </c>
      <c r="AZ6" s="66"/>
      <c r="BA6" s="66"/>
      <c r="BC6" s="26">
        <f>IFERROR(INDEX(AU6:AX6,MATCH('Project Info'!$D$13,AU$4:AX$4,0)),AU6)</f>
        <v>0</v>
      </c>
      <c r="BD6" s="207">
        <f>IFERROR(INDEX(AY6:BA6,MATCH('Project Info'!$D$14,AY$4:BA$4,0)),AY6)</f>
        <v>0</v>
      </c>
      <c r="BF6" s="82">
        <f>AU6</f>
        <v>0</v>
      </c>
      <c r="BG6" s="82"/>
      <c r="BH6" s="82"/>
      <c r="BI6" s="82"/>
      <c r="BJ6" s="66">
        <f>AY6</f>
        <v>0</v>
      </c>
      <c r="BK6" s="66"/>
      <c r="BL6" s="66"/>
      <c r="BN6" s="26">
        <f>IFERROR(INDEX(BF6:BI6,MATCH('Project Info'!$D$13,BF$4:BI$4,0)),BF6)</f>
        <v>0</v>
      </c>
      <c r="BO6" s="207">
        <f>IFERROR(INDEX(BJ6:BL6,MATCH('Project Info'!$D$14,BJ$4:BL$4,0)),BJ6)</f>
        <v>0</v>
      </c>
    </row>
    <row r="7" spans="1:67">
      <c r="C7" s="82">
        <v>0.12</v>
      </c>
      <c r="D7" s="82">
        <v>0.08</v>
      </c>
      <c r="E7" s="66"/>
      <c r="F7" s="66"/>
      <c r="G7" s="66">
        <v>1</v>
      </c>
      <c r="H7" s="66">
        <v>3</v>
      </c>
      <c r="I7" s="66"/>
      <c r="K7" s="26">
        <f>IFERROR(INDEX(C7:F7,MATCH('Project Info'!$D$13,C$4:F$4,0)),C7)</f>
        <v>0.12</v>
      </c>
      <c r="L7" s="207">
        <f>IFERROR(INDEX(G7:I7,MATCH('Project Info'!$D$14,G$4:I$4,0)),G7)</f>
        <v>1</v>
      </c>
      <c r="N7" s="82">
        <v>0.06</v>
      </c>
      <c r="O7" s="82">
        <v>0.04</v>
      </c>
      <c r="P7" s="82">
        <v>0.03</v>
      </c>
      <c r="Q7" s="82"/>
      <c r="R7" s="66">
        <v>1</v>
      </c>
      <c r="S7" s="66">
        <v>3</v>
      </c>
      <c r="T7" s="66">
        <v>1</v>
      </c>
      <c r="U7" s="117"/>
      <c r="V7" s="26">
        <f>IFERROR(INDEX(N7:Q7,MATCH('Project Info'!$D$13,N$4:Q$4,0)),N7)</f>
        <v>0.06</v>
      </c>
      <c r="W7" s="207">
        <f>IFERROR(INDEX(R7:T7,MATCH('Project Info'!$D$14,R$4:T$4,0)),R7)</f>
        <v>1</v>
      </c>
      <c r="X7" s="117"/>
      <c r="Y7" s="82">
        <v>0.2</v>
      </c>
      <c r="Z7" s="82">
        <v>0.2</v>
      </c>
      <c r="AA7" s="82">
        <v>0.1</v>
      </c>
      <c r="AB7" s="82">
        <v>7.0000000000000007E-2</v>
      </c>
      <c r="AC7" s="66">
        <v>1</v>
      </c>
      <c r="AD7" s="66">
        <v>1</v>
      </c>
      <c r="AE7" s="66">
        <v>1</v>
      </c>
      <c r="AF7" s="117"/>
      <c r="AG7" s="26">
        <f>IFERROR(INDEX(Y7:AB7,MATCH('Project Info'!$D$13,Y$4:AB$4,0)),Y7)</f>
        <v>0.2</v>
      </c>
      <c r="AH7" s="207">
        <f>IFERROR(INDEX(AC7:AE7,MATCH('Project Info'!$D$14,AC$4:AE$4,0)),AC7)</f>
        <v>1</v>
      </c>
      <c r="AJ7" s="82">
        <v>0.05</v>
      </c>
      <c r="AK7" s="82">
        <v>0.02</v>
      </c>
      <c r="AL7" s="82"/>
      <c r="AM7" s="82"/>
      <c r="AN7" s="66">
        <v>1</v>
      </c>
      <c r="AO7" s="66">
        <v>1</v>
      </c>
      <c r="AP7" s="66">
        <v>1</v>
      </c>
      <c r="AQ7" s="117"/>
      <c r="AR7" s="26">
        <f>IFERROR(INDEX(AJ7:AM7,MATCH('Project Info'!$D$13,AJ$4:AM$4,0)),AJ7)</f>
        <v>0.05</v>
      </c>
      <c r="AS7" s="207">
        <f>IFERROR(INDEX(AN7:AP7,MATCH('Project Info'!$D$14,AN$4:AP$4,0)),AN7)</f>
        <v>1</v>
      </c>
      <c r="AT7" s="117"/>
      <c r="AU7" s="82">
        <v>0.03</v>
      </c>
      <c r="AV7" s="82">
        <v>0.02</v>
      </c>
      <c r="AW7" s="82">
        <f>IF('Project Info'!$D$12=Menus!$M$8," ",0.02)</f>
        <v>0.02</v>
      </c>
      <c r="AX7" s="82">
        <f>IF('Project Info'!$D$12=Menus!$M$8,0,0.1)</f>
        <v>0.1</v>
      </c>
      <c r="AY7" s="66">
        <v>1</v>
      </c>
      <c r="AZ7" s="66"/>
      <c r="BA7" s="66"/>
      <c r="BC7" s="26">
        <f>IFERROR(INDEX(AU7:AX7,MATCH('Project Info'!$D$13,AU$4:AX$4,0)),AU7)</f>
        <v>0.03</v>
      </c>
      <c r="BD7" s="207">
        <f>IFERROR(INDEX(AY7:BA7,MATCH('Project Info'!$D$14,AY$4:BA$4,0)),AY7)</f>
        <v>1</v>
      </c>
      <c r="BF7" s="82">
        <f t="shared" ref="BF7:BF16" si="1">AU7</f>
        <v>0.03</v>
      </c>
      <c r="BG7" s="82"/>
      <c r="BH7" s="82"/>
      <c r="BI7" s="82"/>
      <c r="BJ7" s="66">
        <f t="shared" ref="BJ7:BJ16" si="2">AY7</f>
        <v>1</v>
      </c>
      <c r="BK7" s="66"/>
      <c r="BL7" s="66"/>
      <c r="BN7" s="26">
        <f>IFERROR(INDEX(BF7:BI7,MATCH('Project Info'!$D$13,BF$4:BI$4,0)),BF7)</f>
        <v>0.03</v>
      </c>
      <c r="BO7" s="207">
        <f>IFERROR(INDEX(BJ7:BL7,MATCH('Project Info'!$D$14,BJ$4:BL$4,0)),BJ7)</f>
        <v>1</v>
      </c>
    </row>
    <row r="8" spans="1:67">
      <c r="C8" s="82">
        <v>0.14000000000000001</v>
      </c>
      <c r="D8" s="82">
        <v>0.1</v>
      </c>
      <c r="E8" s="66"/>
      <c r="F8" s="66"/>
      <c r="G8" s="66">
        <v>2</v>
      </c>
      <c r="H8" s="66">
        <v>4</v>
      </c>
      <c r="I8" s="66"/>
      <c r="K8" s="26">
        <f>IFERROR(INDEX(C8:F8,MATCH('Project Info'!$D$13,C$4:F$4,0)),C8)</f>
        <v>0.14000000000000001</v>
      </c>
      <c r="L8" s="207">
        <f>IFERROR(INDEX(G8:I8,MATCH('Project Info'!$D$14,G$4:I$4,0)),G8)</f>
        <v>2</v>
      </c>
      <c r="N8" s="82">
        <v>0.08</v>
      </c>
      <c r="O8" s="82">
        <v>0.06</v>
      </c>
      <c r="P8" s="82">
        <v>0.05</v>
      </c>
      <c r="Q8" s="82"/>
      <c r="R8" s="66">
        <v>2</v>
      </c>
      <c r="S8" s="66">
        <v>4</v>
      </c>
      <c r="T8" s="66">
        <v>2</v>
      </c>
      <c r="U8" s="117"/>
      <c r="V8" s="26">
        <f>IFERROR(INDEX(N8:Q8,MATCH('Project Info'!$D$13,N$4:Q$4,0)),N8)</f>
        <v>0.08</v>
      </c>
      <c r="W8" s="207">
        <f>IFERROR(INDEX(R8:T8,MATCH('Project Info'!$D$14,R$4:T$4,0)),R8)</f>
        <v>2</v>
      </c>
      <c r="X8" s="117"/>
      <c r="Y8" s="82">
        <v>0.25</v>
      </c>
      <c r="Z8" s="82">
        <v>0.25</v>
      </c>
      <c r="AA8" s="82">
        <v>0.15</v>
      </c>
      <c r="AB8" s="82">
        <v>0.1</v>
      </c>
      <c r="AC8" s="66">
        <v>2</v>
      </c>
      <c r="AD8" s="66">
        <v>2</v>
      </c>
      <c r="AE8" s="66">
        <v>2</v>
      </c>
      <c r="AF8" s="117"/>
      <c r="AG8" s="26">
        <f>IFERROR(INDEX(Y8:AB8,MATCH('Project Info'!$D$13,Y$4:AB$4,0)),Y8)</f>
        <v>0.25</v>
      </c>
      <c r="AH8" s="207">
        <f>IFERROR(INDEX(AC8:AE8,MATCH('Project Info'!$D$14,AC$4:AE$4,0)),AC8)</f>
        <v>2</v>
      </c>
      <c r="AJ8" s="82">
        <v>0.1</v>
      </c>
      <c r="AK8" s="82">
        <v>0.05</v>
      </c>
      <c r="AL8" s="82"/>
      <c r="AM8" s="82"/>
      <c r="AN8" s="66">
        <v>2</v>
      </c>
      <c r="AO8" s="66">
        <v>2</v>
      </c>
      <c r="AP8" s="66">
        <v>2</v>
      </c>
      <c r="AQ8" s="117"/>
      <c r="AR8" s="26">
        <f>IFERROR(INDEX(AJ8:AM8,MATCH('Project Info'!$D$13,AJ$4:AM$4,0)),AJ8)</f>
        <v>0.1</v>
      </c>
      <c r="AS8" s="207">
        <f>IFERROR(INDEX(AN8:AP8,MATCH('Project Info'!$D$14,AN$4:AP$4,0)),AN8)</f>
        <v>2</v>
      </c>
      <c r="AT8" s="117"/>
      <c r="AU8" s="82">
        <v>0.09</v>
      </c>
      <c r="AV8" s="82">
        <v>0.05</v>
      </c>
      <c r="AW8" s="82">
        <f>IF('Project Info'!$D$12=Menus!$M$8," ",0.05)</f>
        <v>0.05</v>
      </c>
      <c r="AX8" s="82">
        <f>IF('Project Info'!$D$12=Menus!$M$8,0,0.2)</f>
        <v>0.2</v>
      </c>
      <c r="AY8" s="66">
        <v>2</v>
      </c>
      <c r="AZ8" s="66"/>
      <c r="BA8" s="66"/>
      <c r="BC8" s="26">
        <f>IFERROR(INDEX(AU8:AX8,MATCH('Project Info'!$D$13,AU$4:AX$4,0)),AU8)</f>
        <v>0.09</v>
      </c>
      <c r="BD8" s="207">
        <f>IFERROR(INDEX(AY8:BA8,MATCH('Project Info'!$D$14,AY$4:BA$4,0)),AY8)</f>
        <v>2</v>
      </c>
      <c r="BF8" s="82">
        <f t="shared" si="1"/>
        <v>0.09</v>
      </c>
      <c r="BG8" s="82"/>
      <c r="BH8" s="82"/>
      <c r="BI8" s="82"/>
      <c r="BJ8" s="66">
        <f t="shared" si="2"/>
        <v>2</v>
      </c>
      <c r="BK8" s="66"/>
      <c r="BL8" s="66"/>
      <c r="BN8" s="26">
        <f>IFERROR(INDEX(BF8:BI8,MATCH('Project Info'!$D$13,BF$4:BI$4,0)),BF8)</f>
        <v>0.09</v>
      </c>
      <c r="BO8" s="207">
        <f>IFERROR(INDEX(BJ8:BL8,MATCH('Project Info'!$D$14,BJ$4:BL$4,0)),BJ8)</f>
        <v>2</v>
      </c>
    </row>
    <row r="9" spans="1:67">
      <c r="C9" s="82">
        <v>0.16</v>
      </c>
      <c r="D9" s="82">
        <v>0.12</v>
      </c>
      <c r="E9" s="66"/>
      <c r="F9" s="66"/>
      <c r="G9" s="66">
        <v>3</v>
      </c>
      <c r="H9" s="66">
        <v>5</v>
      </c>
      <c r="I9" s="66"/>
      <c r="K9" s="26">
        <f>IFERROR(INDEX(C9:F9,MATCH('Project Info'!$D$13,C$4:F$4,0)),C9)</f>
        <v>0.16</v>
      </c>
      <c r="L9" s="207">
        <f>IFERROR(INDEX(G9:I9,MATCH('Project Info'!$D$14,G$4:I$4,0)),G9)</f>
        <v>3</v>
      </c>
      <c r="N9" s="82">
        <v>0.1</v>
      </c>
      <c r="O9" s="82">
        <v>0.08</v>
      </c>
      <c r="P9" s="82">
        <v>7.0000000000000007E-2</v>
      </c>
      <c r="Q9" s="82"/>
      <c r="R9" s="66">
        <v>3</v>
      </c>
      <c r="S9" s="66">
        <v>5</v>
      </c>
      <c r="T9" s="66">
        <v>3</v>
      </c>
      <c r="U9" s="117"/>
      <c r="V9" s="26">
        <f>IFERROR(INDEX(N9:Q9,MATCH('Project Info'!$D$13,N$4:Q$4,0)),N9)</f>
        <v>0.1</v>
      </c>
      <c r="W9" s="207">
        <f>IFERROR(INDEX(R9:T9,MATCH('Project Info'!$D$14,R$4:T$4,0)),R9)</f>
        <v>3</v>
      </c>
      <c r="X9" s="117"/>
      <c r="Y9" s="82">
        <v>0.3</v>
      </c>
      <c r="Z9" s="82">
        <v>0.3</v>
      </c>
      <c r="AA9" s="82">
        <v>0.2</v>
      </c>
      <c r="AB9" s="82">
        <v>0.15</v>
      </c>
      <c r="AC9" s="66">
        <v>3</v>
      </c>
      <c r="AD9" s="66">
        <v>3</v>
      </c>
      <c r="AE9" s="66">
        <v>3</v>
      </c>
      <c r="AF9" s="117"/>
      <c r="AG9" s="26">
        <f>IFERROR(INDEX(Y9:AB9,MATCH('Project Info'!$D$13,Y$4:AB$4,0)),Y9)</f>
        <v>0.3</v>
      </c>
      <c r="AH9" s="207">
        <f>IFERROR(INDEX(AC9:AE9,MATCH('Project Info'!$D$14,AC$4:AE$4,0)),AC9)</f>
        <v>3</v>
      </c>
      <c r="AJ9" s="82">
        <v>0.15</v>
      </c>
      <c r="AK9" s="82">
        <v>0.1</v>
      </c>
      <c r="AL9" s="82"/>
      <c r="AM9" s="82"/>
      <c r="AN9" s="66">
        <v>3</v>
      </c>
      <c r="AO9" s="66">
        <v>3</v>
      </c>
      <c r="AP9" s="66">
        <v>3</v>
      </c>
      <c r="AQ9" s="117"/>
      <c r="AR9" s="26">
        <f>IFERROR(INDEX(AJ9:AM9,MATCH('Project Info'!$D$13,AJ$4:AM$4,0)),AJ9)</f>
        <v>0.15</v>
      </c>
      <c r="AS9" s="207">
        <f>IFERROR(INDEX(AN9:AP9,MATCH('Project Info'!$D$14,AN$4:AP$4,0)),AN9)</f>
        <v>3</v>
      </c>
      <c r="AT9" s="117"/>
      <c r="AU9" s="82">
        <v>0.12</v>
      </c>
      <c r="AV9" s="82">
        <v>0.08</v>
      </c>
      <c r="AW9" s="82">
        <f>IF('Project Info'!$D$12=Menus!$M$8,0,0.08)</f>
        <v>0.08</v>
      </c>
      <c r="AX9" s="82">
        <f>IF('Project Info'!$D$12=Menus!$M$8,0.13,0.3)</f>
        <v>0.3</v>
      </c>
      <c r="AY9" s="66">
        <v>3</v>
      </c>
      <c r="AZ9" s="66"/>
      <c r="BA9" s="66"/>
      <c r="BC9" s="26">
        <f>IFERROR(INDEX(AU9:AX9,MATCH('Project Info'!$D$13,AU$4:AX$4,0)),AU9)</f>
        <v>0.12</v>
      </c>
      <c r="BD9" s="207">
        <f>IFERROR(INDEX(AY9:BA9,MATCH('Project Info'!$D$14,AY$4:BA$4,0)),AY9)</f>
        <v>3</v>
      </c>
      <c r="BF9" s="82">
        <f t="shared" si="1"/>
        <v>0.12</v>
      </c>
      <c r="BG9" s="82">
        <v>0</v>
      </c>
      <c r="BH9" s="82"/>
      <c r="BI9" s="82"/>
      <c r="BJ9" s="66">
        <f t="shared" si="2"/>
        <v>3</v>
      </c>
      <c r="BK9" s="66"/>
      <c r="BL9" s="66"/>
      <c r="BN9" s="26">
        <f>IFERROR(INDEX(BF9:BI9,MATCH('Project Info'!$D$13,BF$4:BI$4,0)),BF9)</f>
        <v>0.12</v>
      </c>
      <c r="BO9" s="207">
        <f>IFERROR(INDEX(BJ9:BL9,MATCH('Project Info'!$D$14,BJ$4:BL$4,0)),BJ9)</f>
        <v>3</v>
      </c>
    </row>
    <row r="10" spans="1:67">
      <c r="C10" s="82">
        <v>0.18</v>
      </c>
      <c r="D10" s="82">
        <v>0.14000000000000001</v>
      </c>
      <c r="E10" s="66"/>
      <c r="F10" s="66"/>
      <c r="G10" s="66">
        <v>4</v>
      </c>
      <c r="H10" s="66">
        <v>6</v>
      </c>
      <c r="I10" s="66"/>
      <c r="K10" s="26">
        <f>IFERROR(INDEX(C10:F10,MATCH('Project Info'!$D$13,C$4:F$4,0)),C10)</f>
        <v>0.18</v>
      </c>
      <c r="L10" s="207">
        <f>IFERROR(INDEX(G10:I10,MATCH('Project Info'!$D$14,G$4:I$4,0)),G10)</f>
        <v>4</v>
      </c>
      <c r="N10" s="82">
        <v>0.12</v>
      </c>
      <c r="O10" s="82">
        <v>0.1</v>
      </c>
      <c r="P10" s="82">
        <v>0.09</v>
      </c>
      <c r="Q10" s="82"/>
      <c r="R10" s="66">
        <v>4</v>
      </c>
      <c r="S10" s="66">
        <v>6</v>
      </c>
      <c r="T10" s="66">
        <v>4</v>
      </c>
      <c r="U10" s="117"/>
      <c r="V10" s="26">
        <f>IFERROR(INDEX(N10:Q10,MATCH('Project Info'!$D$13,N$4:Q$4,0)),N10)</f>
        <v>0.12</v>
      </c>
      <c r="W10" s="207">
        <f>IFERROR(INDEX(R10:T10,MATCH('Project Info'!$D$14,R$4:T$4,0)),R10)</f>
        <v>4</v>
      </c>
      <c r="X10" s="117"/>
      <c r="Y10" s="82">
        <v>0.35</v>
      </c>
      <c r="Z10" s="82">
        <v>0.35</v>
      </c>
      <c r="AA10" s="82">
        <v>0.25</v>
      </c>
      <c r="AB10" s="82">
        <v>0.2</v>
      </c>
      <c r="AC10" s="66">
        <v>4</v>
      </c>
      <c r="AD10" s="66">
        <v>4</v>
      </c>
      <c r="AE10" s="66">
        <v>4</v>
      </c>
      <c r="AF10" s="117"/>
      <c r="AG10" s="26">
        <f>IFERROR(INDEX(Y10:AB10,MATCH('Project Info'!$D$13,Y$4:AB$4,0)),Y10)</f>
        <v>0.35</v>
      </c>
      <c r="AH10" s="207">
        <f>IFERROR(INDEX(AC10:AE10,MATCH('Project Info'!$D$14,AC$4:AE$4,0)),AC10)</f>
        <v>4</v>
      </c>
      <c r="AJ10" s="82">
        <v>0.2</v>
      </c>
      <c r="AK10" s="82">
        <v>0.15</v>
      </c>
      <c r="AL10" s="82"/>
      <c r="AM10" s="82"/>
      <c r="AN10" s="66">
        <v>4</v>
      </c>
      <c r="AO10" s="66">
        <v>4</v>
      </c>
      <c r="AP10" s="66">
        <v>4</v>
      </c>
      <c r="AQ10" s="117"/>
      <c r="AR10" s="26">
        <f>IFERROR(INDEX(AJ10:AM10,MATCH('Project Info'!$D$13,AJ$4:AM$4,0)),AJ10)</f>
        <v>0.2</v>
      </c>
      <c r="AS10" s="207">
        <f>IFERROR(INDEX(AN10:AP10,MATCH('Project Info'!$D$14,AN$4:AP$4,0)),AN10)</f>
        <v>4</v>
      </c>
      <c r="AT10" s="117"/>
      <c r="AU10" s="82">
        <v>0.15</v>
      </c>
      <c r="AV10" s="82">
        <v>0.11</v>
      </c>
      <c r="AW10" s="82">
        <f>IF('Project Info'!$D$12=Menus!$M$8,0.03,0.11)</f>
        <v>0.11</v>
      </c>
      <c r="AX10" s="82">
        <f>IF('Project Info'!$D$12=Menus!$M$8,0.26,0.4)</f>
        <v>0.4</v>
      </c>
      <c r="AY10" s="66">
        <v>4</v>
      </c>
      <c r="AZ10" s="66"/>
      <c r="BA10" s="66"/>
      <c r="BC10" s="26">
        <f>IFERROR(INDEX(AU10:AX10,MATCH('Project Info'!$D$13,AU$4:AX$4,0)),AU10)</f>
        <v>0.15</v>
      </c>
      <c r="BD10" s="207">
        <f>IFERROR(INDEX(AY10:BA10,MATCH('Project Info'!$D$14,AY$4:BA$4,0)),AY10)</f>
        <v>4</v>
      </c>
      <c r="BF10" s="82">
        <f t="shared" si="1"/>
        <v>0.15</v>
      </c>
      <c r="BG10" s="82">
        <v>0.03</v>
      </c>
      <c r="BH10" s="82"/>
      <c r="BI10" s="82"/>
      <c r="BJ10" s="66">
        <f t="shared" si="2"/>
        <v>4</v>
      </c>
      <c r="BK10" s="66"/>
      <c r="BL10" s="66"/>
      <c r="BN10" s="26">
        <f>IFERROR(INDEX(BF10:BI10,MATCH('Project Info'!$D$13,BF$4:BI$4,0)),BF10)</f>
        <v>0.15</v>
      </c>
      <c r="BO10" s="207">
        <f>IFERROR(INDEX(BJ10:BL10,MATCH('Project Info'!$D$14,BJ$4:BL$4,0)),BJ10)</f>
        <v>4</v>
      </c>
    </row>
    <row r="11" spans="1:67">
      <c r="C11" s="82">
        <v>0.2</v>
      </c>
      <c r="D11" s="82">
        <v>0.16</v>
      </c>
      <c r="E11" s="66"/>
      <c r="F11" s="66"/>
      <c r="G11" s="66">
        <v>5</v>
      </c>
      <c r="H11" s="66">
        <v>7</v>
      </c>
      <c r="I11" s="66"/>
      <c r="K11" s="26">
        <f>IFERROR(INDEX(C11:F11,MATCH('Project Info'!$D$13,C$4:F$4,0)),C11)</f>
        <v>0.2</v>
      </c>
      <c r="L11" s="207">
        <f>IFERROR(INDEX(G11:I11,MATCH('Project Info'!$D$14,G$4:I$4,0)),G11)</f>
        <v>5</v>
      </c>
      <c r="N11" s="82">
        <v>0.14000000000000001</v>
      </c>
      <c r="O11" s="82">
        <v>0.12</v>
      </c>
      <c r="P11" s="82">
        <v>0.11</v>
      </c>
      <c r="Q11" s="82"/>
      <c r="R11" s="66">
        <v>5</v>
      </c>
      <c r="S11" s="66">
        <v>7</v>
      </c>
      <c r="T11" s="66">
        <v>5</v>
      </c>
      <c r="U11" s="117"/>
      <c r="V11" s="26">
        <f>IFERROR(INDEX(N11:Q11,MATCH('Project Info'!$D$13,N$4:Q$4,0)),N11)</f>
        <v>0.14000000000000001</v>
      </c>
      <c r="W11" s="207">
        <f>IFERROR(INDEX(R11:T11,MATCH('Project Info'!$D$14,R$4:T$4,0)),R11)</f>
        <v>5</v>
      </c>
      <c r="X11" s="117"/>
      <c r="Y11" s="82">
        <v>0.4</v>
      </c>
      <c r="Z11" s="82">
        <v>0.4</v>
      </c>
      <c r="AA11" s="82">
        <v>0.3</v>
      </c>
      <c r="AB11" s="82">
        <v>0.25</v>
      </c>
      <c r="AC11" s="66">
        <v>5</v>
      </c>
      <c r="AD11" s="66">
        <v>5</v>
      </c>
      <c r="AE11" s="66">
        <v>5</v>
      </c>
      <c r="AF11" s="117"/>
      <c r="AG11" s="26">
        <f>IFERROR(INDEX(Y11:AB11,MATCH('Project Info'!$D$13,Y$4:AB$4,0)),Y11)</f>
        <v>0.4</v>
      </c>
      <c r="AH11" s="207">
        <f>IFERROR(INDEX(AC11:AE11,MATCH('Project Info'!$D$14,AC$4:AE$4,0)),AC11)</f>
        <v>5</v>
      </c>
      <c r="AJ11" s="82">
        <v>0.25</v>
      </c>
      <c r="AK11" s="82">
        <v>0.2</v>
      </c>
      <c r="AL11" s="82"/>
      <c r="AM11" s="82"/>
      <c r="AN11" s="66">
        <v>5</v>
      </c>
      <c r="AO11" s="66">
        <v>5</v>
      </c>
      <c r="AP11" s="66">
        <v>5</v>
      </c>
      <c r="AQ11" s="117"/>
      <c r="AR11" s="26">
        <f>IFERROR(INDEX(AJ11:AM11,MATCH('Project Info'!$D$13,AJ$4:AM$4,0)),AJ11)</f>
        <v>0.25</v>
      </c>
      <c r="AS11" s="207">
        <f>IFERROR(INDEX(AN11:AP11,MATCH('Project Info'!$D$14,AN$4:AP$4,0)),AN11)</f>
        <v>5</v>
      </c>
      <c r="AT11" s="117"/>
      <c r="AU11" s="82">
        <v>0.18</v>
      </c>
      <c r="AV11" s="82">
        <v>0.14000000000000001</v>
      </c>
      <c r="AW11" s="82">
        <f>IF('Project Info'!$D$12=Menus!$M$8,0.06,0.14)</f>
        <v>0.14000000000000001</v>
      </c>
      <c r="AX11" s="82">
        <f>IF('Project Info'!$D$12=Menus!$M$8,0.39,0.5)</f>
        <v>0.5</v>
      </c>
      <c r="AY11" s="66">
        <v>5</v>
      </c>
      <c r="AZ11" s="66"/>
      <c r="BA11" s="66"/>
      <c r="BC11" s="26">
        <f>IFERROR(INDEX(AU11:AX11,MATCH('Project Info'!$D$13,AU$4:AX$4,0)),AU11)</f>
        <v>0.18</v>
      </c>
      <c r="BD11" s="207">
        <f>IFERROR(INDEX(AY11:BA11,MATCH('Project Info'!$D$14,AY$4:BA$4,0)),AY11)</f>
        <v>5</v>
      </c>
      <c r="BF11" s="82">
        <f t="shared" si="1"/>
        <v>0.18</v>
      </c>
      <c r="BG11" s="82">
        <v>0.06</v>
      </c>
      <c r="BH11" s="82"/>
      <c r="BI11" s="82"/>
      <c r="BJ11" s="66">
        <f t="shared" si="2"/>
        <v>5</v>
      </c>
      <c r="BK11" s="66"/>
      <c r="BL11" s="66"/>
      <c r="BN11" s="26">
        <f>IFERROR(INDEX(BF11:BI11,MATCH('Project Info'!$D$13,BF$4:BI$4,0)),BF11)</f>
        <v>0.18</v>
      </c>
      <c r="BO11" s="207">
        <f>IFERROR(INDEX(BJ11:BL11,MATCH('Project Info'!$D$14,BJ$4:BL$4,0)),BJ11)</f>
        <v>5</v>
      </c>
    </row>
    <row r="12" spans="1:67">
      <c r="C12" s="82">
        <v>0.22</v>
      </c>
      <c r="D12" s="82">
        <v>0.18</v>
      </c>
      <c r="E12" s="66"/>
      <c r="F12" s="66"/>
      <c r="G12" s="66">
        <v>6</v>
      </c>
      <c r="H12" s="66">
        <v>8</v>
      </c>
      <c r="I12" s="66"/>
      <c r="K12" s="26">
        <f>IFERROR(INDEX(C12:F12,MATCH('Project Info'!$D$13,C$4:F$4,0)),C12)</f>
        <v>0.22</v>
      </c>
      <c r="L12" s="207">
        <f>IFERROR(INDEX(G12:I12,MATCH('Project Info'!$D$14,G$4:I$4,0)),G12)</f>
        <v>6</v>
      </c>
      <c r="N12" s="82">
        <v>0.16</v>
      </c>
      <c r="O12" s="82">
        <v>0.14000000000000001</v>
      </c>
      <c r="P12" s="82">
        <v>0.13</v>
      </c>
      <c r="Q12" s="82"/>
      <c r="R12" s="66">
        <v>6</v>
      </c>
      <c r="S12" s="66">
        <v>8</v>
      </c>
      <c r="T12" s="66">
        <v>6</v>
      </c>
      <c r="U12" s="117"/>
      <c r="V12" s="26">
        <f>IFERROR(INDEX(N12:Q12,MATCH('Project Info'!$D$13,N$4:Q$4,0)),N12)</f>
        <v>0.16</v>
      </c>
      <c r="W12" s="207">
        <f>IFERROR(INDEX(R12:T12,MATCH('Project Info'!$D$14,R$4:T$4,0)),R12)</f>
        <v>6</v>
      </c>
      <c r="X12" s="117"/>
      <c r="Y12" s="82">
        <v>0.45</v>
      </c>
      <c r="Z12" s="82">
        <v>0.45</v>
      </c>
      <c r="AA12" s="82">
        <v>0.35</v>
      </c>
      <c r="AB12" s="82">
        <v>0.3</v>
      </c>
      <c r="AC12" s="66">
        <v>6</v>
      </c>
      <c r="AD12" s="66">
        <v>6</v>
      </c>
      <c r="AE12" s="66">
        <v>6</v>
      </c>
      <c r="AF12" s="117"/>
      <c r="AG12" s="26">
        <f>IFERROR(INDEX(Y12:AB12,MATCH('Project Info'!$D$13,Y$4:AB$4,0)),Y12)</f>
        <v>0.45</v>
      </c>
      <c r="AH12" s="207">
        <f>IFERROR(INDEX(AC12:AE12,MATCH('Project Info'!$D$14,AC$4:AE$4,0)),AC12)</f>
        <v>6</v>
      </c>
      <c r="AJ12" s="82">
        <v>0.3</v>
      </c>
      <c r="AK12" s="82">
        <v>0.25</v>
      </c>
      <c r="AL12" s="82"/>
      <c r="AM12" s="82"/>
      <c r="AN12" s="66">
        <v>6</v>
      </c>
      <c r="AO12" s="66">
        <v>6</v>
      </c>
      <c r="AP12" s="66">
        <v>6</v>
      </c>
      <c r="AQ12" s="117"/>
      <c r="AR12" s="26">
        <f>IFERROR(INDEX(AJ12:AM12,MATCH('Project Info'!$D$13,AJ$4:AM$4,0)),AJ12)</f>
        <v>0.3</v>
      </c>
      <c r="AS12" s="207">
        <f>IFERROR(INDEX(AN12:AP12,MATCH('Project Info'!$D$14,AN$4:AP$4,0)),AN12)</f>
        <v>6</v>
      </c>
      <c r="AT12" s="117"/>
      <c r="AU12" s="82">
        <v>0.21</v>
      </c>
      <c r="AV12" s="82">
        <v>0.17</v>
      </c>
      <c r="AW12" s="82">
        <f>IF('Project Info'!$D$12=Menus!$M$8,0.09,0.17)</f>
        <v>0.17</v>
      </c>
      <c r="AX12" s="82">
        <f>IF('Project Info'!$D$12=Menus!$M$8,0.52,0.6)</f>
        <v>0.6</v>
      </c>
      <c r="AY12" s="66">
        <v>6</v>
      </c>
      <c r="AZ12" s="66"/>
      <c r="BA12" s="66"/>
      <c r="BC12" s="26">
        <f>IFERROR(INDEX(AU12:AX12,MATCH('Project Info'!$D$13,AU$4:AX$4,0)),AU12)</f>
        <v>0.21</v>
      </c>
      <c r="BD12" s="207">
        <f>IFERROR(INDEX(AY12:BA12,MATCH('Project Info'!$D$14,AY$4:BA$4,0)),AY12)</f>
        <v>6</v>
      </c>
      <c r="BF12" s="82">
        <f t="shared" si="1"/>
        <v>0.21</v>
      </c>
      <c r="BG12" s="82">
        <v>0.09</v>
      </c>
      <c r="BH12" s="82"/>
      <c r="BI12" s="82"/>
      <c r="BJ12" s="66">
        <f t="shared" si="2"/>
        <v>6</v>
      </c>
      <c r="BK12" s="66"/>
      <c r="BL12" s="66"/>
      <c r="BN12" s="26">
        <f>IFERROR(INDEX(BF12:BI12,MATCH('Project Info'!$D$13,BF$4:BI$4,0)),BF12)</f>
        <v>0.21</v>
      </c>
      <c r="BO12" s="207">
        <f>IFERROR(INDEX(BJ12:BL12,MATCH('Project Info'!$D$14,BJ$4:BL$4,0)),BJ12)</f>
        <v>6</v>
      </c>
    </row>
    <row r="13" spans="1:67">
      <c r="C13" s="82">
        <v>0.24</v>
      </c>
      <c r="D13" s="82">
        <v>0.2</v>
      </c>
      <c r="E13" s="66"/>
      <c r="F13" s="66"/>
      <c r="G13" s="66">
        <v>7</v>
      </c>
      <c r="H13" s="66">
        <v>9</v>
      </c>
      <c r="I13" s="66"/>
      <c r="K13" s="26">
        <f>IFERROR(INDEX(C13:F13,MATCH('Project Info'!$D$13,C$4:F$4,0)),C13)</f>
        <v>0.24</v>
      </c>
      <c r="L13" s="207">
        <f>IFERROR(INDEX(G13:I13,MATCH('Project Info'!$D$14,G$4:I$4,0)),G13)</f>
        <v>7</v>
      </c>
      <c r="N13" s="82">
        <v>0.18</v>
      </c>
      <c r="O13" s="82">
        <v>0.16</v>
      </c>
      <c r="P13" s="82">
        <v>0.15</v>
      </c>
      <c r="Q13" s="82"/>
      <c r="R13" s="66">
        <v>7</v>
      </c>
      <c r="S13" s="66">
        <v>9</v>
      </c>
      <c r="T13" s="66">
        <v>7</v>
      </c>
      <c r="U13" s="117"/>
      <c r="V13" s="26">
        <f>IFERROR(INDEX(N13:Q13,MATCH('Project Info'!$D$13,N$4:Q$4,0)),N13)</f>
        <v>0.18</v>
      </c>
      <c r="W13" s="207">
        <f>IFERROR(INDEX(R13:T13,MATCH('Project Info'!$D$14,R$4:T$4,0)),R13)</f>
        <v>7</v>
      </c>
      <c r="X13" s="117"/>
      <c r="Y13" s="82">
        <v>0.5</v>
      </c>
      <c r="Z13" s="82">
        <v>0.5</v>
      </c>
      <c r="AA13" s="82">
        <v>0.4</v>
      </c>
      <c r="AB13" s="82">
        <v>0.35</v>
      </c>
      <c r="AC13" s="66">
        <v>7</v>
      </c>
      <c r="AD13" s="66">
        <v>7</v>
      </c>
      <c r="AE13" s="66">
        <v>7</v>
      </c>
      <c r="AF13" s="117"/>
      <c r="AG13" s="26">
        <f>IFERROR(INDEX(Y13:AB13,MATCH('Project Info'!$D$13,Y$4:AB$4,0)),Y13)</f>
        <v>0.5</v>
      </c>
      <c r="AH13" s="207">
        <f>IFERROR(INDEX(AC13:AE13,MATCH('Project Info'!$D$14,AC$4:AE$4,0)),AC13)</f>
        <v>7</v>
      </c>
      <c r="AJ13" s="82">
        <v>0.35</v>
      </c>
      <c r="AK13" s="82">
        <v>0.3</v>
      </c>
      <c r="AL13" s="82"/>
      <c r="AM13" s="82"/>
      <c r="AN13" s="66">
        <v>7</v>
      </c>
      <c r="AO13" s="66">
        <v>7</v>
      </c>
      <c r="AP13" s="66">
        <v>7</v>
      </c>
      <c r="AQ13" s="117"/>
      <c r="AR13" s="26">
        <f>IFERROR(INDEX(AJ13:AM13,MATCH('Project Info'!$D$13,AJ$4:AM$4,0)),AJ13)</f>
        <v>0.35</v>
      </c>
      <c r="AS13" s="207">
        <f>IFERROR(INDEX(AN13:AP13,MATCH('Project Info'!$D$14,AN$4:AP$4,0)),AN13)</f>
        <v>7</v>
      </c>
      <c r="AT13" s="117"/>
      <c r="AU13" s="82">
        <v>0.24</v>
      </c>
      <c r="AV13" s="82">
        <v>0.2</v>
      </c>
      <c r="AW13" s="82">
        <f>IF('Project Info'!$D$12=Menus!$M$8,0.12,0.2)</f>
        <v>0.2</v>
      </c>
      <c r="AX13" s="82">
        <f>IF('Project Info'!$D$12=Menus!$M$8,0.65,0.7)</f>
        <v>0.7</v>
      </c>
      <c r="AY13" s="66">
        <v>7</v>
      </c>
      <c r="AZ13" s="66"/>
      <c r="BA13" s="66"/>
      <c r="BC13" s="26">
        <f>IFERROR(INDEX(AU13:AX13,MATCH('Project Info'!$D$13,AU$4:AX$4,0)),AU13)</f>
        <v>0.24</v>
      </c>
      <c r="BD13" s="207">
        <f>IFERROR(INDEX(AY13:BA13,MATCH('Project Info'!$D$14,AY$4:BA$4,0)),AY13)</f>
        <v>7</v>
      </c>
      <c r="BF13" s="82">
        <f t="shared" si="1"/>
        <v>0.24</v>
      </c>
      <c r="BG13" s="82">
        <v>0.12</v>
      </c>
      <c r="BH13" s="82"/>
      <c r="BI13" s="82"/>
      <c r="BJ13" s="66">
        <f t="shared" si="2"/>
        <v>7</v>
      </c>
      <c r="BK13" s="66"/>
      <c r="BL13" s="66"/>
      <c r="BN13" s="26">
        <f>IFERROR(INDEX(BF13:BI13,MATCH('Project Info'!$D$13,BF$4:BI$4,0)),BF13)</f>
        <v>0.24</v>
      </c>
      <c r="BO13" s="207">
        <f>IFERROR(INDEX(BJ13:BL13,MATCH('Project Info'!$D$14,BJ$4:BL$4,0)),BJ13)</f>
        <v>7</v>
      </c>
    </row>
    <row r="14" spans="1:67">
      <c r="C14" s="82">
        <v>0.26</v>
      </c>
      <c r="D14" s="82">
        <v>0.22</v>
      </c>
      <c r="E14" s="66"/>
      <c r="F14" s="66"/>
      <c r="G14" s="66">
        <v>8</v>
      </c>
      <c r="H14" s="66">
        <v>10</v>
      </c>
      <c r="I14" s="66"/>
      <c r="K14" s="26">
        <f>IFERROR(INDEX(C14:F14,MATCH('Project Info'!$D$13,C$4:F$4,0)),C14)</f>
        <v>0.26</v>
      </c>
      <c r="L14" s="207">
        <f>IFERROR(INDEX(G14:I14,MATCH('Project Info'!$D$14,G$4:I$4,0)),G14)</f>
        <v>8</v>
      </c>
      <c r="N14" s="82">
        <v>0.2</v>
      </c>
      <c r="O14" s="82">
        <v>0.18</v>
      </c>
      <c r="P14" s="82">
        <v>0.17</v>
      </c>
      <c r="Q14" s="82"/>
      <c r="R14" s="66">
        <v>8</v>
      </c>
      <c r="S14" s="66">
        <v>10</v>
      </c>
      <c r="T14" s="66">
        <v>8</v>
      </c>
      <c r="U14" s="117"/>
      <c r="V14" s="26">
        <f>IFERROR(INDEX(N14:Q14,MATCH('Project Info'!$D$13,N$4:Q$4,0)),N14)</f>
        <v>0.2</v>
      </c>
      <c r="W14" s="207">
        <f>IFERROR(INDEX(R14:T14,MATCH('Project Info'!$D$14,R$4:T$4,0)),R14)</f>
        <v>8</v>
      </c>
      <c r="X14" s="117"/>
      <c r="Y14" s="82">
        <v>0.55000000000000004</v>
      </c>
      <c r="Z14" s="82">
        <v>0.6</v>
      </c>
      <c r="AA14" s="82">
        <v>0.45</v>
      </c>
      <c r="AB14" s="82">
        <v>0.4</v>
      </c>
      <c r="AC14" s="66">
        <v>8</v>
      </c>
      <c r="AD14" s="66">
        <v>8</v>
      </c>
      <c r="AE14" s="66">
        <v>8</v>
      </c>
      <c r="AF14" s="117"/>
      <c r="AG14" s="26">
        <f>IFERROR(INDEX(Y14:AB14,MATCH('Project Info'!$D$13,Y$4:AB$4,0)),Y14)</f>
        <v>0.55000000000000004</v>
      </c>
      <c r="AH14" s="207">
        <f>IFERROR(INDEX(AC14:AE14,MATCH('Project Info'!$D$14,AC$4:AE$4,0)),AC14)</f>
        <v>8</v>
      </c>
      <c r="AJ14" s="82">
        <v>0.4</v>
      </c>
      <c r="AK14" s="82">
        <v>0.35</v>
      </c>
      <c r="AL14" s="82"/>
      <c r="AM14" s="82"/>
      <c r="AN14" s="66">
        <v>8</v>
      </c>
      <c r="AO14" s="66">
        <v>8</v>
      </c>
      <c r="AP14" s="66">
        <v>7</v>
      </c>
      <c r="AQ14" s="117"/>
      <c r="AR14" s="26">
        <f>IFERROR(INDEX(AJ14:AM14,MATCH('Project Info'!$D$13,AJ$4:AM$4,0)),AJ14)</f>
        <v>0.4</v>
      </c>
      <c r="AS14" s="207">
        <f>IFERROR(INDEX(AN14:AP14,MATCH('Project Info'!$D$14,AN$4:AP$4,0)),AN14)</f>
        <v>7</v>
      </c>
      <c r="AT14" s="117"/>
      <c r="AU14" s="82">
        <v>0.27</v>
      </c>
      <c r="AV14" s="82"/>
      <c r="AW14" s="82"/>
      <c r="AX14" s="82"/>
      <c r="AY14" s="66">
        <v>8</v>
      </c>
      <c r="AZ14" s="66"/>
      <c r="BA14" s="66"/>
      <c r="BC14" s="26">
        <f>IFERROR(INDEX(AU14:AX14,MATCH('Project Info'!$D$13,AU$4:AX$4,0)),AU14)</f>
        <v>0.27</v>
      </c>
      <c r="BD14" s="207">
        <f>IFERROR(INDEX(AY14:BA14,MATCH('Project Info'!$D$14,AY$4:BA$4,0)),AY14)</f>
        <v>8</v>
      </c>
      <c r="BF14" s="82">
        <f t="shared" si="1"/>
        <v>0.27</v>
      </c>
      <c r="BG14" s="82"/>
      <c r="BH14" s="82"/>
      <c r="BI14" s="82"/>
      <c r="BJ14" s="66">
        <f t="shared" si="2"/>
        <v>8</v>
      </c>
      <c r="BK14" s="66"/>
      <c r="BL14" s="66"/>
      <c r="BN14" s="26">
        <f>IFERROR(INDEX(BF14:BI14,MATCH('Project Info'!$D$13,BF$4:BI$4,0)),BF14)</f>
        <v>0.27</v>
      </c>
      <c r="BO14" s="207">
        <f>IFERROR(INDEX(BJ14:BL14,MATCH('Project Info'!$D$14,BJ$4:BL$4,0)),BJ14)</f>
        <v>8</v>
      </c>
    </row>
    <row r="15" spans="1:67">
      <c r="C15" s="82">
        <v>0.28000000000000003</v>
      </c>
      <c r="D15" s="82">
        <v>0.24</v>
      </c>
      <c r="E15" s="66"/>
      <c r="F15" s="66"/>
      <c r="G15" s="66">
        <v>9</v>
      </c>
      <c r="H15" s="66">
        <v>11</v>
      </c>
      <c r="I15" s="66"/>
      <c r="K15" s="26">
        <f>IFERROR(INDEX(C15:F15,MATCH('Project Info'!$D$13,C$4:F$4,0)),C15)</f>
        <v>0.28000000000000003</v>
      </c>
      <c r="L15" s="207">
        <f>IFERROR(INDEX(G15:I15,MATCH('Project Info'!$D$14,G$4:I$4,0)),G15)</f>
        <v>9</v>
      </c>
      <c r="N15" s="82">
        <v>0.22</v>
      </c>
      <c r="O15" s="82">
        <v>0.2</v>
      </c>
      <c r="P15" s="82">
        <v>0.19</v>
      </c>
      <c r="Q15" s="82"/>
      <c r="R15" s="66">
        <v>9</v>
      </c>
      <c r="S15" s="66">
        <v>11</v>
      </c>
      <c r="T15" s="66">
        <v>9</v>
      </c>
      <c r="U15" s="117"/>
      <c r="V15" s="26">
        <f>IFERROR(INDEX(N15:Q15,MATCH('Project Info'!$D$13,N$4:Q$4,0)),N15)</f>
        <v>0.22</v>
      </c>
      <c r="W15" s="207">
        <f>IFERROR(INDEX(R15:T15,MATCH('Project Info'!$D$14,R$4:T$4,0)),R15)</f>
        <v>9</v>
      </c>
      <c r="X15" s="117"/>
      <c r="Y15" s="82">
        <v>0.6</v>
      </c>
      <c r="Z15" s="82">
        <v>1</v>
      </c>
      <c r="AA15" s="82">
        <v>0.5</v>
      </c>
      <c r="AB15" s="82">
        <v>0.45</v>
      </c>
      <c r="AC15" s="66">
        <v>9</v>
      </c>
      <c r="AD15" s="66">
        <v>9</v>
      </c>
      <c r="AE15" s="66" t="str">
        <f>_xlfn.CONCAT(AE14," + EP")</f>
        <v>8 + EP</v>
      </c>
      <c r="AF15" s="117"/>
      <c r="AG15" s="26">
        <f>IFERROR(INDEX(Y15:AB15,MATCH('Project Info'!$D$13,Y$4:AB$4,0)),Y15)</f>
        <v>0.6</v>
      </c>
      <c r="AH15" s="207" t="str">
        <f>IFERROR(INDEX(AC15:AE15,MATCH('Project Info'!$D$14,AC$4:AE$4,0)),AC15)</f>
        <v>8 + EP</v>
      </c>
      <c r="AJ15" s="82">
        <v>0.45</v>
      </c>
      <c r="AK15" s="82">
        <v>0.4</v>
      </c>
      <c r="AL15" s="82"/>
      <c r="AM15" s="82"/>
      <c r="AN15" s="66">
        <v>9</v>
      </c>
      <c r="AO15" s="66">
        <v>9</v>
      </c>
      <c r="AP15" s="66">
        <v>8</v>
      </c>
      <c r="AQ15" s="117"/>
      <c r="AR15" s="26">
        <f>IFERROR(INDEX(AJ15:AM15,MATCH('Project Info'!$D$13,AJ$4:AM$4,0)),AJ15)</f>
        <v>0.45</v>
      </c>
      <c r="AS15" s="207">
        <f>IFERROR(INDEX(AN15:AP15,MATCH('Project Info'!$D$14,AN$4:AP$4,0)),AN15)</f>
        <v>8</v>
      </c>
      <c r="AT15" s="117"/>
      <c r="AU15" s="82">
        <v>0.3</v>
      </c>
      <c r="AV15" s="82"/>
      <c r="AW15" s="82"/>
      <c r="AX15" s="82"/>
      <c r="AY15" s="66">
        <v>9</v>
      </c>
      <c r="AZ15" s="66"/>
      <c r="BA15" s="66"/>
      <c r="BC15" s="26">
        <f>IFERROR(INDEX(AU15:AX15,MATCH('Project Info'!$D$13,AU$4:AX$4,0)),AU15)</f>
        <v>0.3</v>
      </c>
      <c r="BD15" s="207">
        <f>IFERROR(INDEX(AY15:BA15,MATCH('Project Info'!$D$14,AY$4:BA$4,0)),AY15)</f>
        <v>9</v>
      </c>
      <c r="BF15" s="82">
        <f t="shared" si="1"/>
        <v>0.3</v>
      </c>
      <c r="BG15" s="82"/>
      <c r="BH15" s="82"/>
      <c r="BI15" s="82"/>
      <c r="BJ15" s="66">
        <f t="shared" si="2"/>
        <v>9</v>
      </c>
      <c r="BK15" s="66"/>
      <c r="BL15" s="66"/>
      <c r="BN15" s="26">
        <f>IFERROR(INDEX(BF15:BI15,MATCH('Project Info'!$D$13,BF$4:BI$4,0)),BF15)</f>
        <v>0.3</v>
      </c>
      <c r="BO15" s="207">
        <f>IFERROR(INDEX(BJ15:BL15,MATCH('Project Info'!$D$14,BJ$4:BL$4,0)),BJ15)</f>
        <v>9</v>
      </c>
    </row>
    <row r="16" spans="1:67">
      <c r="C16" s="82">
        <v>0.3</v>
      </c>
      <c r="D16" s="82">
        <v>0.26</v>
      </c>
      <c r="E16" s="66"/>
      <c r="F16" s="66"/>
      <c r="G16" s="66">
        <v>10</v>
      </c>
      <c r="H16" s="66">
        <v>12</v>
      </c>
      <c r="I16" s="66"/>
      <c r="K16" s="26">
        <f>IFERROR(INDEX(C16:F16,MATCH('Project Info'!$D$13,C$4:F$4,0)),C16)</f>
        <v>0.3</v>
      </c>
      <c r="L16" s="207">
        <f>IFERROR(INDEX(G16:I16,MATCH('Project Info'!$D$14,G$4:I$4,0)),G16)</f>
        <v>10</v>
      </c>
      <c r="N16" s="82">
        <v>0.24</v>
      </c>
      <c r="O16" s="82">
        <v>0.22</v>
      </c>
      <c r="P16" s="82">
        <v>0.21</v>
      </c>
      <c r="Q16" s="82"/>
      <c r="R16" s="66">
        <v>10</v>
      </c>
      <c r="S16" s="66">
        <v>12</v>
      </c>
      <c r="T16" s="66">
        <v>10</v>
      </c>
      <c r="U16" s="117"/>
      <c r="V16" s="26">
        <f>IFERROR(INDEX(N16:Q16,MATCH('Project Info'!$D$13,N$4:Q$4,0)),N16)</f>
        <v>0.24</v>
      </c>
      <c r="W16" s="207">
        <f>IFERROR(INDEX(R16:T16,MATCH('Project Info'!$D$14,R$4:T$4,0)),R16)</f>
        <v>10</v>
      </c>
      <c r="X16" s="117"/>
      <c r="Y16" s="82">
        <v>1</v>
      </c>
      <c r="Z16" s="82"/>
      <c r="AA16" s="82">
        <v>1</v>
      </c>
      <c r="AB16" s="82">
        <v>0.5</v>
      </c>
      <c r="AC16" s="66" t="str">
        <f>_xlfn.CONCAT(AC15," + EP")</f>
        <v>9 + EP</v>
      </c>
      <c r="AD16" s="66">
        <v>10</v>
      </c>
      <c r="AG16" s="26">
        <f>IFERROR(INDEX(Y16:AB16,MATCH('Project Info'!$D$13,Y$4:AB$4,0)),Y16)</f>
        <v>1</v>
      </c>
      <c r="AH16" s="207">
        <f>IFERROR(INDEX(AC16:AE16,MATCH('Project Info'!$D$14,AC$4:AE$4,0)),AC16)</f>
        <v>0</v>
      </c>
      <c r="AJ16" s="82">
        <v>0.5</v>
      </c>
      <c r="AK16" s="82">
        <v>0.45</v>
      </c>
      <c r="AL16" s="82"/>
      <c r="AM16" s="82"/>
      <c r="AN16" s="66" t="str">
        <f>_xlfn.CONCAT(AN15," + EP")</f>
        <v>9 + EP</v>
      </c>
      <c r="AO16" s="66">
        <v>10</v>
      </c>
      <c r="AP16" s="66" t="str">
        <f>_xlfn.CONCAT(AP15," + EP")</f>
        <v>8 + EP</v>
      </c>
      <c r="AQ16" s="117"/>
      <c r="AR16" s="26">
        <f>IFERROR(INDEX(AJ16:AM16,MATCH('Project Info'!$D$13,AJ$4:AM$4,0)),AJ16)</f>
        <v>0.5</v>
      </c>
      <c r="AS16" s="207" t="str">
        <f>IFERROR(INDEX(AN16:AP16,MATCH('Project Info'!$D$14,AN$4:AP$4,0)),AN16)</f>
        <v>8 + EP</v>
      </c>
      <c r="AT16" s="117"/>
      <c r="AU16" s="82">
        <v>0.5</v>
      </c>
      <c r="AV16" s="82"/>
      <c r="AW16" s="82"/>
      <c r="AX16" s="82"/>
      <c r="AY16" s="66">
        <v>10</v>
      </c>
      <c r="AZ16" s="66"/>
      <c r="BA16" s="66"/>
      <c r="BC16" s="26">
        <f>IFERROR(INDEX(AU16:AX16,MATCH('Project Info'!$D$13,AU$4:AX$4,0)),AU16)</f>
        <v>0.5</v>
      </c>
      <c r="BD16" s="207">
        <f>IFERROR(INDEX(AY16:BA16,MATCH('Project Info'!$D$14,AY$4:BA$4,0)),AY16)</f>
        <v>10</v>
      </c>
      <c r="BF16" s="82">
        <f t="shared" si="1"/>
        <v>0.5</v>
      </c>
      <c r="BG16" s="82"/>
      <c r="BH16" s="82"/>
      <c r="BI16" s="82"/>
      <c r="BJ16" s="66">
        <f t="shared" si="2"/>
        <v>10</v>
      </c>
      <c r="BK16" s="66"/>
      <c r="BL16" s="66"/>
      <c r="BN16" s="26">
        <f>IFERROR(INDEX(BF16:BI16,MATCH('Project Info'!$D$13,BF$4:BI$4,0)),BF16)</f>
        <v>0.5</v>
      </c>
      <c r="BO16" s="207">
        <f>IFERROR(INDEX(BJ16:BL16,MATCH('Project Info'!$D$14,BJ$4:BL$4,0)),BJ16)</f>
        <v>10</v>
      </c>
    </row>
    <row r="17" spans="3:67">
      <c r="C17" s="82">
        <v>0.32</v>
      </c>
      <c r="D17" s="82">
        <v>0.28000000000000003</v>
      </c>
      <c r="E17" s="66"/>
      <c r="F17" s="66"/>
      <c r="G17" s="66">
        <v>11</v>
      </c>
      <c r="H17" s="66">
        <v>13</v>
      </c>
      <c r="I17" s="66"/>
      <c r="K17" s="26">
        <f>IFERROR(INDEX(C17:F17,MATCH('Project Info'!$D$13,C$4:F$4,0)),C17)</f>
        <v>0.32</v>
      </c>
      <c r="L17" s="207">
        <f>IFERROR(INDEX(G17:I17,MATCH('Project Info'!$D$14,G$4:I$4,0)),G17)</f>
        <v>11</v>
      </c>
      <c r="N17" s="82">
        <v>0.26</v>
      </c>
      <c r="O17" s="82">
        <v>0.24</v>
      </c>
      <c r="P17" s="82">
        <v>0.23</v>
      </c>
      <c r="Q17" s="82"/>
      <c r="R17" s="66">
        <v>11</v>
      </c>
      <c r="S17" s="66">
        <v>13</v>
      </c>
      <c r="T17" s="66">
        <v>11</v>
      </c>
      <c r="U17" s="117"/>
      <c r="V17" s="26">
        <f>IFERROR(INDEX(N17:Q17,MATCH('Project Info'!$D$13,N$4:Q$4,0)),N17)</f>
        <v>0.26</v>
      </c>
      <c r="W17" s="207">
        <f>IFERROR(INDEX(R17:T17,MATCH('Project Info'!$D$14,R$4:T$4,0)),R17)</f>
        <v>11</v>
      </c>
      <c r="X17" s="117"/>
      <c r="Y17" s="82"/>
      <c r="Z17" s="82"/>
      <c r="AA17" s="82"/>
      <c r="AB17" s="82">
        <v>1</v>
      </c>
      <c r="AC17" s="66"/>
      <c r="AD17" s="66" t="str">
        <f>_xlfn.CONCAT(AD16," + EP")</f>
        <v>10 + EP</v>
      </c>
      <c r="AE17" s="66"/>
      <c r="AF17" s="117"/>
      <c r="AG17" s="26">
        <f>IFERROR(INDEX(Y17:AB17,MATCH('Project Info'!$D$13,Y$4:AB$4,0)),Y17)</f>
        <v>0</v>
      </c>
      <c r="AH17" s="207">
        <f>IFERROR(INDEX(AC17:AE17,MATCH('Project Info'!$D$14,AC$4:AE$4,0)),AC17)</f>
        <v>0</v>
      </c>
      <c r="AJ17" s="82"/>
      <c r="AK17" s="82">
        <v>0.5</v>
      </c>
      <c r="AL17" s="82"/>
      <c r="AM17" s="82"/>
      <c r="AN17" s="66" t="str">
        <f>AN16</f>
        <v>9 + EP</v>
      </c>
      <c r="AO17" s="66">
        <f>AO16</f>
        <v>10</v>
      </c>
      <c r="AP17" s="66" t="str">
        <f>AP16</f>
        <v>8 + EP</v>
      </c>
      <c r="AQ17" s="117"/>
      <c r="AR17" s="26">
        <f>IFERROR(INDEX(AJ17:AM17,MATCH('Project Info'!$D$13,AJ$4:AM$4,0)),AJ17)</f>
        <v>0</v>
      </c>
      <c r="AS17" s="207" t="str">
        <f>IFERROR(INDEX(AN17:AP17,MATCH('Project Info'!$D$14,AN$4:AP$4,0)),AN17)</f>
        <v>8 + EP</v>
      </c>
      <c r="AT17" s="117"/>
      <c r="AU17" s="82"/>
      <c r="AV17" s="82"/>
      <c r="AW17" s="82"/>
      <c r="AX17" s="82"/>
      <c r="AY17" s="82"/>
      <c r="AZ17" s="82"/>
      <c r="BA17" s="82"/>
      <c r="BC17" s="26">
        <f>IFERROR(INDEX(AU17:AX17,MATCH('Project Info'!$D$13,AU$4:AX$4,0)),AU17)</f>
        <v>0</v>
      </c>
      <c r="BD17" s="207">
        <f>IFERROR(INDEX(AY17:BA17,MATCH('Project Info'!$D$14,AY$4:BA$4,0)),AY17)</f>
        <v>0</v>
      </c>
      <c r="BF17" s="82"/>
      <c r="BG17" s="82"/>
      <c r="BH17" s="82"/>
      <c r="BI17" s="82"/>
      <c r="BJ17" s="82"/>
      <c r="BK17" s="82"/>
      <c r="BL17" s="82"/>
      <c r="BN17" s="26">
        <f>IFERROR(INDEX(BF17:BI17,MATCH('Project Info'!$D$13,BF$4:BI$4,0)),BF17)</f>
        <v>0</v>
      </c>
      <c r="BO17" s="207">
        <f>IFERROR(INDEX(BJ17:BL17,MATCH('Project Info'!$D$14,BJ$4:BL$4,0)),BJ17)</f>
        <v>0</v>
      </c>
    </row>
    <row r="18" spans="3:67">
      <c r="C18" s="82">
        <v>0.34</v>
      </c>
      <c r="D18" s="82">
        <v>0.3</v>
      </c>
      <c r="E18" s="66"/>
      <c r="F18" s="66"/>
      <c r="G18" s="66">
        <v>12</v>
      </c>
      <c r="H18" s="66">
        <v>14</v>
      </c>
      <c r="I18" s="66"/>
      <c r="K18" s="26">
        <f>IFERROR(INDEX(C18:F18,MATCH('Project Info'!$D$13,C$4:F$4,0)),C18)</f>
        <v>0.34</v>
      </c>
      <c r="L18" s="207">
        <f>IFERROR(INDEX(G18:I18,MATCH('Project Info'!$D$14,G$4:I$4,0)),G18)</f>
        <v>12</v>
      </c>
      <c r="N18" s="82">
        <v>0.28999999999999998</v>
      </c>
      <c r="O18" s="82">
        <v>0.27</v>
      </c>
      <c r="P18" s="82">
        <v>0.26</v>
      </c>
      <c r="Q18" s="82"/>
      <c r="R18" s="66">
        <v>12</v>
      </c>
      <c r="S18" s="66">
        <v>14</v>
      </c>
      <c r="T18" s="66">
        <v>12</v>
      </c>
      <c r="U18" s="117"/>
      <c r="V18" s="26">
        <f>IFERROR(INDEX(N18:Q18,MATCH('Project Info'!$D$13,N$4:Q$4,0)),N18)</f>
        <v>0.28999999999999998</v>
      </c>
      <c r="W18" s="207">
        <f>IFERROR(INDEX(R18:T18,MATCH('Project Info'!$D$14,R$4:T$4,0)),R18)</f>
        <v>12</v>
      </c>
      <c r="X18" s="117"/>
      <c r="Y18" s="82"/>
      <c r="Z18" s="82"/>
      <c r="AA18" s="82"/>
      <c r="AB18" s="82"/>
      <c r="AC18" s="66"/>
      <c r="AD18" s="66"/>
      <c r="AE18" s="66"/>
      <c r="AF18" s="117"/>
      <c r="AG18" s="26">
        <f>IFERROR(INDEX(Y18:AB18,MATCH('Project Info'!$D$13,Y$4:AB$4,0)),Y18)</f>
        <v>0</v>
      </c>
      <c r="AH18" s="207">
        <f>IFERROR(INDEX(AC18:AE18,MATCH('Project Info'!$D$14,AC$4:AE$4,0)),AC18)</f>
        <v>0</v>
      </c>
      <c r="AJ18" s="82"/>
      <c r="AK18" s="82"/>
      <c r="AL18" s="82"/>
      <c r="AM18" s="82"/>
      <c r="AN18" s="66"/>
      <c r="AO18" s="66"/>
      <c r="AP18" s="66"/>
      <c r="AQ18" s="117"/>
      <c r="AR18" s="26">
        <f>IFERROR(INDEX(AJ18:AM18,MATCH('Project Info'!$D$13,AJ$4:AM$4,0)),AJ18)</f>
        <v>0</v>
      </c>
      <c r="AS18" s="207">
        <f>IFERROR(INDEX(AN18:AP18,MATCH('Project Info'!$D$14,AN$4:AP$4,0)),AN18)</f>
        <v>0</v>
      </c>
      <c r="AT18" s="117"/>
      <c r="AU18" s="82"/>
      <c r="AV18" s="82"/>
      <c r="AW18" s="82"/>
      <c r="AX18" s="82"/>
      <c r="AY18" s="66"/>
      <c r="AZ18" s="66"/>
      <c r="BA18" s="66"/>
      <c r="BC18" s="26">
        <f>IFERROR(INDEX(AU18:AX18,MATCH('Project Info'!$D$13,AU$4:AX$4,0)),AU18)</f>
        <v>0</v>
      </c>
      <c r="BD18" s="207">
        <f>IFERROR(INDEX(AY18:BA18,MATCH('Project Info'!$D$14,AY$4:BA$4,0)),AY18)</f>
        <v>0</v>
      </c>
      <c r="BF18" s="82"/>
      <c r="BG18" s="82"/>
      <c r="BH18" s="82"/>
      <c r="BI18" s="82"/>
      <c r="BJ18" s="66"/>
      <c r="BK18" s="66"/>
      <c r="BL18" s="66"/>
      <c r="BN18" s="26">
        <f>IFERROR(INDEX(BF18:BI18,MATCH('Project Info'!$D$13,BF$4:BI$4,0)),BF18)</f>
        <v>0</v>
      </c>
      <c r="BO18" s="207">
        <f>IFERROR(INDEX(BJ18:BL18,MATCH('Project Info'!$D$14,BJ$4:BL$4,0)),BJ18)</f>
        <v>0</v>
      </c>
    </row>
    <row r="19" spans="3:67">
      <c r="C19" s="82">
        <v>0.36</v>
      </c>
      <c r="D19" s="82">
        <v>0.32</v>
      </c>
      <c r="E19" s="66"/>
      <c r="F19" s="66"/>
      <c r="G19" s="66">
        <v>13</v>
      </c>
      <c r="H19" s="66">
        <v>15</v>
      </c>
      <c r="I19" s="66"/>
      <c r="K19" s="26">
        <f>IFERROR(INDEX(C19:F19,MATCH('Project Info'!$D$13,C$4:F$4,0)),C19)</f>
        <v>0.36</v>
      </c>
      <c r="L19" s="207">
        <f>IFERROR(INDEX(G19:I19,MATCH('Project Info'!$D$14,G$4:I$4,0)),G19)</f>
        <v>13</v>
      </c>
      <c r="N19" s="82">
        <v>0.32</v>
      </c>
      <c r="O19" s="82">
        <v>0.3</v>
      </c>
      <c r="P19" s="82">
        <v>0.28999999999999998</v>
      </c>
      <c r="Q19" s="82"/>
      <c r="R19" s="66">
        <v>13</v>
      </c>
      <c r="S19" s="66">
        <v>15</v>
      </c>
      <c r="T19" s="66">
        <v>13</v>
      </c>
      <c r="U19" s="117"/>
      <c r="V19" s="26">
        <f>IFERROR(INDEX(N19:Q19,MATCH('Project Info'!$D$13,N$4:Q$4,0)),N19)</f>
        <v>0.32</v>
      </c>
      <c r="W19" s="207">
        <f>IFERROR(INDEX(R19:T19,MATCH('Project Info'!$D$14,R$4:T$4,0)),R19)</f>
        <v>13</v>
      </c>
      <c r="X19" s="117"/>
      <c r="Y19" s="82"/>
      <c r="Z19" s="82"/>
      <c r="AA19" s="82"/>
      <c r="AB19" s="82"/>
      <c r="AC19" s="66"/>
      <c r="AD19" s="66"/>
      <c r="AE19" s="66"/>
      <c r="AF19" s="117"/>
      <c r="AG19" s="26">
        <f>IFERROR(INDEX(Y19:AB19,MATCH('Project Info'!$D$13,Y$4:AB$4,0)),Y19)</f>
        <v>0</v>
      </c>
      <c r="AH19" s="207">
        <f>IFERROR(INDEX(AC19:AE19,MATCH('Project Info'!$D$14,AC$4:AE$4,0)),AC19)</f>
        <v>0</v>
      </c>
      <c r="AJ19" s="82"/>
      <c r="AK19" s="82"/>
      <c r="AL19" s="82"/>
      <c r="AM19" s="82"/>
      <c r="AN19" s="66"/>
      <c r="AO19" s="66"/>
      <c r="AP19" s="66"/>
      <c r="AQ19" s="117"/>
      <c r="AR19" s="26">
        <f>IFERROR(INDEX(AJ19:AM19,MATCH('Project Info'!$D$13,AJ$4:AM$4,0)),AJ19)</f>
        <v>0</v>
      </c>
      <c r="AS19" s="207">
        <f>IFERROR(INDEX(AN19:AP19,MATCH('Project Info'!$D$14,AN$4:AP$4,0)),AN19)</f>
        <v>0</v>
      </c>
      <c r="AT19" s="117"/>
      <c r="AU19" s="82"/>
      <c r="AV19" s="82"/>
      <c r="AW19" s="82"/>
      <c r="AX19" s="82"/>
      <c r="AY19" s="66"/>
      <c r="AZ19" s="66"/>
      <c r="BA19" s="66"/>
      <c r="BC19" s="26">
        <f>IFERROR(INDEX(AU19:AX19,MATCH('Project Info'!$D$13,AU$4:AX$4,0)),AU19)</f>
        <v>0</v>
      </c>
      <c r="BD19" s="207">
        <f>IFERROR(INDEX(AY19:BA19,MATCH('Project Info'!$D$14,AY$4:BA$4,0)),AY19)</f>
        <v>0</v>
      </c>
      <c r="BF19" s="82"/>
      <c r="BG19" s="82"/>
      <c r="BH19" s="82"/>
      <c r="BI19" s="82"/>
      <c r="BJ19" s="66"/>
      <c r="BK19" s="66"/>
      <c r="BL19" s="66"/>
      <c r="BN19" s="26">
        <f>IFERROR(INDEX(BF19:BI19,MATCH('Project Info'!$D$13,BF$4:BI$4,0)),BF19)</f>
        <v>0</v>
      </c>
      <c r="BO19" s="207">
        <f>IFERROR(INDEX(BJ19:BL19,MATCH('Project Info'!$D$14,BJ$4:BL$4,0)),BJ19)</f>
        <v>0</v>
      </c>
    </row>
    <row r="20" spans="3:67">
      <c r="C20" s="82">
        <v>0.38</v>
      </c>
      <c r="D20" s="82">
        <v>0.34</v>
      </c>
      <c r="E20" s="66"/>
      <c r="F20" s="66"/>
      <c r="G20" s="66">
        <v>14</v>
      </c>
      <c r="H20" s="66">
        <v>16</v>
      </c>
      <c r="I20" s="66"/>
      <c r="K20" s="26">
        <f>IFERROR(INDEX(C20:F20,MATCH('Project Info'!$D$13,C$4:F$4,0)),C20)</f>
        <v>0.38</v>
      </c>
      <c r="L20" s="207">
        <f>IFERROR(INDEX(G20:I20,MATCH('Project Info'!$D$14,G$4:I$4,0)),G20)</f>
        <v>14</v>
      </c>
      <c r="N20" s="82">
        <v>0.35</v>
      </c>
      <c r="O20" s="82">
        <v>0.33</v>
      </c>
      <c r="P20" s="82">
        <v>0.32</v>
      </c>
      <c r="Q20" s="82"/>
      <c r="R20" s="66">
        <v>14</v>
      </c>
      <c r="S20" s="66">
        <v>16</v>
      </c>
      <c r="T20" s="66">
        <v>14</v>
      </c>
      <c r="U20" s="117"/>
      <c r="V20" s="26">
        <f>IFERROR(INDEX(N20:Q20,MATCH('Project Info'!$D$13,N$4:Q$4,0)),N20)</f>
        <v>0.35</v>
      </c>
      <c r="W20" s="207">
        <f>IFERROR(INDEX(R20:T20,MATCH('Project Info'!$D$14,R$4:T$4,0)),R20)</f>
        <v>14</v>
      </c>
      <c r="X20" s="117"/>
      <c r="Y20" s="82"/>
      <c r="Z20" s="82"/>
      <c r="AA20" s="82"/>
      <c r="AB20" s="82"/>
      <c r="AC20" s="66"/>
      <c r="AD20" s="66"/>
      <c r="AE20" s="66"/>
      <c r="AF20" s="117"/>
      <c r="AG20" s="26">
        <f>IFERROR(INDEX(Y20:AB20,MATCH('Project Info'!$D$13,Y$4:AB$4,0)),Y20)</f>
        <v>0</v>
      </c>
      <c r="AH20" s="207">
        <f>IFERROR(INDEX(AC20:AE20,MATCH('Project Info'!$D$14,AC$4:AE$4,0)),AC20)</f>
        <v>0</v>
      </c>
      <c r="AJ20" s="82"/>
      <c r="AK20" s="82"/>
      <c r="AL20" s="82"/>
      <c r="AM20" s="82"/>
      <c r="AN20" s="66"/>
      <c r="AO20" s="66"/>
      <c r="AP20" s="66"/>
      <c r="AQ20" s="117"/>
      <c r="AR20" s="26">
        <f>IFERROR(INDEX(AJ20:AM20,MATCH('Project Info'!$D$13,AJ$4:AM$4,0)),AJ20)</f>
        <v>0</v>
      </c>
      <c r="AS20" s="207">
        <f>IFERROR(INDEX(AN20:AP20,MATCH('Project Info'!$D$14,AN$4:AP$4,0)),AN20)</f>
        <v>0</v>
      </c>
      <c r="AT20" s="117"/>
      <c r="AU20" s="82"/>
      <c r="AV20" s="82"/>
      <c r="AW20" s="82"/>
      <c r="AX20" s="82"/>
      <c r="AY20" s="66"/>
      <c r="AZ20" s="66"/>
      <c r="BA20" s="66"/>
      <c r="BC20" s="26">
        <f>IFERROR(INDEX(AU20:AX20,MATCH('Project Info'!$D$13,AU$4:AX$4,0)),AU20)</f>
        <v>0</v>
      </c>
      <c r="BD20" s="207">
        <f>IFERROR(INDEX(AY20:BA20,MATCH('Project Info'!$D$14,AY$4:BA$4,0)),AY20)</f>
        <v>0</v>
      </c>
      <c r="BF20" s="82"/>
      <c r="BG20" s="82"/>
      <c r="BH20" s="82"/>
      <c r="BI20" s="82"/>
      <c r="BJ20" s="66"/>
      <c r="BK20" s="66"/>
      <c r="BL20" s="66"/>
      <c r="BN20" s="26">
        <f>IFERROR(INDEX(BF20:BI20,MATCH('Project Info'!$D$13,BF$4:BI$4,0)),BF20)</f>
        <v>0</v>
      </c>
      <c r="BO20" s="207">
        <f>IFERROR(INDEX(BJ20:BL20,MATCH('Project Info'!$D$14,BJ$4:BL$4,0)),BJ20)</f>
        <v>0</v>
      </c>
    </row>
    <row r="21" spans="3:67">
      <c r="C21" s="82">
        <v>0.4</v>
      </c>
      <c r="D21" s="82">
        <v>0.36</v>
      </c>
      <c r="E21" s="66"/>
      <c r="F21" s="66"/>
      <c r="G21" s="66">
        <v>15</v>
      </c>
      <c r="H21" s="66">
        <v>17</v>
      </c>
      <c r="I21" s="66"/>
      <c r="K21" s="26">
        <f>IFERROR(INDEX(C21:F21,MATCH('Project Info'!$D$13,C$4:F$4,0)),C21)</f>
        <v>0.4</v>
      </c>
      <c r="L21" s="207">
        <f>IFERROR(INDEX(G21:I21,MATCH('Project Info'!$D$14,G$4:I$4,0)),G21)</f>
        <v>15</v>
      </c>
      <c r="N21" s="82">
        <v>0.38</v>
      </c>
      <c r="O21" s="82">
        <v>0.36</v>
      </c>
      <c r="P21" s="82">
        <v>0.35</v>
      </c>
      <c r="Q21" s="82"/>
      <c r="R21" s="66">
        <v>15</v>
      </c>
      <c r="S21" s="66">
        <v>17</v>
      </c>
      <c r="T21" s="66">
        <v>15</v>
      </c>
      <c r="U21" s="117"/>
      <c r="V21" s="26">
        <f>IFERROR(INDEX(N21:Q21,MATCH('Project Info'!$D$13,N$4:Q$4,0)),N21)</f>
        <v>0.38</v>
      </c>
      <c r="W21" s="207">
        <f>IFERROR(INDEX(R21:T21,MATCH('Project Info'!$D$14,R$4:T$4,0)),R21)</f>
        <v>15</v>
      </c>
      <c r="X21" s="117"/>
      <c r="Y21" s="82"/>
      <c r="Z21" s="82"/>
      <c r="AA21" s="82"/>
      <c r="AB21" s="82"/>
      <c r="AC21" s="66"/>
      <c r="AD21" s="66"/>
      <c r="AE21" s="66"/>
      <c r="AF21" s="117"/>
      <c r="AG21" s="26">
        <f>IFERROR(INDEX(Y21:AB21,MATCH('Project Info'!$D$13,Y$4:AB$4,0)),Y21)</f>
        <v>0</v>
      </c>
      <c r="AH21" s="207">
        <f>IFERROR(INDEX(AC21:AE21,MATCH('Project Info'!$D$14,AC$4:AE$4,0)),AC21)</f>
        <v>0</v>
      </c>
      <c r="AJ21" s="82"/>
      <c r="AK21" s="82"/>
      <c r="AL21" s="82"/>
      <c r="AM21" s="82"/>
      <c r="AN21" s="66"/>
      <c r="AO21" s="66"/>
      <c r="AP21" s="66"/>
      <c r="AQ21" s="117"/>
      <c r="AR21" s="26">
        <f>IFERROR(INDEX(AJ21:AM21,MATCH('Project Info'!$D$13,AJ$4:AM$4,0)),AJ21)</f>
        <v>0</v>
      </c>
      <c r="AS21" s="207">
        <f>IFERROR(INDEX(AN21:AP21,MATCH('Project Info'!$D$14,AN$4:AP$4,0)),AN21)</f>
        <v>0</v>
      </c>
      <c r="AT21" s="117"/>
      <c r="AU21" s="82"/>
      <c r="AV21" s="82"/>
      <c r="AW21" s="82"/>
      <c r="AX21" s="82"/>
      <c r="AY21" s="66"/>
      <c r="AZ21" s="66"/>
      <c r="BA21" s="66"/>
      <c r="BC21" s="26">
        <f>IFERROR(INDEX(AU21:AX21,MATCH('Project Info'!$D$13,AU$4:AX$4,0)),AU21)</f>
        <v>0</v>
      </c>
      <c r="BD21" s="207">
        <f>IFERROR(INDEX(AY21:BA21,MATCH('Project Info'!$D$14,AY$4:BA$4,0)),AY21)</f>
        <v>0</v>
      </c>
      <c r="BF21" s="82"/>
      <c r="BG21" s="82"/>
      <c r="BH21" s="82"/>
      <c r="BI21" s="82"/>
      <c r="BJ21" s="66"/>
      <c r="BK21" s="66"/>
      <c r="BL21" s="66"/>
      <c r="BN21" s="26">
        <f>IFERROR(INDEX(BF21:BI21,MATCH('Project Info'!$D$13,BF$4:BI$4,0)),BF21)</f>
        <v>0</v>
      </c>
      <c r="BO21" s="207">
        <f>IFERROR(INDEX(BJ21:BL21,MATCH('Project Info'!$D$14,BJ$4:BL$4,0)),BJ21)</f>
        <v>0</v>
      </c>
    </row>
    <row r="22" spans="3:67">
      <c r="C22" s="82">
        <v>0.42</v>
      </c>
      <c r="D22" s="82">
        <v>0.38</v>
      </c>
      <c r="E22" s="66"/>
      <c r="F22" s="66"/>
      <c r="G22" s="66">
        <v>16</v>
      </c>
      <c r="H22" s="66">
        <v>18</v>
      </c>
      <c r="I22" s="66"/>
      <c r="K22" s="26">
        <f>IFERROR(INDEX(C22:F22,MATCH('Project Info'!$D$13,C$4:F$4,0)),C22)</f>
        <v>0.42</v>
      </c>
      <c r="L22" s="207">
        <f>IFERROR(INDEX(G22:I22,MATCH('Project Info'!$D$14,G$4:I$4,0)),G22)</f>
        <v>16</v>
      </c>
      <c r="N22" s="82">
        <v>0.42</v>
      </c>
      <c r="O22" s="82">
        <v>0.4</v>
      </c>
      <c r="P22" s="82">
        <v>0.39</v>
      </c>
      <c r="Q22" s="82"/>
      <c r="R22" s="66">
        <v>16</v>
      </c>
      <c r="S22" s="66">
        <v>18</v>
      </c>
      <c r="T22" s="66">
        <v>16</v>
      </c>
      <c r="U22" s="117"/>
      <c r="V22" s="26">
        <f>IFERROR(INDEX(N22:Q22,MATCH('Project Info'!$D$13,N$4:Q$4,0)),N22)</f>
        <v>0.42</v>
      </c>
      <c r="W22" s="207">
        <f>IFERROR(INDEX(R22:T22,MATCH('Project Info'!$D$14,R$4:T$4,0)),R22)</f>
        <v>16</v>
      </c>
      <c r="X22" s="117"/>
      <c r="Y22" s="82"/>
      <c r="Z22" s="82"/>
      <c r="AA22" s="82"/>
      <c r="AB22" s="82"/>
      <c r="AC22" s="66"/>
      <c r="AD22" s="66"/>
      <c r="AE22" s="66"/>
      <c r="AF22" s="117"/>
      <c r="AG22" s="26">
        <f>IFERROR(INDEX(Y22:AB22,MATCH('Project Info'!$D$13,Y$4:AB$4,0)),Y22)</f>
        <v>0</v>
      </c>
      <c r="AH22" s="207">
        <f>IFERROR(INDEX(AC22:AE22,MATCH('Project Info'!$D$14,AC$4:AE$4,0)),AC22)</f>
        <v>0</v>
      </c>
      <c r="AJ22" s="82"/>
      <c r="AK22" s="82"/>
      <c r="AL22" s="82"/>
      <c r="AM22" s="82"/>
      <c r="AN22" s="66"/>
      <c r="AO22" s="66"/>
      <c r="AP22" s="66"/>
      <c r="AQ22" s="117"/>
      <c r="AR22" s="26">
        <f>IFERROR(INDEX(AJ22:AM22,MATCH('Project Info'!$D$13,AJ$4:AM$4,0)),AJ22)</f>
        <v>0</v>
      </c>
      <c r="AS22" s="207">
        <f>IFERROR(INDEX(AN22:AP22,MATCH('Project Info'!$D$14,AN$4:AP$4,0)),AN22)</f>
        <v>0</v>
      </c>
      <c r="AT22" s="117"/>
      <c r="AU22" s="82"/>
      <c r="AV22" s="82"/>
      <c r="AW22" s="82"/>
      <c r="AX22" s="82"/>
      <c r="AY22" s="66"/>
      <c r="AZ22" s="66"/>
      <c r="BA22" s="66"/>
      <c r="BC22" s="26">
        <f>IFERROR(INDEX(AU22:AX22,MATCH('Project Info'!$D$13,AU$4:AX$4,0)),AU22)</f>
        <v>0</v>
      </c>
      <c r="BD22" s="207">
        <f>IFERROR(INDEX(AY22:BA22,MATCH('Project Info'!$D$14,AY$4:BA$4,0)),AY22)</f>
        <v>0</v>
      </c>
      <c r="BF22" s="82"/>
      <c r="BG22" s="82"/>
      <c r="BH22" s="82"/>
      <c r="BI22" s="82"/>
      <c r="BJ22" s="66"/>
      <c r="BK22" s="66"/>
      <c r="BL22" s="66"/>
      <c r="BN22" s="26">
        <f>IFERROR(INDEX(BF22:BI22,MATCH('Project Info'!$D$13,BF$4:BI$4,0)),BF22)</f>
        <v>0</v>
      </c>
      <c r="BO22" s="207">
        <f>IFERROR(INDEX(BJ22:BL22,MATCH('Project Info'!$D$14,BJ$4:BL$4,0)),BJ22)</f>
        <v>0</v>
      </c>
    </row>
    <row r="23" spans="3:67">
      <c r="C23" s="82">
        <v>0.44</v>
      </c>
      <c r="D23" s="82">
        <v>0.4</v>
      </c>
      <c r="E23" s="66"/>
      <c r="F23" s="66"/>
      <c r="G23" s="66">
        <v>17</v>
      </c>
      <c r="H23" s="66">
        <v>19</v>
      </c>
      <c r="I23" s="66"/>
      <c r="K23" s="26">
        <f>IFERROR(INDEX(C23:F23,MATCH('Project Info'!$D$13,C$4:F$4,0)),C23)</f>
        <v>0.44</v>
      </c>
      <c r="L23" s="207">
        <f>IFERROR(INDEX(G23:I23,MATCH('Project Info'!$D$14,G$4:I$4,0)),G23)</f>
        <v>17</v>
      </c>
      <c r="N23" s="82">
        <v>0.46</v>
      </c>
      <c r="O23" s="82">
        <v>0.44</v>
      </c>
      <c r="P23" s="82">
        <v>0.43</v>
      </c>
      <c r="Q23" s="82"/>
      <c r="R23" s="66">
        <v>17</v>
      </c>
      <c r="S23" s="66">
        <v>19</v>
      </c>
      <c r="T23" s="66">
        <v>16</v>
      </c>
      <c r="U23" s="117"/>
      <c r="V23" s="26">
        <f>IFERROR(INDEX(N23:Q23,MATCH('Project Info'!$D$13,N$4:Q$4,0)),N23)</f>
        <v>0.46</v>
      </c>
      <c r="W23" s="207">
        <f>IFERROR(INDEX(R23:T23,MATCH('Project Info'!$D$14,R$4:T$4,0)),R23)</f>
        <v>16</v>
      </c>
      <c r="X23" s="117"/>
      <c r="Y23" s="82"/>
      <c r="Z23" s="82"/>
      <c r="AA23" s="82"/>
      <c r="AB23" s="82"/>
      <c r="AC23" s="66"/>
      <c r="AD23" s="66"/>
      <c r="AE23" s="66"/>
      <c r="AF23" s="117"/>
      <c r="AG23" s="26">
        <f>IFERROR(INDEX(Y23:AB23,MATCH('Project Info'!$D$13,Y$4:AB$4,0)),Y23)</f>
        <v>0</v>
      </c>
      <c r="AH23" s="207">
        <f>IFERROR(INDEX(AC23:AE23,MATCH('Project Info'!$D$14,AC$4:AE$4,0)),AC23)</f>
        <v>0</v>
      </c>
      <c r="AJ23" s="82"/>
      <c r="AK23" s="82"/>
      <c r="AL23" s="82"/>
      <c r="AM23" s="82"/>
      <c r="AN23" s="66"/>
      <c r="AO23" s="66"/>
      <c r="AP23" s="66"/>
      <c r="AQ23" s="117"/>
      <c r="AR23" s="26">
        <f>IFERROR(INDEX(AJ23:AM23,MATCH('Project Info'!$D$13,AJ$4:AM$4,0)),AJ23)</f>
        <v>0</v>
      </c>
      <c r="AS23" s="207">
        <f>IFERROR(INDEX(AN23:AP23,MATCH('Project Info'!$D$14,AN$4:AP$4,0)),AN23)</f>
        <v>0</v>
      </c>
      <c r="AT23" s="117"/>
      <c r="AU23" s="82"/>
      <c r="AV23" s="82"/>
      <c r="AW23" s="82"/>
      <c r="AX23" s="82"/>
      <c r="AY23" s="66"/>
      <c r="AZ23" s="66"/>
      <c r="BA23" s="66"/>
      <c r="BC23" s="26">
        <f>IFERROR(INDEX(AU23:AX23,MATCH('Project Info'!$D$13,AU$4:AX$4,0)),AU23)</f>
        <v>0</v>
      </c>
      <c r="BD23" s="207">
        <f>IFERROR(INDEX(AY23:BA23,MATCH('Project Info'!$D$14,AY$4:BA$4,0)),AY23)</f>
        <v>0</v>
      </c>
      <c r="BF23" s="82"/>
      <c r="BG23" s="82"/>
      <c r="BH23" s="82"/>
      <c r="BI23" s="82"/>
      <c r="BJ23" s="66"/>
      <c r="BK23" s="66"/>
      <c r="BL23" s="66"/>
      <c r="BN23" s="26">
        <f>IFERROR(INDEX(BF23:BI23,MATCH('Project Info'!$D$13,BF$4:BI$4,0)),BF23)</f>
        <v>0</v>
      </c>
      <c r="BO23" s="207">
        <f>IFERROR(INDEX(BJ23:BL23,MATCH('Project Info'!$D$14,BJ$4:BL$4,0)),BJ23)</f>
        <v>0</v>
      </c>
    </row>
    <row r="24" spans="3:67">
      <c r="C24" s="82">
        <v>0.46</v>
      </c>
      <c r="D24" s="82">
        <v>0.42</v>
      </c>
      <c r="E24" s="66"/>
      <c r="F24" s="66"/>
      <c r="G24" s="66">
        <v>18</v>
      </c>
      <c r="H24" s="66">
        <v>20</v>
      </c>
      <c r="I24" s="66"/>
      <c r="K24" s="26">
        <f>IFERROR(INDEX(C24:F24,MATCH('Project Info'!$D$13,C$4:F$4,0)),C24)</f>
        <v>0.46</v>
      </c>
      <c r="L24" s="207">
        <f>IFERROR(INDEX(G24:I24,MATCH('Project Info'!$D$14,G$4:I$4,0)),G24)</f>
        <v>18</v>
      </c>
      <c r="N24" s="82">
        <v>0.5</v>
      </c>
      <c r="O24" s="82">
        <v>0.48</v>
      </c>
      <c r="P24" s="82">
        <v>0.47</v>
      </c>
      <c r="Q24" s="82"/>
      <c r="R24" s="66">
        <v>18</v>
      </c>
      <c r="S24" s="66">
        <v>20</v>
      </c>
      <c r="T24" s="66">
        <v>16</v>
      </c>
      <c r="U24" s="117"/>
      <c r="V24" s="26">
        <f>IFERROR(INDEX(N24:Q24,MATCH('Project Info'!$D$13,N$4:Q$4,0)),N24)</f>
        <v>0.5</v>
      </c>
      <c r="W24" s="207">
        <f>IFERROR(INDEX(R24:T24,MATCH('Project Info'!$D$14,R$4:T$4,0)),R24)</f>
        <v>16</v>
      </c>
      <c r="X24" s="117"/>
      <c r="Y24" s="82"/>
      <c r="Z24" s="82"/>
      <c r="AA24" s="82"/>
      <c r="AB24" s="82"/>
      <c r="AC24" s="66"/>
      <c r="AD24" s="66"/>
      <c r="AE24" s="66"/>
      <c r="AF24" s="117"/>
      <c r="AG24" s="26">
        <f>IFERROR(INDEX(Y24:AB24,MATCH('Project Info'!$D$13,Y$4:AB$4,0)),Y24)</f>
        <v>0</v>
      </c>
      <c r="AH24" s="207">
        <f>IFERROR(INDEX(AC24:AE24,MATCH('Project Info'!$D$14,AC$4:AE$4,0)),AC24)</f>
        <v>0</v>
      </c>
      <c r="AJ24" s="82"/>
      <c r="AK24" s="82"/>
      <c r="AL24" s="82"/>
      <c r="AM24" s="82"/>
      <c r="AN24" s="66"/>
      <c r="AO24" s="66"/>
      <c r="AP24" s="66"/>
      <c r="AQ24" s="117"/>
      <c r="AR24" s="26">
        <f>IFERROR(INDEX(AJ24:AM24,MATCH('Project Info'!$D$13,AJ$4:AM$4,0)),AJ24)</f>
        <v>0</v>
      </c>
      <c r="AS24" s="207">
        <f>IFERROR(INDEX(AN24:AP24,MATCH('Project Info'!$D$14,AN$4:AP$4,0)),AN24)</f>
        <v>0</v>
      </c>
      <c r="AT24" s="117"/>
      <c r="AU24" s="82"/>
      <c r="AV24" s="82"/>
      <c r="AW24" s="82"/>
      <c r="AX24" s="82"/>
      <c r="AY24" s="66"/>
      <c r="AZ24" s="66"/>
      <c r="BA24" s="66"/>
      <c r="BC24" s="26">
        <f>IFERROR(INDEX(AU24:AX24,MATCH('Project Info'!$D$13,AU$4:AX$4,0)),AU24)</f>
        <v>0</v>
      </c>
      <c r="BD24" s="207">
        <f>IFERROR(INDEX(AY24:BA24,MATCH('Project Info'!$D$14,AY$4:BA$4,0)),AY24)</f>
        <v>0</v>
      </c>
      <c r="BF24" s="82"/>
      <c r="BG24" s="82"/>
      <c r="BH24" s="82"/>
      <c r="BI24" s="82"/>
      <c r="BJ24" s="66"/>
      <c r="BK24" s="66"/>
      <c r="BL24" s="66"/>
      <c r="BN24" s="26">
        <f>IFERROR(INDEX(BF24:BI24,MATCH('Project Info'!$D$13,BF$4:BI$4,0)),BF24)</f>
        <v>0</v>
      </c>
      <c r="BO24" s="207">
        <f>IFERROR(INDEX(BJ24:BL24,MATCH('Project Info'!$D$14,BJ$4:BL$4,0)),BJ24)</f>
        <v>0</v>
      </c>
    </row>
    <row r="25" spans="3:67" ht="15.75" customHeight="1">
      <c r="C25" s="82">
        <v>0.48</v>
      </c>
      <c r="D25" s="82">
        <v>0.44</v>
      </c>
      <c r="E25" s="66"/>
      <c r="F25" s="66"/>
      <c r="G25" s="66">
        <v>19</v>
      </c>
      <c r="H25" s="66">
        <v>21</v>
      </c>
      <c r="I25" s="66"/>
      <c r="K25" s="26">
        <f>IFERROR(INDEX(C25:F25,MATCH('Project Info'!$D$13,C$4:F$4,0)),C25)</f>
        <v>0.48</v>
      </c>
      <c r="L25" s="207">
        <f>IFERROR(INDEX(G25:I25,MATCH('Project Info'!$D$14,G$4:I$4,0)),G25)</f>
        <v>19</v>
      </c>
      <c r="N25" s="82"/>
      <c r="O25" s="82"/>
      <c r="P25" s="82"/>
      <c r="Q25" s="82"/>
      <c r="R25" s="66"/>
      <c r="S25" s="66"/>
      <c r="T25" s="66"/>
      <c r="U25" s="117"/>
      <c r="V25" s="26">
        <f>IFERROR(INDEX(N25:Q25,MATCH('Project Info'!$D$13,N$4:Q$4,0)),N25)</f>
        <v>0</v>
      </c>
      <c r="W25" s="207">
        <f>IFERROR(INDEX(R25:T25,MATCH('Project Info'!$D$14,R$4:T$4,0)),R25)</f>
        <v>0</v>
      </c>
      <c r="X25" s="117"/>
      <c r="Y25" s="82"/>
      <c r="Z25" s="82"/>
      <c r="AA25" s="82"/>
      <c r="AB25" s="82"/>
      <c r="AC25" s="66"/>
      <c r="AD25" s="66"/>
      <c r="AE25" s="66"/>
      <c r="AF25" s="117"/>
      <c r="AG25" s="26">
        <f>IFERROR(INDEX(Y25:AB25,MATCH('Project Info'!$D$13,Y$4:AB$4,0)),Y25)</f>
        <v>0</v>
      </c>
      <c r="AH25" s="207">
        <f>IFERROR(INDEX(AC25:AE25,MATCH('Project Info'!$D$14,AC$4:AE$4,0)),AC25)</f>
        <v>0</v>
      </c>
      <c r="AJ25" s="66"/>
      <c r="AK25" s="66"/>
      <c r="AL25" s="66"/>
      <c r="AM25" s="66"/>
      <c r="AN25" s="66"/>
      <c r="AO25" s="66"/>
      <c r="AP25" s="66"/>
      <c r="AQ25" s="117"/>
      <c r="AR25" s="26">
        <f>IFERROR(INDEX(AJ25:AM25,MATCH('Project Info'!$D$13,AJ$4:AM$4,0)),AJ25)</f>
        <v>0</v>
      </c>
      <c r="AS25" s="207">
        <f>IFERROR(INDEX(AN25:AP25,MATCH('Project Info'!$D$14,AN$4:AP$4,0)),AN25)</f>
        <v>0</v>
      </c>
      <c r="AT25" s="117"/>
      <c r="AU25" s="66"/>
      <c r="AV25" s="66"/>
      <c r="AW25" s="66"/>
      <c r="AX25" s="66"/>
      <c r="AY25" s="66"/>
      <c r="AZ25" s="66"/>
      <c r="BA25" s="66"/>
      <c r="BC25" s="26">
        <f>IFERROR(INDEX(AU25:AX25,MATCH('Project Info'!$D$13,AU$4:AX$4,0)),AU25)</f>
        <v>0</v>
      </c>
      <c r="BD25" s="207">
        <f>IFERROR(INDEX(AY25:BA25,MATCH('Project Info'!$D$14,AY$4:BA$4,0)),AY25)</f>
        <v>0</v>
      </c>
      <c r="BF25" s="82"/>
      <c r="BG25" s="82"/>
      <c r="BH25" s="66"/>
      <c r="BI25" s="66"/>
      <c r="BJ25" s="66"/>
      <c r="BK25" s="66"/>
      <c r="BL25" s="66"/>
      <c r="BN25" s="26">
        <f>IFERROR(INDEX(BF25:BI25,MATCH('Project Info'!$D$13,BF$4:BI$4,0)),BF25)</f>
        <v>0</v>
      </c>
      <c r="BO25" s="207">
        <f>IFERROR(INDEX(BJ25:BL25,MATCH('Project Info'!$D$14,BJ$4:BL$4,0)),BJ25)</f>
        <v>0</v>
      </c>
    </row>
    <row r="26" spans="3:67">
      <c r="C26" s="118"/>
      <c r="D26" s="118"/>
      <c r="E26" s="117"/>
      <c r="F26" s="117"/>
      <c r="G26" s="117"/>
      <c r="H26" s="117"/>
      <c r="I26" s="117"/>
      <c r="N26" s="118"/>
      <c r="O26" s="118"/>
      <c r="P26" s="118"/>
      <c r="Q26" s="118"/>
      <c r="R26" s="117"/>
      <c r="S26" s="117"/>
      <c r="T26" s="117"/>
      <c r="U26" s="117"/>
      <c r="V26" s="117"/>
      <c r="W26" s="117"/>
      <c r="X26" s="117"/>
      <c r="Y26" s="118"/>
      <c r="Z26" s="118"/>
      <c r="AA26" s="118"/>
      <c r="AB26" s="118"/>
      <c r="AC26" s="117"/>
      <c r="AD26" s="117"/>
      <c r="AE26" s="117"/>
      <c r="AF26" s="117"/>
      <c r="AG26" s="117"/>
      <c r="AH26" s="117"/>
      <c r="AJ26" s="117"/>
      <c r="AK26" s="117"/>
      <c r="AL26" s="117"/>
      <c r="AM26" s="117"/>
      <c r="AN26" s="117"/>
      <c r="AO26" s="117"/>
      <c r="AP26" s="117"/>
      <c r="AQ26" s="117"/>
      <c r="AR26" s="117"/>
      <c r="AS26" s="117"/>
      <c r="AT26" s="117"/>
      <c r="AU26" s="117"/>
      <c r="AV26" s="117"/>
      <c r="AW26" s="117"/>
      <c r="AX26" s="117"/>
      <c r="AY26" s="117"/>
      <c r="AZ26" s="117"/>
      <c r="BA26" s="117"/>
    </row>
    <row r="27" spans="3:67" ht="15" customHeight="1">
      <c r="N27" s="85" t="str">
        <f>'LEED Calc'!E11</f>
        <v xml:space="preserve">  EApc95 Alternative Metric</v>
      </c>
      <c r="Y27" s="85" t="str">
        <f>'LEED Calc'!F11</f>
        <v>Optimize Energy Performance (Carbon)</v>
      </c>
      <c r="AJ27" s="85" t="str">
        <f>'LEED Calc'!G11</f>
        <v>Optimize Energy Performance (Carbon)</v>
      </c>
      <c r="AU27" s="85" t="str">
        <f>'LEED Calc'!H11</f>
        <v xml:space="preserve">   (with Renewables)</v>
      </c>
      <c r="BC27" s="4"/>
      <c r="BD27" s="4"/>
    </row>
    <row r="28" spans="3:67">
      <c r="N28" s="82">
        <f>N6</f>
        <v>0</v>
      </c>
      <c r="O28" s="82">
        <f t="shared" ref="O28:R28" si="3">O6</f>
        <v>0</v>
      </c>
      <c r="P28" s="82">
        <f t="shared" si="3"/>
        <v>0</v>
      </c>
      <c r="Q28" s="82"/>
      <c r="R28" s="66">
        <f t="shared" si="3"/>
        <v>0</v>
      </c>
      <c r="S28" s="66">
        <f t="shared" ref="S28:T28" si="4">S6</f>
        <v>0</v>
      </c>
      <c r="T28" s="66">
        <f t="shared" si="4"/>
        <v>0</v>
      </c>
      <c r="U28" s="117"/>
      <c r="V28" s="26">
        <f>IFERROR(INDEX(N28:Q28,MATCH('Project Info'!$D$13,N$4:Q$4,0)),N28)</f>
        <v>0</v>
      </c>
      <c r="W28" s="207">
        <f>IFERROR(INDEX(R28:T28,MATCH('Project Info'!$D$14,R$4:T$4,0)),R28)</f>
        <v>0</v>
      </c>
      <c r="X28" s="117"/>
      <c r="Y28" s="82">
        <v>0</v>
      </c>
      <c r="Z28" s="82">
        <v>0</v>
      </c>
      <c r="AA28" s="82">
        <v>0</v>
      </c>
      <c r="AB28" s="82">
        <v>0</v>
      </c>
      <c r="AC28" s="66">
        <v>0</v>
      </c>
      <c r="AD28" s="66">
        <v>0</v>
      </c>
      <c r="AE28" s="66">
        <v>0</v>
      </c>
      <c r="AF28" s="117"/>
      <c r="AG28" s="26">
        <f>IFERROR(INDEX(Y28:AB28,MATCH('Project Info'!$D$13,Y$4:AB$4,0)),Y28)</f>
        <v>0</v>
      </c>
      <c r="AH28" s="207">
        <f>IFERROR(INDEX(AC28:AE28,MATCH('Project Info'!$D$14,AC$4:AE$4,0)),AC28)</f>
        <v>0</v>
      </c>
      <c r="AJ28" s="82">
        <v>0</v>
      </c>
      <c r="AK28" s="82">
        <v>0</v>
      </c>
      <c r="AL28" s="82"/>
      <c r="AM28" s="82"/>
      <c r="AN28" s="66">
        <v>0</v>
      </c>
      <c r="AO28" s="66">
        <v>0</v>
      </c>
      <c r="AP28" s="66">
        <v>0</v>
      </c>
      <c r="AQ28" s="117"/>
      <c r="AR28" s="26">
        <f>IFERROR(INDEX(AJ28:AM28,MATCH('Project Info'!$D$13,AJ$4:AM$4,0)),AJ28)</f>
        <v>0</v>
      </c>
      <c r="AS28" s="207">
        <f>IFERROR(INDEX(AN28:AP28,MATCH('Project Info'!$D$14,AN$4:AP$4,0)),AN28)</f>
        <v>0</v>
      </c>
      <c r="AT28" s="117"/>
      <c r="AU28" s="82">
        <v>0</v>
      </c>
      <c r="AV28" s="82">
        <v>0</v>
      </c>
      <c r="AW28" s="82"/>
      <c r="AX28" s="82"/>
      <c r="AY28" s="66">
        <f>AY6</f>
        <v>0</v>
      </c>
      <c r="AZ28" s="66"/>
      <c r="BA28" s="66"/>
      <c r="BC28" s="26">
        <f>IFERROR(INDEX(AU28:AX28,MATCH('Project Info'!$D$13,AU$4:AX$4,0)),AU28)</f>
        <v>0</v>
      </c>
      <c r="BD28" s="207">
        <f>IFERROR(INDEX(AY28:BA28,MATCH('Project Info'!$D$14,AY$4:BA$4,0)),AY28)</f>
        <v>0</v>
      </c>
      <c r="BF28" s="82">
        <v>0</v>
      </c>
      <c r="BG28" s="82"/>
      <c r="BH28" s="82"/>
      <c r="BI28" s="82"/>
      <c r="BJ28" s="66">
        <f>BJ6</f>
        <v>0</v>
      </c>
      <c r="BK28" s="66"/>
      <c r="BL28" s="66"/>
      <c r="BN28" s="26">
        <f>IFERROR(INDEX(BF28:BI28,MATCH('Project Info'!$D$13,BF$4:BI$4,0)),BF28)</f>
        <v>0</v>
      </c>
      <c r="BO28" s="207">
        <f>IFERROR(INDEX(BJ28:BL28,MATCH('Project Info'!$D$14,BJ$4:BL$4,0)),BJ28)</f>
        <v>0</v>
      </c>
    </row>
    <row r="29" spans="3:67">
      <c r="N29" s="82">
        <f t="shared" ref="N29:P46" si="5">N7</f>
        <v>0.06</v>
      </c>
      <c r="O29" s="82">
        <f t="shared" si="5"/>
        <v>0.04</v>
      </c>
      <c r="P29" s="82">
        <f t="shared" si="5"/>
        <v>0.03</v>
      </c>
      <c r="Q29" s="82"/>
      <c r="R29" s="66">
        <f t="shared" ref="R29:T29" si="6">R7</f>
        <v>1</v>
      </c>
      <c r="S29" s="66">
        <f t="shared" si="6"/>
        <v>3</v>
      </c>
      <c r="T29" s="66">
        <f t="shared" si="6"/>
        <v>1</v>
      </c>
      <c r="U29" s="117"/>
      <c r="V29" s="26">
        <f>IFERROR(INDEX(N29:Q29,MATCH('Project Info'!$D$13,N$4:Q$4,0)),N29)</f>
        <v>0.06</v>
      </c>
      <c r="W29" s="207">
        <f>IFERROR(INDEX(R29:T29,MATCH('Project Info'!$D$14,R$4:T$4,0)),R29)</f>
        <v>1</v>
      </c>
      <c r="X29" s="117"/>
      <c r="Y29" s="82">
        <v>0.2</v>
      </c>
      <c r="Z29" s="82">
        <v>0.2</v>
      </c>
      <c r="AA29" s="82">
        <v>0.1</v>
      </c>
      <c r="AB29" s="82">
        <v>7.0000000000000007E-2</v>
      </c>
      <c r="AC29" s="66">
        <v>1</v>
      </c>
      <c r="AD29" s="66">
        <v>1</v>
      </c>
      <c r="AE29" s="66">
        <v>1</v>
      </c>
      <c r="AF29" s="117"/>
      <c r="AG29" s="26">
        <f>IFERROR(INDEX(Y29:AB29,MATCH('Project Info'!$D$13,Y$4:AB$4,0)),Y29)</f>
        <v>0.2</v>
      </c>
      <c r="AH29" s="207">
        <f>IFERROR(INDEX(AC29:AE29,MATCH('Project Info'!$D$14,AC$4:AE$4,0)),AC29)</f>
        <v>1</v>
      </c>
      <c r="AJ29" s="82">
        <v>0.05</v>
      </c>
      <c r="AK29" s="82">
        <v>0.02</v>
      </c>
      <c r="AL29" s="82"/>
      <c r="AM29" s="82"/>
      <c r="AN29" s="66">
        <v>1</v>
      </c>
      <c r="AO29" s="66">
        <v>1</v>
      </c>
      <c r="AP29" s="66">
        <v>1</v>
      </c>
      <c r="AQ29" s="117"/>
      <c r="AR29" s="26">
        <f>IFERROR(INDEX(AJ29:AM29,MATCH('Project Info'!$D$13,AJ$4:AM$4,0)),AJ29)</f>
        <v>0.05</v>
      </c>
      <c r="AS29" s="207">
        <f>IFERROR(INDEX(AN29:AP29,MATCH('Project Info'!$D$14,AN$4:AP$4,0)),AN29)</f>
        <v>1</v>
      </c>
      <c r="AT29" s="117"/>
      <c r="AU29" s="82">
        <v>0.1</v>
      </c>
      <c r="AV29" s="82">
        <v>0.1</v>
      </c>
      <c r="AW29" s="82"/>
      <c r="AX29" s="82"/>
      <c r="AY29" s="66">
        <f t="shared" ref="AY29:AY47" si="7">AY7</f>
        <v>1</v>
      </c>
      <c r="AZ29" s="66"/>
      <c r="BA29" s="66"/>
      <c r="BC29" s="26">
        <f>IFERROR(INDEX(AU29:AX29,MATCH('Project Info'!$D$13,AU$4:AX$4,0)),AU29)</f>
        <v>0.1</v>
      </c>
      <c r="BD29" s="207">
        <f>IFERROR(INDEX(AY29:BA29,MATCH('Project Info'!$D$14,AY$4:BA$4,0)),AY29)</f>
        <v>1</v>
      </c>
      <c r="BF29" s="82">
        <v>0.1</v>
      </c>
      <c r="BG29" s="82"/>
      <c r="BH29" s="82"/>
      <c r="BI29" s="82"/>
      <c r="BJ29" s="66">
        <f t="shared" ref="BJ29" si="8">BJ7</f>
        <v>1</v>
      </c>
      <c r="BK29" s="66"/>
      <c r="BL29" s="66"/>
      <c r="BN29" s="26">
        <f>IFERROR(INDEX(BF29:BI29,MATCH('Project Info'!$D$13,BF$4:BI$4,0)),BF29)</f>
        <v>0.1</v>
      </c>
      <c r="BO29" s="207">
        <f>IFERROR(INDEX(BJ29:BL29,MATCH('Project Info'!$D$14,BJ$4:BL$4,0)),BJ29)</f>
        <v>1</v>
      </c>
    </row>
    <row r="30" spans="3:67">
      <c r="N30" s="82">
        <f t="shared" si="5"/>
        <v>0.08</v>
      </c>
      <c r="O30" s="82">
        <f t="shared" si="5"/>
        <v>0.06</v>
      </c>
      <c r="P30" s="82">
        <f t="shared" si="5"/>
        <v>0.05</v>
      </c>
      <c r="Q30" s="82"/>
      <c r="R30" s="66">
        <f t="shared" ref="R30:T30" si="9">R8</f>
        <v>2</v>
      </c>
      <c r="S30" s="66">
        <f t="shared" si="9"/>
        <v>4</v>
      </c>
      <c r="T30" s="66">
        <f t="shared" si="9"/>
        <v>2</v>
      </c>
      <c r="U30" s="117"/>
      <c r="V30" s="26">
        <f>IFERROR(INDEX(N30:Q30,MATCH('Project Info'!$D$13,N$4:Q$4,0)),N30)</f>
        <v>0.08</v>
      </c>
      <c r="W30" s="207">
        <f>IFERROR(INDEX(R30:T30,MATCH('Project Info'!$D$14,R$4:T$4,0)),R30)</f>
        <v>2</v>
      </c>
      <c r="X30" s="117"/>
      <c r="Y30" s="82">
        <v>0.25</v>
      </c>
      <c r="Z30" s="82">
        <v>0.25</v>
      </c>
      <c r="AA30" s="82">
        <v>0.15</v>
      </c>
      <c r="AB30" s="82">
        <v>0.1</v>
      </c>
      <c r="AC30" s="66">
        <v>2</v>
      </c>
      <c r="AD30" s="66">
        <v>2</v>
      </c>
      <c r="AE30" s="66">
        <v>2</v>
      </c>
      <c r="AF30" s="117"/>
      <c r="AG30" s="26">
        <f>IFERROR(INDEX(Y30:AB30,MATCH('Project Info'!$D$13,Y$4:AB$4,0)),Y30)</f>
        <v>0.25</v>
      </c>
      <c r="AH30" s="207">
        <f>IFERROR(INDEX(AC30:AE30,MATCH('Project Info'!$D$14,AC$4:AE$4,0)),AC30)</f>
        <v>2</v>
      </c>
      <c r="AJ30" s="82">
        <v>0.1</v>
      </c>
      <c r="AK30" s="82">
        <v>0.05</v>
      </c>
      <c r="AL30" s="82"/>
      <c r="AM30" s="82"/>
      <c r="AN30" s="66">
        <v>2</v>
      </c>
      <c r="AO30" s="66">
        <v>2</v>
      </c>
      <c r="AP30" s="66">
        <v>2</v>
      </c>
      <c r="AQ30" s="117"/>
      <c r="AR30" s="26">
        <f>IFERROR(INDEX(AJ30:AM30,MATCH('Project Info'!$D$13,AJ$4:AM$4,0)),AJ30)</f>
        <v>0.1</v>
      </c>
      <c r="AS30" s="207">
        <f>IFERROR(INDEX(AN30:AP30,MATCH('Project Info'!$D$14,AN$4:AP$4,0)),AN30)</f>
        <v>2</v>
      </c>
      <c r="AT30" s="117"/>
      <c r="AU30" s="82">
        <v>0.2</v>
      </c>
      <c r="AV30" s="82">
        <v>0.2</v>
      </c>
      <c r="AW30" s="82"/>
      <c r="AX30" s="82"/>
      <c r="AY30" s="66">
        <f t="shared" si="7"/>
        <v>2</v>
      </c>
      <c r="AZ30" s="66"/>
      <c r="BA30" s="66"/>
      <c r="BC30" s="26">
        <f>IFERROR(INDEX(AU30:AX30,MATCH('Project Info'!$D$13,AU$4:AX$4,0)),AU30)</f>
        <v>0.2</v>
      </c>
      <c r="BD30" s="207">
        <f>IFERROR(INDEX(AY30:BA30,MATCH('Project Info'!$D$14,AY$4:BA$4,0)),AY30)</f>
        <v>2</v>
      </c>
      <c r="BF30" s="82">
        <v>0.2</v>
      </c>
      <c r="BG30" s="82">
        <v>0</v>
      </c>
      <c r="BH30" s="82"/>
      <c r="BI30" s="82"/>
      <c r="BJ30" s="66">
        <f t="shared" ref="BJ30" si="10">BJ8</f>
        <v>2</v>
      </c>
      <c r="BK30" s="66"/>
      <c r="BL30" s="66"/>
      <c r="BN30" s="26">
        <f>IFERROR(INDEX(BF30:BI30,MATCH('Project Info'!$D$13,BF$4:BI$4,0)),BF30)</f>
        <v>0.2</v>
      </c>
      <c r="BO30" s="207">
        <f>IFERROR(INDEX(BJ30:BL30,MATCH('Project Info'!$D$14,BJ$4:BL$4,0)),BJ30)</f>
        <v>2</v>
      </c>
    </row>
    <row r="31" spans="3:67">
      <c r="N31" s="82">
        <f t="shared" si="5"/>
        <v>0.1</v>
      </c>
      <c r="O31" s="82">
        <f t="shared" si="5"/>
        <v>0.08</v>
      </c>
      <c r="P31" s="82">
        <f t="shared" si="5"/>
        <v>7.0000000000000007E-2</v>
      </c>
      <c r="Q31" s="82"/>
      <c r="R31" s="66">
        <f t="shared" ref="R31:T31" si="11">R9</f>
        <v>3</v>
      </c>
      <c r="S31" s="66">
        <f t="shared" si="11"/>
        <v>5</v>
      </c>
      <c r="T31" s="66">
        <f t="shared" si="11"/>
        <v>3</v>
      </c>
      <c r="U31" s="117"/>
      <c r="V31" s="26">
        <f>IFERROR(INDEX(N31:Q31,MATCH('Project Info'!$D$13,N$4:Q$4,0)),N31)</f>
        <v>0.1</v>
      </c>
      <c r="W31" s="207">
        <f>IFERROR(INDEX(R31:T31,MATCH('Project Info'!$D$14,R$4:T$4,0)),R31)</f>
        <v>3</v>
      </c>
      <c r="X31" s="117"/>
      <c r="Y31" s="82">
        <v>0.3</v>
      </c>
      <c r="Z31" s="82">
        <v>0.3</v>
      </c>
      <c r="AA31" s="82">
        <v>0.2</v>
      </c>
      <c r="AB31" s="82">
        <v>0.15</v>
      </c>
      <c r="AC31" s="66">
        <v>3</v>
      </c>
      <c r="AD31" s="66">
        <v>3</v>
      </c>
      <c r="AE31" s="66">
        <v>3</v>
      </c>
      <c r="AF31" s="117"/>
      <c r="AG31" s="26">
        <f>IFERROR(INDEX(Y31:AB31,MATCH('Project Info'!$D$13,Y$4:AB$4,0)),Y31)</f>
        <v>0.3</v>
      </c>
      <c r="AH31" s="207">
        <f>IFERROR(INDEX(AC31:AE31,MATCH('Project Info'!$D$14,AC$4:AE$4,0)),AC31)</f>
        <v>3</v>
      </c>
      <c r="AJ31" s="82">
        <v>0.16</v>
      </c>
      <c r="AK31" s="82">
        <v>0.1</v>
      </c>
      <c r="AL31" s="82"/>
      <c r="AM31" s="82"/>
      <c r="AN31" s="66">
        <v>3</v>
      </c>
      <c r="AO31" s="66">
        <v>3</v>
      </c>
      <c r="AP31" s="66">
        <v>3</v>
      </c>
      <c r="AQ31" s="117"/>
      <c r="AR31" s="26">
        <f>IFERROR(INDEX(AJ31:AM31,MATCH('Project Info'!$D$13,AJ$4:AM$4,0)),AJ31)</f>
        <v>0.16</v>
      </c>
      <c r="AS31" s="207">
        <f>IFERROR(INDEX(AN31:AP31,MATCH('Project Info'!$D$14,AN$4:AP$4,0)),AN31)</f>
        <v>3</v>
      </c>
      <c r="AT31" s="117"/>
      <c r="AU31" s="82">
        <v>0.3</v>
      </c>
      <c r="AV31" s="82">
        <v>0.3</v>
      </c>
      <c r="AW31" s="82"/>
      <c r="AX31" s="82"/>
      <c r="AY31" s="66">
        <f t="shared" si="7"/>
        <v>3</v>
      </c>
      <c r="AZ31" s="66"/>
      <c r="BA31" s="66"/>
      <c r="BC31" s="26">
        <f>IFERROR(INDEX(AU31:AX31,MATCH('Project Info'!$D$13,AU$4:AX$4,0)),AU31)</f>
        <v>0.3</v>
      </c>
      <c r="BD31" s="207">
        <f>IFERROR(INDEX(AY31:BA31,MATCH('Project Info'!$D$14,AY$4:BA$4,0)),AY31)</f>
        <v>3</v>
      </c>
      <c r="BF31" s="82">
        <v>0.3</v>
      </c>
      <c r="BG31" s="82">
        <v>0.13</v>
      </c>
      <c r="BH31" s="82"/>
      <c r="BI31" s="82"/>
      <c r="BJ31" s="66">
        <f t="shared" ref="BJ31" si="12">BJ9</f>
        <v>3</v>
      </c>
      <c r="BK31" s="66"/>
      <c r="BL31" s="66"/>
      <c r="BN31" s="26">
        <f>IFERROR(INDEX(BF31:BI31,MATCH('Project Info'!$D$13,BF$4:BI$4,0)),BF31)</f>
        <v>0.3</v>
      </c>
      <c r="BO31" s="207">
        <f>IFERROR(INDEX(BJ31:BL31,MATCH('Project Info'!$D$14,BJ$4:BL$4,0)),BJ31)</f>
        <v>3</v>
      </c>
    </row>
    <row r="32" spans="3:67">
      <c r="N32" s="82">
        <f t="shared" si="5"/>
        <v>0.12</v>
      </c>
      <c r="O32" s="82">
        <f t="shared" si="5"/>
        <v>0.1</v>
      </c>
      <c r="P32" s="82">
        <f t="shared" si="5"/>
        <v>0.09</v>
      </c>
      <c r="Q32" s="82"/>
      <c r="R32" s="66">
        <f t="shared" ref="R32:T32" si="13">R10</f>
        <v>4</v>
      </c>
      <c r="S32" s="66">
        <f t="shared" si="13"/>
        <v>6</v>
      </c>
      <c r="T32" s="66">
        <f t="shared" si="13"/>
        <v>4</v>
      </c>
      <c r="U32" s="117"/>
      <c r="V32" s="26">
        <f>IFERROR(INDEX(N32:Q32,MATCH('Project Info'!$D$13,N$4:Q$4,0)),N32)</f>
        <v>0.12</v>
      </c>
      <c r="W32" s="207">
        <f>IFERROR(INDEX(R32:T32,MATCH('Project Info'!$D$14,R$4:T$4,0)),R32)</f>
        <v>4</v>
      </c>
      <c r="X32" s="117"/>
      <c r="Y32" s="82">
        <v>0.35</v>
      </c>
      <c r="Z32" s="82">
        <v>0.35</v>
      </c>
      <c r="AA32" s="82">
        <v>0.25</v>
      </c>
      <c r="AB32" s="82">
        <v>0.21</v>
      </c>
      <c r="AC32" s="66">
        <v>4</v>
      </c>
      <c r="AD32" s="66">
        <v>4</v>
      </c>
      <c r="AE32" s="66">
        <v>4</v>
      </c>
      <c r="AF32" s="117"/>
      <c r="AG32" s="26">
        <f>IFERROR(INDEX(Y32:AB32,MATCH('Project Info'!$D$13,Y$4:AB$4,0)),Y32)</f>
        <v>0.35</v>
      </c>
      <c r="AH32" s="207">
        <f>IFERROR(INDEX(AC32:AE32,MATCH('Project Info'!$D$14,AC$4:AE$4,0)),AC32)</f>
        <v>4</v>
      </c>
      <c r="AJ32" s="82">
        <v>0.24</v>
      </c>
      <c r="AK32" s="82">
        <v>0.16</v>
      </c>
      <c r="AL32" s="82"/>
      <c r="AM32" s="82"/>
      <c r="AN32" s="66">
        <v>4</v>
      </c>
      <c r="AO32" s="66">
        <v>4</v>
      </c>
      <c r="AP32" s="66">
        <v>4</v>
      </c>
      <c r="AQ32" s="117"/>
      <c r="AR32" s="26">
        <f>IFERROR(INDEX(AJ32:AM32,MATCH('Project Info'!$D$13,AJ$4:AM$4,0)),AJ32)</f>
        <v>0.24</v>
      </c>
      <c r="AS32" s="207">
        <f>IFERROR(INDEX(AN32:AP32,MATCH('Project Info'!$D$14,AN$4:AP$4,0)),AN32)</f>
        <v>4</v>
      </c>
      <c r="AT32" s="117"/>
      <c r="AU32" s="82">
        <v>0.4</v>
      </c>
      <c r="AV32" s="82">
        <v>0.4</v>
      </c>
      <c r="AW32" s="82"/>
      <c r="AX32" s="82"/>
      <c r="AY32" s="66">
        <f t="shared" si="7"/>
        <v>4</v>
      </c>
      <c r="AZ32" s="66"/>
      <c r="BA32" s="66"/>
      <c r="BC32" s="26">
        <f>IFERROR(INDEX(AU32:AX32,MATCH('Project Info'!$D$13,AU$4:AX$4,0)),AU32)</f>
        <v>0.4</v>
      </c>
      <c r="BD32" s="207">
        <f>IFERROR(INDEX(AY32:BA32,MATCH('Project Info'!$D$14,AY$4:BA$4,0)),AY32)</f>
        <v>4</v>
      </c>
      <c r="BF32" s="82">
        <v>0.4</v>
      </c>
      <c r="BG32" s="82">
        <v>0.26</v>
      </c>
      <c r="BH32" s="82"/>
      <c r="BI32" s="82"/>
      <c r="BJ32" s="66">
        <f t="shared" ref="BJ32" si="14">BJ10</f>
        <v>4</v>
      </c>
      <c r="BK32" s="66"/>
      <c r="BL32" s="66"/>
      <c r="BN32" s="26">
        <f>IFERROR(INDEX(BF32:BI32,MATCH('Project Info'!$D$13,BF$4:BI$4,0)),BF32)</f>
        <v>0.4</v>
      </c>
      <c r="BO32" s="207">
        <f>IFERROR(INDEX(BJ32:BL32,MATCH('Project Info'!$D$14,BJ$4:BL$4,0)),BJ32)</f>
        <v>4</v>
      </c>
    </row>
    <row r="33" spans="3:67">
      <c r="N33" s="82">
        <f t="shared" si="5"/>
        <v>0.14000000000000001</v>
      </c>
      <c r="O33" s="82">
        <f t="shared" si="5"/>
        <v>0.12</v>
      </c>
      <c r="P33" s="82">
        <f t="shared" si="5"/>
        <v>0.11</v>
      </c>
      <c r="Q33" s="82"/>
      <c r="R33" s="66">
        <f t="shared" ref="R33:T33" si="15">R11</f>
        <v>5</v>
      </c>
      <c r="S33" s="66">
        <f t="shared" si="15"/>
        <v>7</v>
      </c>
      <c r="T33" s="66">
        <f t="shared" si="15"/>
        <v>5</v>
      </c>
      <c r="U33" s="117"/>
      <c r="V33" s="26">
        <f>IFERROR(INDEX(N33:Q33,MATCH('Project Info'!$D$13,N$4:Q$4,0)),N33)</f>
        <v>0.14000000000000001</v>
      </c>
      <c r="W33" s="207">
        <f>IFERROR(INDEX(R33:T33,MATCH('Project Info'!$D$14,R$4:T$4,0)),R33)</f>
        <v>5</v>
      </c>
      <c r="X33" s="117"/>
      <c r="Y33" s="82">
        <v>0.42</v>
      </c>
      <c r="Z33" s="82">
        <v>0.42</v>
      </c>
      <c r="AA33" s="82">
        <v>0.32</v>
      </c>
      <c r="AB33" s="82">
        <v>0.27</v>
      </c>
      <c r="AC33" s="66">
        <v>5</v>
      </c>
      <c r="AD33" s="66">
        <v>5</v>
      </c>
      <c r="AE33" s="66">
        <v>5</v>
      </c>
      <c r="AF33" s="117"/>
      <c r="AG33" s="26">
        <f>IFERROR(INDEX(Y33:AB33,MATCH('Project Info'!$D$13,Y$4:AB$4,0)),Y33)</f>
        <v>0.42</v>
      </c>
      <c r="AH33" s="207">
        <f>IFERROR(INDEX(AC33:AE33,MATCH('Project Info'!$D$14,AC$4:AE$4,0)),AC33)</f>
        <v>5</v>
      </c>
      <c r="AJ33" s="82">
        <v>0.32</v>
      </c>
      <c r="AK33" s="82">
        <v>0.24</v>
      </c>
      <c r="AL33" s="82"/>
      <c r="AM33" s="82"/>
      <c r="AN33" s="66">
        <v>5</v>
      </c>
      <c r="AO33" s="66">
        <v>5</v>
      </c>
      <c r="AP33" s="66">
        <v>5</v>
      </c>
      <c r="AQ33" s="117"/>
      <c r="AR33" s="26">
        <f>IFERROR(INDEX(AJ33:AM33,MATCH('Project Info'!$D$13,AJ$4:AM$4,0)),AJ33)</f>
        <v>0.32</v>
      </c>
      <c r="AS33" s="207">
        <f>IFERROR(INDEX(AN33:AP33,MATCH('Project Info'!$D$14,AN$4:AP$4,0)),AN33)</f>
        <v>5</v>
      </c>
      <c r="AT33" s="117"/>
      <c r="AU33" s="82">
        <v>0.5</v>
      </c>
      <c r="AV33" s="82">
        <v>0.5</v>
      </c>
      <c r="AW33" s="82"/>
      <c r="AX33" s="82"/>
      <c r="AY33" s="66">
        <f t="shared" si="7"/>
        <v>5</v>
      </c>
      <c r="AZ33" s="66"/>
      <c r="BA33" s="66"/>
      <c r="BC33" s="26">
        <f>IFERROR(INDEX(AU33:AX33,MATCH('Project Info'!$D$13,AU$4:AX$4,0)),AU33)</f>
        <v>0.5</v>
      </c>
      <c r="BD33" s="207">
        <f>IFERROR(INDEX(AY33:BA33,MATCH('Project Info'!$D$14,AY$4:BA$4,0)),AY33)</f>
        <v>5</v>
      </c>
      <c r="BF33" s="82">
        <v>0.5</v>
      </c>
      <c r="BG33" s="82">
        <v>0.39</v>
      </c>
      <c r="BH33" s="82"/>
      <c r="BI33" s="82"/>
      <c r="BJ33" s="66">
        <f t="shared" ref="BJ33" si="16">BJ11</f>
        <v>5</v>
      </c>
      <c r="BK33" s="66"/>
      <c r="BL33" s="66"/>
      <c r="BN33" s="26">
        <f>IFERROR(INDEX(BF33:BI33,MATCH('Project Info'!$D$13,BF$4:BI$4,0)),BF33)</f>
        <v>0.5</v>
      </c>
      <c r="BO33" s="207">
        <f>IFERROR(INDEX(BJ33:BL33,MATCH('Project Info'!$D$14,BJ$4:BL$4,0)),BJ33)</f>
        <v>5</v>
      </c>
    </row>
    <row r="34" spans="3:67">
      <c r="N34" s="82">
        <f t="shared" si="5"/>
        <v>0.16</v>
      </c>
      <c r="O34" s="82">
        <f t="shared" si="5"/>
        <v>0.14000000000000001</v>
      </c>
      <c r="P34" s="82">
        <f t="shared" si="5"/>
        <v>0.13</v>
      </c>
      <c r="Q34" s="82"/>
      <c r="R34" s="66">
        <f t="shared" ref="R34:T34" si="17">R12</f>
        <v>6</v>
      </c>
      <c r="S34" s="66">
        <f t="shared" si="17"/>
        <v>8</v>
      </c>
      <c r="T34" s="66">
        <f t="shared" si="17"/>
        <v>6</v>
      </c>
      <c r="U34" s="117"/>
      <c r="V34" s="26">
        <f>IFERROR(INDEX(N34:Q34,MATCH('Project Info'!$D$13,N$4:Q$4,0)),N34)</f>
        <v>0.16</v>
      </c>
      <c r="W34" s="207">
        <f>IFERROR(INDEX(R34:T34,MATCH('Project Info'!$D$14,R$4:T$4,0)),R34)</f>
        <v>6</v>
      </c>
      <c r="X34" s="117"/>
      <c r="Y34" s="82">
        <v>0.5</v>
      </c>
      <c r="Z34" s="82">
        <v>0.5</v>
      </c>
      <c r="AA34" s="82">
        <v>0.4</v>
      </c>
      <c r="AB34" s="82">
        <v>0.35</v>
      </c>
      <c r="AC34" s="66">
        <v>6</v>
      </c>
      <c r="AD34" s="66">
        <v>6</v>
      </c>
      <c r="AE34" s="66">
        <v>6</v>
      </c>
      <c r="AF34" s="117"/>
      <c r="AG34" s="26">
        <f>IFERROR(INDEX(Y34:AB34,MATCH('Project Info'!$D$13,Y$4:AB$4,0)),Y34)</f>
        <v>0.5</v>
      </c>
      <c r="AH34" s="207">
        <f>IFERROR(INDEX(AC34:AE34,MATCH('Project Info'!$D$14,AC$4:AE$4,0)),AC34)</f>
        <v>6</v>
      </c>
      <c r="AJ34" s="82">
        <v>0.4</v>
      </c>
      <c r="AK34" s="82">
        <v>0.32</v>
      </c>
      <c r="AL34" s="82"/>
      <c r="AM34" s="82"/>
      <c r="AN34" s="66">
        <v>6</v>
      </c>
      <c r="AO34" s="66">
        <v>6</v>
      </c>
      <c r="AP34" s="66">
        <v>6</v>
      </c>
      <c r="AQ34" s="117"/>
      <c r="AR34" s="26">
        <f>IFERROR(INDEX(AJ34:AM34,MATCH('Project Info'!$D$13,AJ$4:AM$4,0)),AJ34)</f>
        <v>0.4</v>
      </c>
      <c r="AS34" s="207">
        <f>IFERROR(INDEX(AN34:AP34,MATCH('Project Info'!$D$14,AN$4:AP$4,0)),AN34)</f>
        <v>6</v>
      </c>
      <c r="AT34" s="117"/>
      <c r="AU34" s="82">
        <v>0.6</v>
      </c>
      <c r="AV34" s="82">
        <v>0.6</v>
      </c>
      <c r="AW34" s="82"/>
      <c r="AX34" s="82"/>
      <c r="AY34" s="66">
        <f t="shared" si="7"/>
        <v>6</v>
      </c>
      <c r="AZ34" s="66"/>
      <c r="BA34" s="66"/>
      <c r="BC34" s="26">
        <f>IFERROR(INDEX(AU34:AX34,MATCH('Project Info'!$D$13,AU$4:AX$4,0)),AU34)</f>
        <v>0.6</v>
      </c>
      <c r="BD34" s="207">
        <f>IFERROR(INDEX(AY34:BA34,MATCH('Project Info'!$D$14,AY$4:BA$4,0)),AY34)</f>
        <v>6</v>
      </c>
      <c r="BF34" s="82">
        <v>0.6</v>
      </c>
      <c r="BG34" s="82">
        <v>0.52</v>
      </c>
      <c r="BH34" s="82"/>
      <c r="BI34" s="82"/>
      <c r="BJ34" s="66">
        <f t="shared" ref="BJ34" si="18">BJ12</f>
        <v>6</v>
      </c>
      <c r="BK34" s="66"/>
      <c r="BL34" s="66"/>
      <c r="BN34" s="26">
        <f>IFERROR(INDEX(BF34:BI34,MATCH('Project Info'!$D$13,BF$4:BI$4,0)),BF34)</f>
        <v>0.6</v>
      </c>
      <c r="BO34" s="207">
        <f>IFERROR(INDEX(BJ34:BL34,MATCH('Project Info'!$D$14,BJ$4:BL$4,0)),BJ34)</f>
        <v>6</v>
      </c>
    </row>
    <row r="35" spans="3:67">
      <c r="N35" s="82">
        <f t="shared" si="5"/>
        <v>0.18</v>
      </c>
      <c r="O35" s="82">
        <f t="shared" si="5"/>
        <v>0.16</v>
      </c>
      <c r="P35" s="82">
        <f t="shared" si="5"/>
        <v>0.15</v>
      </c>
      <c r="Q35" s="82"/>
      <c r="R35" s="66">
        <f t="shared" ref="R35:T35" si="19">R13</f>
        <v>7</v>
      </c>
      <c r="S35" s="66">
        <f t="shared" si="19"/>
        <v>9</v>
      </c>
      <c r="T35" s="66">
        <f t="shared" si="19"/>
        <v>7</v>
      </c>
      <c r="U35" s="117"/>
      <c r="V35" s="26">
        <f>IFERROR(INDEX(N35:Q35,MATCH('Project Info'!$D$13,N$4:Q$4,0)),N35)</f>
        <v>0.18</v>
      </c>
      <c r="W35" s="207">
        <f>IFERROR(INDEX(R35:T35,MATCH('Project Info'!$D$14,R$4:T$4,0)),R35)</f>
        <v>7</v>
      </c>
      <c r="X35" s="117"/>
      <c r="Y35" s="82">
        <v>0.6</v>
      </c>
      <c r="Z35" s="82">
        <v>0.6</v>
      </c>
      <c r="AA35" s="82">
        <v>0.5</v>
      </c>
      <c r="AB35" s="82">
        <v>0.45</v>
      </c>
      <c r="AC35" s="66">
        <v>7</v>
      </c>
      <c r="AD35" s="66">
        <v>7</v>
      </c>
      <c r="AE35" s="66">
        <v>7</v>
      </c>
      <c r="AF35" s="117"/>
      <c r="AG35" s="26">
        <f>IFERROR(INDEX(Y35:AB35,MATCH('Project Info'!$D$13,Y$4:AB$4,0)),Y35)</f>
        <v>0.6</v>
      </c>
      <c r="AH35" s="207">
        <f>IFERROR(INDEX(AC35:AE35,MATCH('Project Info'!$D$14,AC$4:AE$4,0)),AC35)</f>
        <v>7</v>
      </c>
      <c r="AJ35" s="82">
        <v>0.5</v>
      </c>
      <c r="AK35" s="82">
        <v>0.4</v>
      </c>
      <c r="AL35" s="82"/>
      <c r="AM35" s="82"/>
      <c r="AN35" s="66">
        <v>7</v>
      </c>
      <c r="AO35" s="66">
        <v>7</v>
      </c>
      <c r="AP35" s="66">
        <v>7</v>
      </c>
      <c r="AQ35" s="117"/>
      <c r="AR35" s="26">
        <f>IFERROR(INDEX(AJ35:AM35,MATCH('Project Info'!$D$13,AJ$4:AM$4,0)),AJ35)</f>
        <v>0.5</v>
      </c>
      <c r="AS35" s="207">
        <f>IFERROR(INDEX(AN35:AP35,MATCH('Project Info'!$D$14,AN$4:AP$4,0)),AN35)</f>
        <v>7</v>
      </c>
      <c r="AT35" s="117"/>
      <c r="AU35" s="82">
        <v>0.7</v>
      </c>
      <c r="AV35" s="82">
        <v>0.7</v>
      </c>
      <c r="AW35" s="82"/>
      <c r="AX35" s="82"/>
      <c r="AY35" s="66">
        <f t="shared" si="7"/>
        <v>7</v>
      </c>
      <c r="AZ35" s="66"/>
      <c r="BA35" s="66"/>
      <c r="BC35" s="26">
        <f>IFERROR(INDEX(AU35:AX35,MATCH('Project Info'!$D$13,AU$4:AX$4,0)),AU35)</f>
        <v>0.7</v>
      </c>
      <c r="BD35" s="207">
        <f>IFERROR(INDEX(AY35:BA35,MATCH('Project Info'!$D$14,AY$4:BA$4,0)),AY35)</f>
        <v>7</v>
      </c>
      <c r="BF35" s="82">
        <v>0.7</v>
      </c>
      <c r="BG35" s="82">
        <v>0.65</v>
      </c>
      <c r="BH35" s="82"/>
      <c r="BI35" s="82"/>
      <c r="BJ35" s="66">
        <f t="shared" ref="BJ35" si="20">BJ13</f>
        <v>7</v>
      </c>
      <c r="BK35" s="66"/>
      <c r="BL35" s="66"/>
      <c r="BN35" s="26">
        <f>IFERROR(INDEX(BF35:BI35,MATCH('Project Info'!$D$13,BF$4:BI$4,0)),BF35)</f>
        <v>0.7</v>
      </c>
      <c r="BO35" s="207">
        <f>IFERROR(INDEX(BJ35:BL35,MATCH('Project Info'!$D$14,BJ$4:BL$4,0)),BJ35)</f>
        <v>7</v>
      </c>
    </row>
    <row r="36" spans="3:67">
      <c r="N36" s="82">
        <f t="shared" si="5"/>
        <v>0.2</v>
      </c>
      <c r="O36" s="82">
        <f t="shared" si="5"/>
        <v>0.18</v>
      </c>
      <c r="P36" s="82">
        <f t="shared" si="5"/>
        <v>0.17</v>
      </c>
      <c r="Q36" s="82"/>
      <c r="R36" s="66">
        <f t="shared" ref="R36:T36" si="21">R14</f>
        <v>8</v>
      </c>
      <c r="S36" s="66">
        <f t="shared" si="21"/>
        <v>10</v>
      </c>
      <c r="T36" s="66">
        <f t="shared" si="21"/>
        <v>8</v>
      </c>
      <c r="U36" s="117"/>
      <c r="V36" s="26">
        <f>IFERROR(INDEX(N36:Q36,MATCH('Project Info'!$D$13,N$4:Q$4,0)),N36)</f>
        <v>0.2</v>
      </c>
      <c r="W36" s="207">
        <f>IFERROR(INDEX(R36:T36,MATCH('Project Info'!$D$14,R$4:T$4,0)),R36)</f>
        <v>8</v>
      </c>
      <c r="X36" s="117"/>
      <c r="Y36" s="82">
        <v>0.7</v>
      </c>
      <c r="Z36" s="82">
        <v>0.7</v>
      </c>
      <c r="AA36" s="82">
        <v>0.6</v>
      </c>
      <c r="AB36" s="82">
        <v>0.55000000000000004</v>
      </c>
      <c r="AC36" s="66">
        <v>8</v>
      </c>
      <c r="AD36" s="66">
        <v>8</v>
      </c>
      <c r="AE36" s="66">
        <v>8</v>
      </c>
      <c r="AF36" s="117"/>
      <c r="AG36" s="26">
        <f>IFERROR(INDEX(Y36:AB36,MATCH('Project Info'!$D$13,Y$4:AB$4,0)),Y36)</f>
        <v>0.7</v>
      </c>
      <c r="AH36" s="207">
        <f>IFERROR(INDEX(AC36:AE36,MATCH('Project Info'!$D$14,AC$4:AE$4,0)),AC36)</f>
        <v>8</v>
      </c>
      <c r="AJ36" s="82">
        <v>0.65</v>
      </c>
      <c r="AK36" s="82">
        <v>0.5</v>
      </c>
      <c r="AL36" s="82"/>
      <c r="AM36" s="82"/>
      <c r="AN36" s="66">
        <v>8</v>
      </c>
      <c r="AO36" s="66">
        <v>8</v>
      </c>
      <c r="AP36" s="66">
        <v>7</v>
      </c>
      <c r="AQ36" s="117"/>
      <c r="AR36" s="26">
        <f>IFERROR(INDEX(AJ36:AM36,MATCH('Project Info'!$D$13,AJ$4:AM$4,0)),AJ36)</f>
        <v>0.65</v>
      </c>
      <c r="AS36" s="207">
        <f>IFERROR(INDEX(AN36:AP36,MATCH('Project Info'!$D$14,AN$4:AP$4,0)),AN36)</f>
        <v>7</v>
      </c>
      <c r="AT36" s="117"/>
      <c r="AU36" s="82">
        <v>0.8</v>
      </c>
      <c r="AV36" s="82"/>
      <c r="AW36" s="82"/>
      <c r="AX36" s="82"/>
      <c r="AY36" s="66">
        <f t="shared" si="7"/>
        <v>8</v>
      </c>
      <c r="AZ36" s="66"/>
      <c r="BA36" s="66"/>
      <c r="BC36" s="26">
        <f>IFERROR(INDEX(AU36:AX36,MATCH('Project Info'!$D$13,AU$4:AX$4,0)),AU36)</f>
        <v>0.8</v>
      </c>
      <c r="BD36" s="207">
        <f>IFERROR(INDEX(AY36:BA36,MATCH('Project Info'!$D$14,AY$4:BA$4,0)),AY36)</f>
        <v>8</v>
      </c>
      <c r="BF36" s="82">
        <v>0.8</v>
      </c>
      <c r="BG36" s="82"/>
      <c r="BH36" s="82"/>
      <c r="BI36" s="82"/>
      <c r="BJ36" s="66">
        <f t="shared" ref="BJ36" si="22">BJ14</f>
        <v>8</v>
      </c>
      <c r="BK36" s="66"/>
      <c r="BL36" s="66"/>
      <c r="BN36" s="26">
        <f>IFERROR(INDEX(BF36:BI36,MATCH('Project Info'!$D$13,BF$4:BI$4,0)),BF36)</f>
        <v>0.8</v>
      </c>
      <c r="BO36" s="207">
        <f>IFERROR(INDEX(BJ36:BL36,MATCH('Project Info'!$D$14,BJ$4:BL$4,0)),BJ36)</f>
        <v>8</v>
      </c>
    </row>
    <row r="37" spans="3:67">
      <c r="N37" s="82">
        <f t="shared" si="5"/>
        <v>0.22</v>
      </c>
      <c r="O37" s="82">
        <f t="shared" si="5"/>
        <v>0.2</v>
      </c>
      <c r="P37" s="82">
        <f t="shared" si="5"/>
        <v>0.19</v>
      </c>
      <c r="Q37" s="82"/>
      <c r="R37" s="66">
        <f t="shared" ref="R37:T37" si="23">R15</f>
        <v>9</v>
      </c>
      <c r="S37" s="66">
        <f t="shared" si="23"/>
        <v>11</v>
      </c>
      <c r="T37" s="66">
        <f t="shared" si="23"/>
        <v>9</v>
      </c>
      <c r="U37" s="117"/>
      <c r="V37" s="26">
        <f>IFERROR(INDEX(N37:Q37,MATCH('Project Info'!$D$13,N$4:Q$4,0)),N37)</f>
        <v>0.22</v>
      </c>
      <c r="W37" s="207">
        <f>IFERROR(INDEX(R37:T37,MATCH('Project Info'!$D$14,R$4:T$4,0)),R37)</f>
        <v>9</v>
      </c>
      <c r="X37" s="117"/>
      <c r="Y37" s="82">
        <v>0.85</v>
      </c>
      <c r="Z37" s="82">
        <v>1</v>
      </c>
      <c r="AA37" s="82">
        <v>0.75</v>
      </c>
      <c r="AB37" s="82">
        <v>0.65</v>
      </c>
      <c r="AC37" s="66">
        <v>9</v>
      </c>
      <c r="AD37" s="66">
        <v>9</v>
      </c>
      <c r="AE37" s="66" t="str">
        <f>_xlfn.CONCAT(AE36," + EP")</f>
        <v>8 + EP</v>
      </c>
      <c r="AF37" s="117"/>
      <c r="AG37" s="26">
        <f>IFERROR(INDEX(Y37:AB37,MATCH('Project Info'!$D$13,Y$4:AB$4,0)),Y37)</f>
        <v>0.85</v>
      </c>
      <c r="AH37" s="207" t="str">
        <f>IFERROR(INDEX(AC37:AE37,MATCH('Project Info'!$D$14,AC$4:AE$4,0)),AC37)</f>
        <v>8 + EP</v>
      </c>
      <c r="AJ37" s="82">
        <v>0.8</v>
      </c>
      <c r="AK37" s="82">
        <v>0.65</v>
      </c>
      <c r="AL37" s="82"/>
      <c r="AM37" s="82"/>
      <c r="AN37" s="66">
        <v>9</v>
      </c>
      <c r="AO37" s="66">
        <v>9</v>
      </c>
      <c r="AP37" s="66">
        <v>8</v>
      </c>
      <c r="AQ37" s="117"/>
      <c r="AR37" s="26">
        <f>IFERROR(INDEX(AJ37:AM37,MATCH('Project Info'!$D$13,AJ$4:AM$4,0)),AJ37)</f>
        <v>0.8</v>
      </c>
      <c r="AS37" s="207">
        <f>IFERROR(INDEX(AN37:AP37,MATCH('Project Info'!$D$14,AN$4:AP$4,0)),AN37)</f>
        <v>8</v>
      </c>
      <c r="AT37" s="117"/>
      <c r="AU37" s="82">
        <v>0.9</v>
      </c>
      <c r="AV37" s="82"/>
      <c r="AW37" s="82"/>
      <c r="AX37" s="82"/>
      <c r="AY37" s="66">
        <f t="shared" si="7"/>
        <v>9</v>
      </c>
      <c r="AZ37" s="66"/>
      <c r="BA37" s="66"/>
      <c r="BC37" s="26">
        <f>IFERROR(INDEX(AU37:AX37,MATCH('Project Info'!$D$13,AU$4:AX$4,0)),AU37)</f>
        <v>0.9</v>
      </c>
      <c r="BD37" s="207">
        <f>IFERROR(INDEX(AY37:BA37,MATCH('Project Info'!$D$14,AY$4:BA$4,0)),AY37)</f>
        <v>9</v>
      </c>
      <c r="BF37" s="82">
        <v>0.9</v>
      </c>
      <c r="BG37" s="82"/>
      <c r="BH37" s="82"/>
      <c r="BI37" s="82"/>
      <c r="BJ37" s="66">
        <f t="shared" ref="BJ37" si="24">BJ15</f>
        <v>9</v>
      </c>
      <c r="BK37" s="66"/>
      <c r="BL37" s="66"/>
      <c r="BN37" s="26">
        <f>IFERROR(INDEX(BF37:BI37,MATCH('Project Info'!$D$13,BF$4:BI$4,0)),BF37)</f>
        <v>0.9</v>
      </c>
      <c r="BO37" s="207">
        <f>IFERROR(INDEX(BJ37:BL37,MATCH('Project Info'!$D$14,BJ$4:BL$4,0)),BJ37)</f>
        <v>9</v>
      </c>
    </row>
    <row r="38" spans="3:67">
      <c r="N38" s="82">
        <f t="shared" si="5"/>
        <v>0.24</v>
      </c>
      <c r="O38" s="82">
        <f t="shared" si="5"/>
        <v>0.22</v>
      </c>
      <c r="P38" s="82">
        <f t="shared" si="5"/>
        <v>0.21</v>
      </c>
      <c r="Q38" s="82"/>
      <c r="R38" s="66">
        <f t="shared" ref="R38:T38" si="25">R16</f>
        <v>10</v>
      </c>
      <c r="S38" s="66">
        <f t="shared" si="25"/>
        <v>12</v>
      </c>
      <c r="T38" s="66">
        <f t="shared" si="25"/>
        <v>10</v>
      </c>
      <c r="U38" s="117"/>
      <c r="V38" s="26">
        <f>IFERROR(INDEX(N38:Q38,MATCH('Project Info'!$D$13,N$4:Q$4,0)),N38)</f>
        <v>0.24</v>
      </c>
      <c r="W38" s="207">
        <f>IFERROR(INDEX(R38:T38,MATCH('Project Info'!$D$14,R$4:T$4,0)),R38)</f>
        <v>10</v>
      </c>
      <c r="X38" s="117"/>
      <c r="Y38" s="82">
        <v>1</v>
      </c>
      <c r="Z38" s="82"/>
      <c r="AA38" s="82">
        <v>1</v>
      </c>
      <c r="AB38" s="82">
        <v>0.8</v>
      </c>
      <c r="AC38" s="66" t="str">
        <f>_xlfn.CONCAT(AC37," + EP")</f>
        <v>9 + EP</v>
      </c>
      <c r="AD38" s="66">
        <v>10</v>
      </c>
      <c r="AE38" s="66"/>
      <c r="AF38" s="117"/>
      <c r="AG38" s="26">
        <f>IFERROR(INDEX(Y38:AB38,MATCH('Project Info'!$D$13,Y$4:AB$4,0)),Y38)</f>
        <v>1</v>
      </c>
      <c r="AH38" s="207">
        <f>IFERROR(INDEX(AC38:AE38,MATCH('Project Info'!$D$14,AC$4:AE$4,0)),AC38)</f>
        <v>0</v>
      </c>
      <c r="AJ38" s="82">
        <v>1</v>
      </c>
      <c r="AK38" s="82">
        <v>0.8</v>
      </c>
      <c r="AL38" s="82"/>
      <c r="AM38" s="82"/>
      <c r="AN38" s="66" t="str">
        <f>_xlfn.CONCAT(AN37,"+ EP")</f>
        <v>9+ EP</v>
      </c>
      <c r="AO38" s="66">
        <v>10</v>
      </c>
      <c r="AP38" s="66" t="str">
        <f>_xlfn.CONCAT(AP37,"+ EP")</f>
        <v>8+ EP</v>
      </c>
      <c r="AQ38" s="117"/>
      <c r="AR38" s="26">
        <f>IFERROR(INDEX(AJ38:AM38,MATCH('Project Info'!$D$13,AJ$4:AM$4,0)),AJ38)</f>
        <v>1</v>
      </c>
      <c r="AS38" s="207" t="str">
        <f>IFERROR(INDEX(AN38:AP38,MATCH('Project Info'!$D$14,AN$4:AP$4,0)),AN38)</f>
        <v>8+ EP</v>
      </c>
      <c r="AT38" s="117"/>
      <c r="AU38" s="82">
        <v>1</v>
      </c>
      <c r="AV38" s="82"/>
      <c r="AW38" s="82"/>
      <c r="AX38" s="82"/>
      <c r="AY38" s="66">
        <f t="shared" si="7"/>
        <v>10</v>
      </c>
      <c r="AZ38" s="66"/>
      <c r="BA38" s="66"/>
      <c r="BC38" s="26">
        <f>IFERROR(INDEX(AU38:AX38,MATCH('Project Info'!$D$13,AU$4:AX$4,0)),AU38)</f>
        <v>1</v>
      </c>
      <c r="BD38" s="207">
        <f>IFERROR(INDEX(AY38:BA38,MATCH('Project Info'!$D$14,AY$4:BA$4,0)),AY38)</f>
        <v>10</v>
      </c>
      <c r="BF38" s="82">
        <v>1</v>
      </c>
      <c r="BG38" s="82"/>
      <c r="BH38" s="82"/>
      <c r="BI38" s="82"/>
      <c r="BJ38" s="66">
        <f t="shared" ref="BJ38" si="26">BJ16</f>
        <v>10</v>
      </c>
      <c r="BK38" s="66"/>
      <c r="BL38" s="66"/>
      <c r="BN38" s="26">
        <f>IFERROR(INDEX(BF38:BI38,MATCH('Project Info'!$D$13,BF$4:BI$4,0)),BF38)</f>
        <v>1</v>
      </c>
      <c r="BO38" s="207">
        <f>IFERROR(INDEX(BJ38:BL38,MATCH('Project Info'!$D$14,BJ$4:BL$4,0)),BJ38)</f>
        <v>10</v>
      </c>
    </row>
    <row r="39" spans="3:67">
      <c r="N39" s="82">
        <f t="shared" si="5"/>
        <v>0.26</v>
      </c>
      <c r="O39" s="82">
        <f t="shared" si="5"/>
        <v>0.24</v>
      </c>
      <c r="P39" s="82">
        <f t="shared" si="5"/>
        <v>0.23</v>
      </c>
      <c r="Q39" s="82"/>
      <c r="R39" s="66">
        <f t="shared" ref="R39:T39" si="27">R17</f>
        <v>11</v>
      </c>
      <c r="S39" s="66">
        <f t="shared" si="27"/>
        <v>13</v>
      </c>
      <c r="T39" s="66">
        <f t="shared" si="27"/>
        <v>11</v>
      </c>
      <c r="U39" s="117"/>
      <c r="V39" s="26">
        <f>IFERROR(INDEX(N39:Q39,MATCH('Project Info'!$D$13,N$4:Q$4,0)),N39)</f>
        <v>0.26</v>
      </c>
      <c r="W39" s="207">
        <f>IFERROR(INDEX(R39:T39,MATCH('Project Info'!$D$14,R$4:T$4,0)),R39)</f>
        <v>11</v>
      </c>
      <c r="X39" s="117"/>
      <c r="Y39" s="82"/>
      <c r="Z39" s="82"/>
      <c r="AA39" s="82"/>
      <c r="AB39" s="82">
        <v>1</v>
      </c>
      <c r="AC39" s="66"/>
      <c r="AD39" s="66" t="str">
        <f>_xlfn.CONCAT(AD38," + EP")</f>
        <v>10 + EP</v>
      </c>
      <c r="AE39" s="66"/>
      <c r="AF39" s="117"/>
      <c r="AG39" s="26">
        <f>IFERROR(INDEX(Y39:AB39,MATCH('Project Info'!$D$13,Y$4:AB$4,0)),Y39)</f>
        <v>0</v>
      </c>
      <c r="AH39" s="207">
        <f>IFERROR(INDEX(AC39:AE39,MATCH('Project Info'!$D$14,AC$4:AE$4,0)),AC39)</f>
        <v>0</v>
      </c>
      <c r="AJ39" s="82"/>
      <c r="AK39" s="82">
        <v>1</v>
      </c>
      <c r="AL39" s="82"/>
      <c r="AM39" s="82"/>
      <c r="AN39" s="66"/>
      <c r="AO39" s="66" t="str">
        <f>_xlfn.CONCAT(AO38,"+ EP")</f>
        <v>10+ EP</v>
      </c>
      <c r="AP39" s="66" t="str">
        <f>AP38</f>
        <v>8+ EP</v>
      </c>
      <c r="AQ39" s="117"/>
      <c r="AR39" s="26">
        <f>IFERROR(INDEX(AJ39:AM39,MATCH('Project Info'!$D$13,AJ$4:AM$4,0)),AJ39)</f>
        <v>0</v>
      </c>
      <c r="AS39" s="207" t="str">
        <f>IFERROR(INDEX(AN39:AP39,MATCH('Project Info'!$D$14,AN$4:AP$4,0)),AN39)</f>
        <v>8+ EP</v>
      </c>
      <c r="AT39" s="117"/>
      <c r="AU39" s="82"/>
      <c r="AV39" s="82"/>
      <c r="AW39" s="82"/>
      <c r="AX39" s="82"/>
      <c r="AY39" s="66">
        <f t="shared" si="7"/>
        <v>0</v>
      </c>
      <c r="AZ39" s="66"/>
      <c r="BA39" s="66"/>
      <c r="BC39" s="26">
        <f>IFERROR(INDEX(AU39:AX39,MATCH('Project Info'!$D$13,AU$4:AX$4,0)),AU39)</f>
        <v>0</v>
      </c>
      <c r="BD39" s="207">
        <f>IFERROR(INDEX(AY39:BA39,MATCH('Project Info'!$D$14,AY$4:BA$4,0)),AY39)</f>
        <v>0</v>
      </c>
      <c r="BF39" s="82"/>
      <c r="BG39" s="82"/>
      <c r="BH39" s="82"/>
      <c r="BI39" s="82"/>
      <c r="BJ39" s="66">
        <f t="shared" ref="BJ39" si="28">BJ17</f>
        <v>0</v>
      </c>
      <c r="BK39" s="66"/>
      <c r="BL39" s="66"/>
      <c r="BN39" s="26">
        <f>IFERROR(INDEX(BF39:BI39,MATCH('Project Info'!$D$13,BF$4:BI$4,0)),BF39)</f>
        <v>0</v>
      </c>
      <c r="BO39" s="207">
        <f>IFERROR(INDEX(BJ39:BL39,MATCH('Project Info'!$D$14,BJ$4:BL$4,0)),BJ39)</f>
        <v>0</v>
      </c>
    </row>
    <row r="40" spans="3:67">
      <c r="N40" s="82">
        <f t="shared" si="5"/>
        <v>0.28999999999999998</v>
      </c>
      <c r="O40" s="82">
        <f t="shared" si="5"/>
        <v>0.27</v>
      </c>
      <c r="P40" s="82">
        <f t="shared" si="5"/>
        <v>0.26</v>
      </c>
      <c r="Q40" s="82"/>
      <c r="R40" s="66">
        <f t="shared" ref="R40:T40" si="29">R18</f>
        <v>12</v>
      </c>
      <c r="S40" s="66">
        <f t="shared" si="29"/>
        <v>14</v>
      </c>
      <c r="T40" s="66">
        <f t="shared" si="29"/>
        <v>12</v>
      </c>
      <c r="U40" s="117"/>
      <c r="V40" s="26">
        <f>IFERROR(INDEX(N40:Q40,MATCH('Project Info'!$D$13,N$4:Q$4,0)),N40)</f>
        <v>0.28999999999999998</v>
      </c>
      <c r="W40" s="207">
        <f>IFERROR(INDEX(R40:T40,MATCH('Project Info'!$D$14,R$4:T$4,0)),R40)</f>
        <v>12</v>
      </c>
      <c r="X40" s="117"/>
      <c r="Y40" s="82"/>
      <c r="Z40" s="82"/>
      <c r="AA40" s="82"/>
      <c r="AB40" s="82"/>
      <c r="AC40" s="66"/>
      <c r="AD40" s="66"/>
      <c r="AE40" s="66"/>
      <c r="AF40" s="117"/>
      <c r="AG40" s="26">
        <f>IFERROR(INDEX(Y40:AB40,MATCH('Project Info'!$D$13,Y$4:AB$4,0)),Y40)</f>
        <v>0</v>
      </c>
      <c r="AH40" s="207">
        <f>IFERROR(INDEX(AC40:AE40,MATCH('Project Info'!$D$14,AC$4:AE$4,0)),AC40)</f>
        <v>0</v>
      </c>
      <c r="AJ40" s="82"/>
      <c r="AK40" s="82"/>
      <c r="AL40" s="82"/>
      <c r="AM40" s="82"/>
      <c r="AN40" s="66"/>
      <c r="AO40" s="66"/>
      <c r="AP40" s="66"/>
      <c r="AQ40" s="117"/>
      <c r="AR40" s="26">
        <f>IFERROR(INDEX(AJ40:AM40,MATCH('Project Info'!$D$13,AJ$4:AM$4,0)),AJ40)</f>
        <v>0</v>
      </c>
      <c r="AS40" s="207">
        <f>IFERROR(INDEX(AN40:AP40,MATCH('Project Info'!$D$14,AN$4:AP$4,0)),AN40)</f>
        <v>0</v>
      </c>
      <c r="AT40" s="117"/>
      <c r="AU40" s="82"/>
      <c r="AV40" s="82"/>
      <c r="AW40" s="82"/>
      <c r="AX40" s="82"/>
      <c r="AY40" s="66">
        <f t="shared" si="7"/>
        <v>0</v>
      </c>
      <c r="AZ40" s="66"/>
      <c r="BA40" s="66"/>
      <c r="BC40" s="26">
        <f>IFERROR(INDEX(AU40:AX40,MATCH('Project Info'!$D$13,AU$4:AX$4,0)),AU40)</f>
        <v>0</v>
      </c>
      <c r="BD40" s="207">
        <f>IFERROR(INDEX(AY40:BA40,MATCH('Project Info'!$D$14,AY$4:BA$4,0)),AY40)</f>
        <v>0</v>
      </c>
      <c r="BF40" s="82"/>
      <c r="BG40" s="82"/>
      <c r="BH40" s="82"/>
      <c r="BI40" s="82"/>
      <c r="BJ40" s="66">
        <f t="shared" ref="BJ40" si="30">BJ18</f>
        <v>0</v>
      </c>
      <c r="BK40" s="66"/>
      <c r="BL40" s="66"/>
      <c r="BN40" s="26">
        <f>IFERROR(INDEX(BF40:BI40,MATCH('Project Info'!$D$13,BF$4:BI$4,0)),BF40)</f>
        <v>0</v>
      </c>
      <c r="BO40" s="207">
        <f>IFERROR(INDEX(BJ40:BL40,MATCH('Project Info'!$D$14,BJ$4:BL$4,0)),BJ40)</f>
        <v>0</v>
      </c>
    </row>
    <row r="41" spans="3:67">
      <c r="N41" s="82">
        <f t="shared" si="5"/>
        <v>0.32</v>
      </c>
      <c r="O41" s="82">
        <f t="shared" si="5"/>
        <v>0.3</v>
      </c>
      <c r="P41" s="82">
        <f t="shared" si="5"/>
        <v>0.28999999999999998</v>
      </c>
      <c r="Q41" s="82"/>
      <c r="R41" s="66">
        <f t="shared" ref="R41:T41" si="31">R19</f>
        <v>13</v>
      </c>
      <c r="S41" s="66">
        <f t="shared" si="31"/>
        <v>15</v>
      </c>
      <c r="T41" s="66">
        <f t="shared" si="31"/>
        <v>13</v>
      </c>
      <c r="U41" s="117"/>
      <c r="V41" s="26">
        <f>IFERROR(INDEX(N41:Q41,MATCH('Project Info'!$D$13,N$4:Q$4,0)),N41)</f>
        <v>0.32</v>
      </c>
      <c r="W41" s="207">
        <f>IFERROR(INDEX(R41:T41,MATCH('Project Info'!$D$14,R$4:T$4,0)),R41)</f>
        <v>13</v>
      </c>
      <c r="Y41" s="82"/>
      <c r="Z41" s="82"/>
      <c r="AA41" s="82"/>
      <c r="AB41" s="82"/>
      <c r="AC41" s="66"/>
      <c r="AD41" s="66"/>
      <c r="AE41" s="66"/>
      <c r="AG41" s="26">
        <f>IFERROR(INDEX(Y41:AB41,MATCH('Project Info'!$D$13,Y$4:AB$4,0)),Y41)</f>
        <v>0</v>
      </c>
      <c r="AH41" s="207">
        <f>IFERROR(INDEX(AC41:AE41,MATCH('Project Info'!$D$14,AC$4:AE$4,0)),AC41)</f>
        <v>0</v>
      </c>
      <c r="AJ41" s="82"/>
      <c r="AK41" s="82"/>
      <c r="AL41" s="82"/>
      <c r="AM41" s="82"/>
      <c r="AN41" s="66"/>
      <c r="AO41" s="66"/>
      <c r="AP41" s="66"/>
      <c r="AR41" s="26">
        <f>IFERROR(INDEX(AJ41:AM41,MATCH('Project Info'!$D$13,AJ$4:AM$4,0)),AJ41)</f>
        <v>0</v>
      </c>
      <c r="AS41" s="207">
        <f>IFERROR(INDEX(AN41:AP41,MATCH('Project Info'!$D$14,AN$4:AP$4,0)),AN41)</f>
        <v>0</v>
      </c>
      <c r="AU41" s="82"/>
      <c r="AV41" s="82"/>
      <c r="AW41" s="82"/>
      <c r="AX41" s="82"/>
      <c r="AY41" s="66">
        <f t="shared" si="7"/>
        <v>0</v>
      </c>
      <c r="AZ41" s="66"/>
      <c r="BA41" s="66"/>
      <c r="BC41" s="26">
        <f>IFERROR(INDEX(AU41:AX41,MATCH('Project Info'!$D$13,AU$4:AX$4,0)),AU41)</f>
        <v>0</v>
      </c>
      <c r="BD41" s="207">
        <f>IFERROR(INDEX(AY41:BA41,MATCH('Project Info'!$D$14,AY$4:BA$4,0)),AY41)</f>
        <v>0</v>
      </c>
      <c r="BF41" s="82"/>
      <c r="BG41" s="82"/>
      <c r="BH41" s="82"/>
      <c r="BI41" s="82"/>
      <c r="BJ41" s="66">
        <f t="shared" ref="BJ41" si="32">BJ19</f>
        <v>0</v>
      </c>
      <c r="BK41" s="66"/>
      <c r="BL41" s="66"/>
      <c r="BN41" s="26">
        <f>IFERROR(INDEX(BF41:BI41,MATCH('Project Info'!$D$13,BF$4:BI$4,0)),BF41)</f>
        <v>0</v>
      </c>
      <c r="BO41" s="207">
        <f>IFERROR(INDEX(BJ41:BL41,MATCH('Project Info'!$D$14,BJ$4:BL$4,0)),BJ41)</f>
        <v>0</v>
      </c>
    </row>
    <row r="42" spans="3:67">
      <c r="N42" s="82">
        <f t="shared" si="5"/>
        <v>0.35</v>
      </c>
      <c r="O42" s="82">
        <f t="shared" si="5"/>
        <v>0.33</v>
      </c>
      <c r="P42" s="82">
        <f t="shared" si="5"/>
        <v>0.32</v>
      </c>
      <c r="Q42" s="82"/>
      <c r="R42" s="66">
        <f t="shared" ref="R42:T42" si="33">R20</f>
        <v>14</v>
      </c>
      <c r="S42" s="66">
        <f t="shared" si="33"/>
        <v>16</v>
      </c>
      <c r="T42" s="66">
        <f t="shared" si="33"/>
        <v>14</v>
      </c>
      <c r="U42" s="117"/>
      <c r="V42" s="26">
        <f>IFERROR(INDEX(N42:Q42,MATCH('Project Info'!$D$13,N$4:Q$4,0)),N42)</f>
        <v>0.35</v>
      </c>
      <c r="W42" s="207">
        <f>IFERROR(INDEX(R42:T42,MATCH('Project Info'!$D$14,R$4:T$4,0)),R42)</f>
        <v>14</v>
      </c>
      <c r="X42" s="117"/>
      <c r="Y42" s="82"/>
      <c r="Z42" s="82"/>
      <c r="AA42" s="82"/>
      <c r="AB42" s="82"/>
      <c r="AC42" s="66"/>
      <c r="AD42" s="66"/>
      <c r="AE42" s="66"/>
      <c r="AF42" s="117"/>
      <c r="AG42" s="26">
        <f>IFERROR(INDEX(Y42:AB42,MATCH('Project Info'!$D$13,Y$4:AB$4,0)),Y42)</f>
        <v>0</v>
      </c>
      <c r="AH42" s="207">
        <f>IFERROR(INDEX(AC42:AE42,MATCH('Project Info'!$D$14,AC$4:AE$4,0)),AC42)</f>
        <v>0</v>
      </c>
      <c r="AJ42" s="82"/>
      <c r="AK42" s="82"/>
      <c r="AL42" s="82"/>
      <c r="AM42" s="82"/>
      <c r="AN42" s="66"/>
      <c r="AO42" s="66"/>
      <c r="AP42" s="66"/>
      <c r="AQ42" s="117"/>
      <c r="AR42" s="26">
        <f>IFERROR(INDEX(AJ42:AM42,MATCH('Project Info'!$D$13,AJ$4:AM$4,0)),AJ42)</f>
        <v>0</v>
      </c>
      <c r="AS42" s="207">
        <f>IFERROR(INDEX(AN42:AP42,MATCH('Project Info'!$D$14,AN$4:AP$4,0)),AN42)</f>
        <v>0</v>
      </c>
      <c r="AT42" s="117"/>
      <c r="AU42" s="82"/>
      <c r="AV42" s="82"/>
      <c r="AW42" s="82"/>
      <c r="AX42" s="82"/>
      <c r="AY42" s="66">
        <f t="shared" si="7"/>
        <v>0</v>
      </c>
      <c r="AZ42" s="66"/>
      <c r="BA42" s="66"/>
      <c r="BC42" s="26">
        <f>IFERROR(INDEX(AU42:AX42,MATCH('Project Info'!$D$13,AU$4:AX$4,0)),AU42)</f>
        <v>0</v>
      </c>
      <c r="BD42" s="207">
        <f>IFERROR(INDEX(AY42:BA42,MATCH('Project Info'!$D$14,AY$4:BA$4,0)),AY42)</f>
        <v>0</v>
      </c>
      <c r="BF42" s="82"/>
      <c r="BG42" s="82"/>
      <c r="BH42" s="82"/>
      <c r="BI42" s="82"/>
      <c r="BJ42" s="66">
        <f t="shared" ref="BJ42" si="34">BJ20</f>
        <v>0</v>
      </c>
      <c r="BK42" s="66"/>
      <c r="BL42" s="66"/>
      <c r="BN42" s="26">
        <f>IFERROR(INDEX(BF42:BI42,MATCH('Project Info'!$D$13,BF$4:BI$4,0)),BF42)</f>
        <v>0</v>
      </c>
      <c r="BO42" s="207">
        <f>IFERROR(INDEX(BJ42:BL42,MATCH('Project Info'!$D$14,BJ$4:BL$4,0)),BJ42)</f>
        <v>0</v>
      </c>
    </row>
    <row r="43" spans="3:67">
      <c r="N43" s="82">
        <f t="shared" si="5"/>
        <v>0.38</v>
      </c>
      <c r="O43" s="82">
        <f t="shared" si="5"/>
        <v>0.36</v>
      </c>
      <c r="P43" s="82">
        <f t="shared" si="5"/>
        <v>0.35</v>
      </c>
      <c r="Q43" s="82"/>
      <c r="R43" s="66">
        <f t="shared" ref="R43:T43" si="35">R21</f>
        <v>15</v>
      </c>
      <c r="S43" s="66">
        <f t="shared" si="35"/>
        <v>17</v>
      </c>
      <c r="T43" s="66">
        <f t="shared" si="35"/>
        <v>15</v>
      </c>
      <c r="U43" s="117"/>
      <c r="V43" s="26">
        <f>IFERROR(INDEX(N43:Q43,MATCH('Project Info'!$D$13,N$4:Q$4,0)),N43)</f>
        <v>0.38</v>
      </c>
      <c r="W43" s="207">
        <f>IFERROR(INDEX(R43:T43,MATCH('Project Info'!$D$14,R$4:T$4,0)),R43)</f>
        <v>15</v>
      </c>
      <c r="X43" s="117"/>
      <c r="Y43" s="82"/>
      <c r="Z43" s="82"/>
      <c r="AA43" s="82"/>
      <c r="AB43" s="82"/>
      <c r="AC43" s="66"/>
      <c r="AD43" s="66"/>
      <c r="AE43" s="66"/>
      <c r="AF43" s="117"/>
      <c r="AG43" s="26">
        <f>IFERROR(INDEX(Y43:AB43,MATCH('Project Info'!$D$13,Y$4:AB$4,0)),Y43)</f>
        <v>0</v>
      </c>
      <c r="AH43" s="207">
        <f>IFERROR(INDEX(AC43:AE43,MATCH('Project Info'!$D$14,AC$4:AE$4,0)),AC43)</f>
        <v>0</v>
      </c>
      <c r="AJ43" s="82"/>
      <c r="AK43" s="82"/>
      <c r="AL43" s="82"/>
      <c r="AM43" s="82"/>
      <c r="AN43" s="66"/>
      <c r="AO43" s="66"/>
      <c r="AP43" s="66"/>
      <c r="AQ43" s="117"/>
      <c r="AR43" s="26">
        <f>IFERROR(INDEX(AJ43:AM43,MATCH('Project Info'!$D$13,AJ$4:AM$4,0)),AJ43)</f>
        <v>0</v>
      </c>
      <c r="AS43" s="207">
        <f>IFERROR(INDEX(AN43:AP43,MATCH('Project Info'!$D$14,AN$4:AP$4,0)),AN43)</f>
        <v>0</v>
      </c>
      <c r="AT43" s="117"/>
      <c r="AU43" s="82"/>
      <c r="AV43" s="82"/>
      <c r="AW43" s="82"/>
      <c r="AX43" s="82"/>
      <c r="AY43" s="66">
        <f t="shared" si="7"/>
        <v>0</v>
      </c>
      <c r="AZ43" s="66"/>
      <c r="BA43" s="66"/>
      <c r="BC43" s="26">
        <f>IFERROR(INDEX(AU43:AX43,MATCH('Project Info'!$D$13,AU$4:AX$4,0)),AU43)</f>
        <v>0</v>
      </c>
      <c r="BD43" s="207">
        <f>IFERROR(INDEX(AY43:BA43,MATCH('Project Info'!$D$14,AY$4:BA$4,0)),AY43)</f>
        <v>0</v>
      </c>
      <c r="BF43" s="82"/>
      <c r="BG43" s="82"/>
      <c r="BH43" s="82"/>
      <c r="BI43" s="82"/>
      <c r="BJ43" s="66">
        <f t="shared" ref="BJ43" si="36">BJ21</f>
        <v>0</v>
      </c>
      <c r="BK43" s="66"/>
      <c r="BL43" s="66"/>
      <c r="BN43" s="26">
        <f>IFERROR(INDEX(BF43:BI43,MATCH('Project Info'!$D$13,BF$4:BI$4,0)),BF43)</f>
        <v>0</v>
      </c>
      <c r="BO43" s="207">
        <f>IFERROR(INDEX(BJ43:BL43,MATCH('Project Info'!$D$14,BJ$4:BL$4,0)),BJ43)</f>
        <v>0</v>
      </c>
    </row>
    <row r="44" spans="3:67" ht="15.75" customHeight="1">
      <c r="N44" s="82">
        <f t="shared" si="5"/>
        <v>0.42</v>
      </c>
      <c r="O44" s="82">
        <f t="shared" si="5"/>
        <v>0.4</v>
      </c>
      <c r="P44" s="82">
        <f t="shared" si="5"/>
        <v>0.39</v>
      </c>
      <c r="Q44" s="82"/>
      <c r="R44" s="66">
        <f t="shared" ref="R44:T44" si="37">R22</f>
        <v>16</v>
      </c>
      <c r="S44" s="66">
        <f t="shared" si="37"/>
        <v>18</v>
      </c>
      <c r="T44" s="66">
        <f t="shared" si="37"/>
        <v>16</v>
      </c>
      <c r="U44" s="117"/>
      <c r="V44" s="26">
        <f>IFERROR(INDEX(N44:Q44,MATCH('Project Info'!$D$13,N$4:Q$4,0)),N44)</f>
        <v>0.42</v>
      </c>
      <c r="W44" s="207">
        <f>IFERROR(INDEX(R44:T44,MATCH('Project Info'!$D$14,R$4:T$4,0)),R44)</f>
        <v>16</v>
      </c>
      <c r="X44" s="117"/>
      <c r="Y44" s="82"/>
      <c r="Z44" s="82"/>
      <c r="AA44" s="82"/>
      <c r="AB44" s="82"/>
      <c r="AC44" s="66"/>
      <c r="AD44" s="66"/>
      <c r="AE44" s="66"/>
      <c r="AF44" s="117"/>
      <c r="AG44" s="26">
        <f>IFERROR(INDEX(Y44:AB44,MATCH('Project Info'!$D$13,Y$4:AB$4,0)),Y44)</f>
        <v>0</v>
      </c>
      <c r="AH44" s="207">
        <f>IFERROR(INDEX(AC44:AE44,MATCH('Project Info'!$D$14,AC$4:AE$4,0)),AC44)</f>
        <v>0</v>
      </c>
      <c r="AJ44" s="82"/>
      <c r="AK44" s="82"/>
      <c r="AL44" s="82"/>
      <c r="AM44" s="82"/>
      <c r="AN44" s="66"/>
      <c r="AO44" s="66"/>
      <c r="AP44" s="66"/>
      <c r="AQ44" s="117"/>
      <c r="AR44" s="26">
        <f>IFERROR(INDEX(AJ44:AM44,MATCH('Project Info'!$D$13,AJ$4:AM$4,0)),AJ44)</f>
        <v>0</v>
      </c>
      <c r="AS44" s="207">
        <f>IFERROR(INDEX(AN44:AP44,MATCH('Project Info'!$D$14,AN$4:AP$4,0)),AN44)</f>
        <v>0</v>
      </c>
      <c r="AT44" s="117"/>
      <c r="AU44" s="82"/>
      <c r="AV44" s="82"/>
      <c r="AW44" s="82"/>
      <c r="AX44" s="82"/>
      <c r="AY44" s="66">
        <f t="shared" si="7"/>
        <v>0</v>
      </c>
      <c r="AZ44" s="66"/>
      <c r="BA44" s="66"/>
      <c r="BC44" s="26">
        <f>IFERROR(INDEX(AU44:AX44,MATCH('Project Info'!$D$13,AU$4:AX$4,0)),AU44)</f>
        <v>0</v>
      </c>
      <c r="BD44" s="207">
        <f>IFERROR(INDEX(AY44:BA44,MATCH('Project Info'!$D$14,AY$4:BA$4,0)),AY44)</f>
        <v>0</v>
      </c>
      <c r="BF44" s="82"/>
      <c r="BG44" s="82"/>
      <c r="BH44" s="82"/>
      <c r="BI44" s="82"/>
      <c r="BJ44" s="66">
        <f t="shared" ref="BJ44" si="38">BJ22</f>
        <v>0</v>
      </c>
      <c r="BK44" s="66"/>
      <c r="BL44" s="66"/>
      <c r="BN44" s="26">
        <f>IFERROR(INDEX(BF44:BI44,MATCH('Project Info'!$D$13,BF$4:BI$4,0)),BF44)</f>
        <v>0</v>
      </c>
      <c r="BO44" s="207">
        <f>IFERROR(INDEX(BJ44:BL44,MATCH('Project Info'!$D$14,BJ$4:BL$4,0)),BJ44)</f>
        <v>0</v>
      </c>
    </row>
    <row r="45" spans="3:67">
      <c r="N45" s="82">
        <f t="shared" si="5"/>
        <v>0.46</v>
      </c>
      <c r="O45" s="82">
        <f t="shared" si="5"/>
        <v>0.44</v>
      </c>
      <c r="P45" s="82">
        <f t="shared" si="5"/>
        <v>0.43</v>
      </c>
      <c r="Q45" s="82"/>
      <c r="R45" s="66">
        <f t="shared" ref="R45:T45" si="39">R23</f>
        <v>17</v>
      </c>
      <c r="S45" s="66">
        <f t="shared" si="39"/>
        <v>19</v>
      </c>
      <c r="T45" s="66">
        <f t="shared" si="39"/>
        <v>16</v>
      </c>
      <c r="U45" s="117"/>
      <c r="V45" s="26">
        <f>IFERROR(INDEX(N45:Q45,MATCH('Project Info'!$D$13,N$4:Q$4,0)),N45)</f>
        <v>0.46</v>
      </c>
      <c r="W45" s="207">
        <f>IFERROR(INDEX(R45:T45,MATCH('Project Info'!$D$14,R$4:T$4,0)),R45)</f>
        <v>16</v>
      </c>
      <c r="X45" s="117"/>
      <c r="Y45" s="82"/>
      <c r="Z45" s="82"/>
      <c r="AA45" s="82"/>
      <c r="AB45" s="82"/>
      <c r="AC45" s="66"/>
      <c r="AD45" s="66"/>
      <c r="AE45" s="66"/>
      <c r="AF45" s="117"/>
      <c r="AG45" s="26">
        <f>IFERROR(INDEX(Y45:AB45,MATCH('Project Info'!$D$13,Y$4:AB$4,0)),Y45)</f>
        <v>0</v>
      </c>
      <c r="AH45" s="207">
        <f>IFERROR(INDEX(AC45:AE45,MATCH('Project Info'!$D$14,AC$4:AE$4,0)),AC45)</f>
        <v>0</v>
      </c>
      <c r="AJ45" s="66"/>
      <c r="AK45" s="66"/>
      <c r="AL45" s="66"/>
      <c r="AM45" s="66"/>
      <c r="AN45" s="66"/>
      <c r="AO45" s="66"/>
      <c r="AP45" s="66"/>
      <c r="AQ45" s="117"/>
      <c r="AR45" s="26">
        <f>IFERROR(INDEX(AJ45:AM45,MATCH('Project Info'!$D$13,AJ$4:AM$4,0)),AJ45)</f>
        <v>0</v>
      </c>
      <c r="AS45" s="207">
        <f>IFERROR(INDEX(AN45:AP45,MATCH('Project Info'!$D$14,AN$4:AP$4,0)),AN45)</f>
        <v>0</v>
      </c>
      <c r="AT45" s="117"/>
      <c r="AU45" s="82"/>
      <c r="AV45" s="82"/>
      <c r="AW45" s="82"/>
      <c r="AX45" s="82"/>
      <c r="AY45" s="66">
        <f t="shared" si="7"/>
        <v>0</v>
      </c>
      <c r="AZ45" s="66"/>
      <c r="BA45" s="66"/>
      <c r="BC45" s="26">
        <f>IFERROR(INDEX(AU45:AX45,MATCH('Project Info'!$D$13,AU$4:AX$4,0)),AU45)</f>
        <v>0</v>
      </c>
      <c r="BD45" s="207">
        <f>IFERROR(INDEX(AY45:BA45,MATCH('Project Info'!$D$14,AY$4:BA$4,0)),AY45)</f>
        <v>0</v>
      </c>
      <c r="BF45" s="82"/>
      <c r="BG45" s="82"/>
      <c r="BH45" s="82"/>
      <c r="BI45" s="82"/>
      <c r="BJ45" s="66">
        <f t="shared" ref="BJ45" si="40">BJ23</f>
        <v>0</v>
      </c>
      <c r="BK45" s="66"/>
      <c r="BL45" s="66"/>
      <c r="BN45" s="26">
        <f>IFERROR(INDEX(BF45:BI45,MATCH('Project Info'!$D$13,BF$4:BI$4,0)),BF45)</f>
        <v>0</v>
      </c>
      <c r="BO45" s="207">
        <f>IFERROR(INDEX(BJ45:BL45,MATCH('Project Info'!$D$14,BJ$4:BL$4,0)),BJ45)</f>
        <v>0</v>
      </c>
    </row>
    <row r="46" spans="3:67">
      <c r="N46" s="82">
        <f t="shared" si="5"/>
        <v>0.5</v>
      </c>
      <c r="O46" s="82">
        <f t="shared" si="5"/>
        <v>0.48</v>
      </c>
      <c r="P46" s="82">
        <f t="shared" si="5"/>
        <v>0.47</v>
      </c>
      <c r="Q46" s="82"/>
      <c r="R46" s="66">
        <f t="shared" ref="R46:T46" si="41">R24</f>
        <v>18</v>
      </c>
      <c r="S46" s="66">
        <f t="shared" si="41"/>
        <v>20</v>
      </c>
      <c r="T46" s="66">
        <f t="shared" si="41"/>
        <v>16</v>
      </c>
      <c r="U46" s="117"/>
      <c r="V46" s="26">
        <f>IFERROR(INDEX(N46:Q46,MATCH('Project Info'!$D$13,N$4:Q$4,0)),N46)</f>
        <v>0.5</v>
      </c>
      <c r="W46" s="207">
        <f>IFERROR(INDEX(R46:T46,MATCH('Project Info'!$D$14,R$4:T$4,0)),R46)</f>
        <v>16</v>
      </c>
      <c r="X46" s="117"/>
      <c r="Y46" s="82"/>
      <c r="Z46" s="82"/>
      <c r="AA46" s="82"/>
      <c r="AB46" s="82"/>
      <c r="AC46" s="66"/>
      <c r="AD46" s="66"/>
      <c r="AE46" s="66"/>
      <c r="AF46" s="117"/>
      <c r="AG46" s="26">
        <f>IFERROR(INDEX(Y46:AB46,MATCH('Project Info'!$D$13,Y$4:AB$4,0)),Y46)</f>
        <v>0</v>
      </c>
      <c r="AH46" s="207">
        <f>IFERROR(INDEX(AC46:AE46,MATCH('Project Info'!$D$14,AC$4:AE$4,0)),AC46)</f>
        <v>0</v>
      </c>
      <c r="AJ46" s="82"/>
      <c r="AK46" s="82"/>
      <c r="AL46" s="82"/>
      <c r="AM46" s="82"/>
      <c r="AN46" s="66"/>
      <c r="AO46" s="66"/>
      <c r="AP46" s="66"/>
      <c r="AQ46" s="117"/>
      <c r="AR46" s="26">
        <f>IFERROR(INDEX(AJ46:AM46,MATCH('Project Info'!$D$13,AJ$4:AM$4,0)),AJ46)</f>
        <v>0</v>
      </c>
      <c r="AS46" s="207">
        <f>IFERROR(INDEX(AN46:AP46,MATCH('Project Info'!$D$14,AN$4:AP$4,0)),AN46)</f>
        <v>0</v>
      </c>
      <c r="AT46" s="117"/>
      <c r="AU46" s="82"/>
      <c r="AV46" s="82"/>
      <c r="AW46" s="82"/>
      <c r="AX46" s="82"/>
      <c r="AY46" s="66">
        <f t="shared" si="7"/>
        <v>0</v>
      </c>
      <c r="AZ46" s="66"/>
      <c r="BA46" s="66"/>
      <c r="BC46" s="26">
        <f>IFERROR(INDEX(AU46:AX46,MATCH('Project Info'!$D$13,AU$4:AX$4,0)),AU46)</f>
        <v>0</v>
      </c>
      <c r="BD46" s="207">
        <f>IFERROR(INDEX(AY46:BA46,MATCH('Project Info'!$D$14,AY$4:BA$4,0)),AY46)</f>
        <v>0</v>
      </c>
      <c r="BF46" s="82"/>
      <c r="BG46" s="82"/>
      <c r="BH46" s="82"/>
      <c r="BI46" s="82"/>
      <c r="BJ46" s="66">
        <f t="shared" ref="BJ46" si="42">BJ24</f>
        <v>0</v>
      </c>
      <c r="BK46" s="66"/>
      <c r="BL46" s="66"/>
      <c r="BN46" s="26">
        <f>IFERROR(INDEX(BF46:BI46,MATCH('Project Info'!$D$13,BF$4:BI$4,0)),BF46)</f>
        <v>0</v>
      </c>
      <c r="BO46" s="207">
        <f>IFERROR(INDEX(BJ46:BL46,MATCH('Project Info'!$D$14,BJ$4:BL$4,0)),BJ46)</f>
        <v>0</v>
      </c>
    </row>
    <row r="47" spans="3:67">
      <c r="N47" s="82"/>
      <c r="O47" s="82"/>
      <c r="P47" s="82"/>
      <c r="Q47" s="82"/>
      <c r="R47" s="66"/>
      <c r="S47" s="66"/>
      <c r="T47" s="66"/>
      <c r="U47" s="117"/>
      <c r="V47" s="26">
        <f>IFERROR(INDEX(N47:Q47,MATCH('Project Info'!$D$13,N$4:Q$4,0)),N47)</f>
        <v>0</v>
      </c>
      <c r="W47" s="207">
        <f>IFERROR(INDEX(R47:T47,MATCH('Project Info'!$D$14,R$4:T$4,0)),R47)</f>
        <v>0</v>
      </c>
      <c r="X47" s="117"/>
      <c r="Y47" s="82"/>
      <c r="Z47" s="82"/>
      <c r="AA47" s="82"/>
      <c r="AB47" s="82"/>
      <c r="AC47" s="66"/>
      <c r="AD47" s="66"/>
      <c r="AE47" s="66"/>
      <c r="AF47" s="117"/>
      <c r="AG47" s="26">
        <f>IFERROR(INDEX(Y47:AB47,MATCH('Project Info'!$D$13,Y$4:AB$4,0)),Y47)</f>
        <v>0</v>
      </c>
      <c r="AH47" s="207">
        <f>IFERROR(INDEX(AC47:AE47,MATCH('Project Info'!$D$14,AC$4:AE$4,0)),AC47)</f>
        <v>0</v>
      </c>
      <c r="AJ47" s="82"/>
      <c r="AK47" s="82"/>
      <c r="AL47" s="82"/>
      <c r="AM47" s="82"/>
      <c r="AN47" s="66"/>
      <c r="AO47" s="66"/>
      <c r="AP47" s="66"/>
      <c r="AQ47" s="117"/>
      <c r="AR47" s="26">
        <f>IFERROR(INDEX(AJ47:AM47,MATCH('Project Info'!$D$13,AJ$4:AM$4,0)),AJ47)</f>
        <v>0</v>
      </c>
      <c r="AS47" s="207">
        <f>IFERROR(INDEX(AN47:AP47,MATCH('Project Info'!$D$14,AN$4:AP$4,0)),AN47)</f>
        <v>0</v>
      </c>
      <c r="AT47" s="117"/>
      <c r="AU47" s="66"/>
      <c r="AV47" s="66"/>
      <c r="AW47" s="66"/>
      <c r="AX47" s="66"/>
      <c r="AY47" s="66">
        <f t="shared" si="7"/>
        <v>0</v>
      </c>
      <c r="AZ47" s="66"/>
      <c r="BA47" s="66"/>
      <c r="BC47" s="26">
        <f>IFERROR(INDEX(AU47:AX47,MATCH('Project Info'!$D$13,AU$4:AX$4,0)),AU47)</f>
        <v>0</v>
      </c>
      <c r="BD47" s="207">
        <f>IFERROR(INDEX(AY47:BA47,MATCH('Project Info'!$D$14,AY$4:BA$4,0)),AY47)</f>
        <v>0</v>
      </c>
      <c r="BF47" s="66"/>
      <c r="BG47" s="66"/>
      <c r="BH47" s="66"/>
      <c r="BI47" s="66"/>
      <c r="BJ47" s="66">
        <f t="shared" ref="BJ47" si="43">BJ25</f>
        <v>0</v>
      </c>
      <c r="BK47" s="66"/>
      <c r="BL47" s="66"/>
      <c r="BN47" s="26">
        <f>IFERROR(INDEX(BF47:BI47,MATCH('Project Info'!$D$13,BF$4:BI$4,0)),BF47)</f>
        <v>0</v>
      </c>
      <c r="BO47" s="207">
        <f>IFERROR(INDEX(BJ47:BL47,MATCH('Project Info'!$D$14,BJ$4:BL$4,0)),BJ47)</f>
        <v>0</v>
      </c>
    </row>
    <row r="48" spans="3:67">
      <c r="C48" s="118"/>
      <c r="D48" s="118"/>
      <c r="E48" s="117"/>
      <c r="F48" s="117"/>
      <c r="G48" s="117"/>
      <c r="H48" s="117"/>
      <c r="I48" s="117"/>
      <c r="X48" s="117"/>
      <c r="AF48" s="117"/>
      <c r="AG48" s="117"/>
      <c r="AH48" s="117"/>
      <c r="AQ48" s="117"/>
      <c r="AR48" s="117"/>
      <c r="AS48" s="117"/>
      <c r="AT48" s="117"/>
    </row>
    <row r="49" spans="3:67">
      <c r="C49" s="85" t="str">
        <f>'LEED Calc'!D12</f>
        <v>On-Site Renewable Energy</v>
      </c>
      <c r="N49" s="85" t="str">
        <f>'LEED Calc'!E12</f>
        <v>Renewable Energy Production</v>
      </c>
      <c r="X49" s="117"/>
      <c r="Y49" s="85" t="str">
        <f>'LEED Calc'!F12</f>
        <v>Renewable Energy Production</v>
      </c>
      <c r="AF49" s="117"/>
      <c r="AG49" s="117"/>
      <c r="AH49" s="117"/>
      <c r="AJ49" s="85" t="str">
        <f>'LEED Calc'!G12</f>
        <v>Renewable Energy</v>
      </c>
      <c r="AQ49" s="117"/>
      <c r="AR49" s="117"/>
      <c r="AS49" s="117"/>
      <c r="AT49" s="117"/>
      <c r="AU49" s="85" t="str">
        <f>'LEED Calc'!H12</f>
        <v>Renewable Energy</v>
      </c>
      <c r="AV49" s="85"/>
      <c r="BF49" s="85" t="str">
        <f>'LEED Calc'!I12</f>
        <v>Renewable Energy</v>
      </c>
    </row>
    <row r="50" spans="3:67">
      <c r="C50" s="82">
        <v>0</v>
      </c>
      <c r="D50" s="82">
        <v>0</v>
      </c>
      <c r="E50" s="82"/>
      <c r="F50" s="82"/>
      <c r="G50" s="66">
        <v>0</v>
      </c>
      <c r="H50" s="66">
        <v>0</v>
      </c>
      <c r="I50" s="66"/>
      <c r="K50" s="26">
        <f>IFERROR(INDEX(C50:F50,MATCH('Project Info'!$D$13,C$4:F$4,0)),C50)</f>
        <v>0</v>
      </c>
      <c r="L50" s="207">
        <f>IFERROR(INDEX(G50:I50,MATCH('Project Info'!$D$14,G$4:I$4,0)),G50)</f>
        <v>0</v>
      </c>
      <c r="N50" s="82">
        <v>0</v>
      </c>
      <c r="O50" s="82">
        <v>0</v>
      </c>
      <c r="P50" s="82">
        <v>0</v>
      </c>
      <c r="Q50" s="82"/>
      <c r="R50" s="66">
        <v>0</v>
      </c>
      <c r="S50" s="66">
        <v>0</v>
      </c>
      <c r="T50" s="66">
        <v>0</v>
      </c>
      <c r="U50" s="117"/>
      <c r="V50" s="26">
        <f>IFERROR(INDEX(N50:Q50,MATCH('Project Info'!$D$13,N$4:Q$4,0)),N50)</f>
        <v>0</v>
      </c>
      <c r="W50" s="207">
        <f>IFERROR(INDEX(R50:T50,MATCH('Project Info'!$D$14,R$4:T$4,0)),R50)</f>
        <v>0</v>
      </c>
      <c r="X50" s="117"/>
      <c r="Y50" s="82">
        <v>0</v>
      </c>
      <c r="Z50" s="82">
        <v>0</v>
      </c>
      <c r="AA50" s="82">
        <v>0</v>
      </c>
      <c r="AB50" s="82">
        <v>0</v>
      </c>
      <c r="AC50" s="66">
        <v>0</v>
      </c>
      <c r="AD50" s="66">
        <v>0</v>
      </c>
      <c r="AE50" s="66">
        <v>0</v>
      </c>
      <c r="AF50" s="117"/>
      <c r="AG50" s="26">
        <f>IFERROR(INDEX(Y50:AB50,MATCH('Project Info'!$D$13,Y$4:AB$4,0)),Y50)</f>
        <v>0</v>
      </c>
      <c r="AH50" s="207">
        <f>IFERROR(INDEX(AC50:AE50,MATCH('Project Info'!$D$14,AC$4:AE$4,0)),AC50)</f>
        <v>0</v>
      </c>
      <c r="AJ50" s="82">
        <v>0</v>
      </c>
      <c r="AK50" s="82">
        <v>0</v>
      </c>
      <c r="AL50" s="82"/>
      <c r="AM50" s="82"/>
      <c r="AN50" s="66">
        <v>0</v>
      </c>
      <c r="AO50" s="66">
        <v>0</v>
      </c>
      <c r="AP50" s="66">
        <v>0</v>
      </c>
      <c r="AQ50" s="117"/>
      <c r="AR50" s="26">
        <f>IFERROR(INDEX(AJ50:AM50,MATCH('Project Info'!$D$13,AJ$4:AM$4,0)),AJ50)</f>
        <v>0</v>
      </c>
      <c r="AS50" s="207">
        <f>IFERROR(INDEX(AN50:AP50,MATCH('Project Info'!$D$14,AN$4:AP$4,0)),AN50)</f>
        <v>0</v>
      </c>
      <c r="AT50" s="117"/>
      <c r="AU50" s="82">
        <v>0</v>
      </c>
      <c r="AV50" s="82"/>
      <c r="AW50" s="82">
        <v>0</v>
      </c>
      <c r="AX50" s="82"/>
      <c r="AY50" s="66">
        <v>0</v>
      </c>
      <c r="AZ50" s="66">
        <v>0</v>
      </c>
      <c r="BA50" s="66">
        <v>0</v>
      </c>
      <c r="BC50" s="26">
        <f>IFERROR(INDEX(AU50:AX50,MATCH('Project Info'!$D$13,AU$4:AX$4,0)),AU50)</f>
        <v>0</v>
      </c>
      <c r="BD50" s="207">
        <f>IFERROR(INDEX(AY50:BA50,MATCH('Project Info'!$D$14,AY$4:BA$4,0)),AY50)</f>
        <v>0</v>
      </c>
      <c r="BN50" s="26">
        <f>IFERROR(INDEX(BF50:BI50,MATCH('Project Info'!$D$13,BF$4:BI$4,0)),BF50)</f>
        <v>0</v>
      </c>
      <c r="BO50" s="207">
        <f>IFERROR(INDEX(BJ50:BL50,MATCH('Project Info'!$D$14,BJ$4:BL$4,0)),BJ50)</f>
        <v>0</v>
      </c>
    </row>
    <row r="51" spans="3:67">
      <c r="C51" s="82">
        <v>0.01</v>
      </c>
      <c r="D51" s="82">
        <v>0.01</v>
      </c>
      <c r="E51" s="82"/>
      <c r="F51" s="82"/>
      <c r="G51" s="66">
        <v>1</v>
      </c>
      <c r="H51" s="66">
        <v>1</v>
      </c>
      <c r="I51" s="66"/>
      <c r="K51" s="26">
        <f>IFERROR(INDEX(C51:F51,MATCH('Project Info'!$D$13,C$4:F$4,0)),C51)</f>
        <v>0.01</v>
      </c>
      <c r="L51" s="207">
        <f>IFERROR(INDEX(G51:I51,MATCH('Project Info'!$D$14,G$4:I$4,0)),G51)</f>
        <v>1</v>
      </c>
      <c r="N51" s="82">
        <v>0.01</v>
      </c>
      <c r="O51" s="82">
        <v>0.01</v>
      </c>
      <c r="P51" s="82">
        <v>0.01</v>
      </c>
      <c r="Q51" s="82"/>
      <c r="R51" s="66">
        <v>1</v>
      </c>
      <c r="S51" s="66">
        <v>1</v>
      </c>
      <c r="T51" s="66">
        <v>1</v>
      </c>
      <c r="U51" s="117"/>
      <c r="V51" s="26">
        <f>IFERROR(INDEX(N51:Q51,MATCH('Project Info'!$D$13,N$4:Q$4,0)),N51)</f>
        <v>0.01</v>
      </c>
      <c r="W51" s="207">
        <f>IFERROR(INDEX(R51:T51,MATCH('Project Info'!$D$14,R$4:T$4,0)),R51)</f>
        <v>1</v>
      </c>
      <c r="Y51" s="82">
        <v>0.01</v>
      </c>
      <c r="Z51" s="82">
        <v>0.01</v>
      </c>
      <c r="AA51" s="82">
        <v>0.01</v>
      </c>
      <c r="AB51" s="82">
        <v>0.01</v>
      </c>
      <c r="AC51" s="66">
        <v>1</v>
      </c>
      <c r="AD51" s="66">
        <v>1</v>
      </c>
      <c r="AE51" s="66">
        <v>1</v>
      </c>
      <c r="AG51" s="26">
        <f>IFERROR(INDEX(Y51:AB51,MATCH('Project Info'!$D$13,Y$4:AB$4,0)),Y51)</f>
        <v>0.01</v>
      </c>
      <c r="AH51" s="207">
        <f>IFERROR(INDEX(AC51:AE51,MATCH('Project Info'!$D$14,AC$4:AE$4,0)),AC51)</f>
        <v>1</v>
      </c>
      <c r="AJ51" s="82">
        <v>0.02</v>
      </c>
      <c r="AK51" s="82">
        <v>0.02</v>
      </c>
      <c r="AL51" s="82"/>
      <c r="AM51" s="82"/>
      <c r="AN51" s="66">
        <v>1</v>
      </c>
      <c r="AO51" s="66">
        <v>1</v>
      </c>
      <c r="AP51" s="66">
        <v>1</v>
      </c>
      <c r="AR51" s="26">
        <f>IFERROR(INDEX(AJ51:AM51,MATCH('Project Info'!$D$13,AJ$4:AM$4,0)),AJ51)</f>
        <v>0.02</v>
      </c>
      <c r="AS51" s="207">
        <f>IFERROR(INDEX(AN51:AP51,MATCH('Project Info'!$D$14,AN$4:AP$4,0)),AN51)</f>
        <v>1</v>
      </c>
      <c r="AU51" s="82">
        <v>0.05</v>
      </c>
      <c r="AV51" s="82"/>
      <c r="AW51" s="82">
        <v>0.15</v>
      </c>
      <c r="AX51" s="82"/>
      <c r="AY51" s="66">
        <v>1</v>
      </c>
      <c r="AZ51" s="66">
        <v>1</v>
      </c>
      <c r="BA51" s="66">
        <v>1</v>
      </c>
      <c r="BC51" s="26">
        <f>IFERROR(INDEX(AU51:AX51,MATCH('Project Info'!$D$13,AU$4:AX$4,0)),AU51)</f>
        <v>0.05</v>
      </c>
      <c r="BD51" s="207">
        <f>IFERROR(INDEX(AY51:BA51,MATCH('Project Info'!$D$14,AY$4:BA$4,0)),AY51)</f>
        <v>1</v>
      </c>
      <c r="BN51" s="26">
        <f>IFERROR(INDEX(BF51:BI51,MATCH('Project Info'!$D$13,BF$4:BI$4,0)),BF51)</f>
        <v>0</v>
      </c>
      <c r="BO51" s="207">
        <f>IFERROR(INDEX(BJ51:BL51,MATCH('Project Info'!$D$14,BJ$4:BL$4,0)),BJ51)</f>
        <v>0</v>
      </c>
    </row>
    <row r="52" spans="3:67">
      <c r="C52" s="82">
        <v>0.03</v>
      </c>
      <c r="D52" s="82">
        <v>0.03</v>
      </c>
      <c r="E52" s="82"/>
      <c r="F52" s="82"/>
      <c r="G52" s="66">
        <v>2</v>
      </c>
      <c r="H52" s="66" t="s">
        <v>210</v>
      </c>
      <c r="I52" s="66"/>
      <c r="K52" s="26">
        <f>IFERROR(INDEX(C52:F52,MATCH('Project Info'!$D$13,C$4:F$4,0)),C52)</f>
        <v>0.03</v>
      </c>
      <c r="L52" s="207">
        <f>IFERROR(INDEX(G52:I52,MATCH('Project Info'!$D$14,G$4:I$4,0)),G52)</f>
        <v>2</v>
      </c>
      <c r="N52" s="82">
        <v>0.05</v>
      </c>
      <c r="O52" s="82">
        <v>0.05</v>
      </c>
      <c r="P52" s="82">
        <v>0.03</v>
      </c>
      <c r="Q52" s="82"/>
      <c r="R52" s="66">
        <v>2</v>
      </c>
      <c r="S52" s="66">
        <v>2</v>
      </c>
      <c r="T52" s="66">
        <v>2</v>
      </c>
      <c r="U52" s="117"/>
      <c r="V52" s="26">
        <f>IFERROR(INDEX(N52:Q52,MATCH('Project Info'!$D$13,N$4:Q$4,0)),N52)</f>
        <v>0.05</v>
      </c>
      <c r="W52" s="207">
        <f>IFERROR(INDEX(R52:T52,MATCH('Project Info'!$D$14,R$4:T$4,0)),R52)</f>
        <v>2</v>
      </c>
      <c r="Y52" s="82">
        <v>0.05</v>
      </c>
      <c r="Z52" s="82">
        <v>0.05</v>
      </c>
      <c r="AA52" s="82">
        <v>0.03</v>
      </c>
      <c r="AB52" s="82">
        <v>0.03</v>
      </c>
      <c r="AC52" s="66">
        <v>2</v>
      </c>
      <c r="AD52" s="66">
        <v>2</v>
      </c>
      <c r="AE52" s="66">
        <v>2</v>
      </c>
      <c r="AG52" s="26">
        <f>IFERROR(INDEX(Y52:AB52,MATCH('Project Info'!$D$13,Y$4:AB$4,0)),Y52)</f>
        <v>0.05</v>
      </c>
      <c r="AH52" s="207">
        <f>IFERROR(INDEX(AC52:AE52,MATCH('Project Info'!$D$14,AC$4:AE$4,0)),AC52)</f>
        <v>2</v>
      </c>
      <c r="AJ52" s="82">
        <v>0.05</v>
      </c>
      <c r="AK52" s="82">
        <v>0.05</v>
      </c>
      <c r="AL52" s="82"/>
      <c r="AM52" s="82"/>
      <c r="AN52" s="66">
        <v>2</v>
      </c>
      <c r="AO52" s="66">
        <v>2</v>
      </c>
      <c r="AP52" s="66">
        <v>2</v>
      </c>
      <c r="AR52" s="26">
        <f>IFERROR(INDEX(AJ52:AM52,MATCH('Project Info'!$D$13,AJ$4:AM$4,0)),AJ52)</f>
        <v>0.05</v>
      </c>
      <c r="AS52" s="207">
        <f>IFERROR(INDEX(AN52:AP52,MATCH('Project Info'!$D$14,AN$4:AP$4,0)),AN52)</f>
        <v>2</v>
      </c>
      <c r="AU52" s="82">
        <v>0.1</v>
      </c>
      <c r="AV52" s="82"/>
      <c r="AW52" s="82">
        <v>0.3</v>
      </c>
      <c r="AX52" s="82"/>
      <c r="AY52" s="66">
        <v>2</v>
      </c>
      <c r="AZ52" s="66">
        <v>2</v>
      </c>
      <c r="BA52" s="66">
        <v>2</v>
      </c>
      <c r="BC52" s="26">
        <f>IFERROR(INDEX(AU52:AX52,MATCH('Project Info'!$D$13,AU$4:AX$4,0)),AU52)</f>
        <v>0.1</v>
      </c>
      <c r="BD52" s="207">
        <f>IFERROR(INDEX(AY52:BA52,MATCH('Project Info'!$D$14,AY$4:BA$4,0)),AY52)</f>
        <v>2</v>
      </c>
      <c r="BN52" s="26">
        <f>IFERROR(INDEX(BF52:BI52,MATCH('Project Info'!$D$13,BF$4:BI$4,0)),BF52)</f>
        <v>0</v>
      </c>
      <c r="BO52" s="207">
        <f>IFERROR(INDEX(BJ52:BL52,MATCH('Project Info'!$D$14,BJ$4:BL$4,0)),BJ52)</f>
        <v>0</v>
      </c>
    </row>
    <row r="53" spans="3:67">
      <c r="C53" s="82">
        <v>0.05</v>
      </c>
      <c r="D53" s="82">
        <v>0.05</v>
      </c>
      <c r="E53" s="82"/>
      <c r="F53" s="82"/>
      <c r="G53" s="66">
        <v>3</v>
      </c>
      <c r="H53" s="66" t="s">
        <v>210</v>
      </c>
      <c r="I53" s="66"/>
      <c r="K53" s="26">
        <f>IFERROR(INDEX(C53:F53,MATCH('Project Info'!$D$13,C$4:F$4,0)),C53)</f>
        <v>0.05</v>
      </c>
      <c r="L53" s="207">
        <f>IFERROR(INDEX(G53:I53,MATCH('Project Info'!$D$14,G$4:I$4,0)),G53)</f>
        <v>3</v>
      </c>
      <c r="N53" s="82">
        <v>0.1</v>
      </c>
      <c r="O53" s="82">
        <v>0.1</v>
      </c>
      <c r="P53" s="82">
        <v>0.05</v>
      </c>
      <c r="Q53" s="82"/>
      <c r="R53" s="66">
        <v>3</v>
      </c>
      <c r="S53" s="66">
        <v>3</v>
      </c>
      <c r="T53" s="66">
        <v>3</v>
      </c>
      <c r="U53" s="117"/>
      <c r="V53" s="26">
        <f>IFERROR(INDEX(N53:Q53,MATCH('Project Info'!$D$13,N$4:Q$4,0)),N53)</f>
        <v>0.1</v>
      </c>
      <c r="W53" s="207">
        <f>IFERROR(INDEX(R53:T53,MATCH('Project Info'!$D$14,R$4:T$4,0)),R53)</f>
        <v>3</v>
      </c>
      <c r="Y53" s="82">
        <v>0.1</v>
      </c>
      <c r="Z53" s="82">
        <v>0.1</v>
      </c>
      <c r="AA53" s="82">
        <v>0.05</v>
      </c>
      <c r="AB53" s="82">
        <v>0.05</v>
      </c>
      <c r="AC53" s="66">
        <v>3</v>
      </c>
      <c r="AD53" s="66">
        <v>3</v>
      </c>
      <c r="AE53" s="66">
        <v>3</v>
      </c>
      <c r="AG53" s="26">
        <f>IFERROR(INDEX(Y53:AB53,MATCH('Project Info'!$D$13,Y$4:AB$4,0)),Y53)</f>
        <v>0.1</v>
      </c>
      <c r="AH53" s="207">
        <f>IFERROR(INDEX(AC53:AE53,MATCH('Project Info'!$D$14,AC$4:AE$4,0)),AC53)</f>
        <v>3</v>
      </c>
      <c r="AJ53" s="82">
        <v>0.1</v>
      </c>
      <c r="AK53" s="82">
        <v>0.1</v>
      </c>
      <c r="AL53" s="82"/>
      <c r="AM53" s="82"/>
      <c r="AN53" s="66">
        <v>3</v>
      </c>
      <c r="AO53" s="66">
        <v>3</v>
      </c>
      <c r="AP53" s="66">
        <v>3</v>
      </c>
      <c r="AR53" s="26">
        <f>IFERROR(INDEX(AJ53:AM53,MATCH('Project Info'!$D$13,AJ$4:AM$4,0)),AJ53)</f>
        <v>0.1</v>
      </c>
      <c r="AS53" s="207">
        <f>IFERROR(INDEX(AN53:AP53,MATCH('Project Info'!$D$14,AN$4:AP$4,0)),AN53)</f>
        <v>3</v>
      </c>
      <c r="AU53" s="82">
        <v>0.2</v>
      </c>
      <c r="AV53" s="82"/>
      <c r="AW53" s="82">
        <v>0.65</v>
      </c>
      <c r="AX53" s="82"/>
      <c r="AY53" s="66">
        <v>3</v>
      </c>
      <c r="AZ53" s="66">
        <v>3</v>
      </c>
      <c r="BA53" s="66">
        <v>3</v>
      </c>
      <c r="BC53" s="26">
        <f>IFERROR(INDEX(AU53:AX53,MATCH('Project Info'!$D$13,AU$4:AX$4,0)),AU53)</f>
        <v>0.2</v>
      </c>
      <c r="BD53" s="207">
        <f>IFERROR(INDEX(AY53:BA53,MATCH('Project Info'!$D$14,AY$4:BA$4,0)),AY53)</f>
        <v>3</v>
      </c>
      <c r="BN53" s="26">
        <f>IFERROR(INDEX(BF53:BI53,MATCH('Project Info'!$D$13,BF$4:BI$4,0)),BF53)</f>
        <v>0</v>
      </c>
      <c r="BO53" s="207">
        <f>IFERROR(INDEX(BJ53:BL53,MATCH('Project Info'!$D$14,BJ$4:BL$4,0)),BJ53)</f>
        <v>0</v>
      </c>
    </row>
    <row r="54" spans="3:67">
      <c r="C54" s="82">
        <v>7.0000000000000007E-2</v>
      </c>
      <c r="D54" s="82">
        <v>7.0000000000000007E-2</v>
      </c>
      <c r="E54" s="82"/>
      <c r="F54" s="82"/>
      <c r="G54" s="66">
        <v>4</v>
      </c>
      <c r="H54" s="66" t="s">
        <v>210</v>
      </c>
      <c r="I54" s="66"/>
      <c r="K54" s="26">
        <f>IFERROR(INDEX(C54:F54,MATCH('Project Info'!$D$13,C$4:F$4,0)),C54)</f>
        <v>7.0000000000000007E-2</v>
      </c>
      <c r="L54" s="207">
        <f>IFERROR(INDEX(G54:I54,MATCH('Project Info'!$D$14,G$4:I$4,0)),G54)</f>
        <v>4</v>
      </c>
      <c r="N54" s="82">
        <v>0.15</v>
      </c>
      <c r="O54" s="82">
        <v>0.15</v>
      </c>
      <c r="P54" s="82">
        <v>0.1</v>
      </c>
      <c r="Q54" s="82"/>
      <c r="R54" s="66" t="s">
        <v>355</v>
      </c>
      <c r="S54" s="66" t="s">
        <v>355</v>
      </c>
      <c r="T54" s="66" t="s">
        <v>355</v>
      </c>
      <c r="U54" s="117"/>
      <c r="V54" s="26">
        <f>IFERROR(INDEX(N54:Q54,MATCH('Project Info'!$D$13,N$4:Q$4,0)),N54)</f>
        <v>0.15</v>
      </c>
      <c r="W54" s="207" t="str">
        <f>IFERROR(INDEX(R54:T54,MATCH('Project Info'!$D$14,R$4:T$4,0)),R54)</f>
        <v>3 + 1 EP</v>
      </c>
      <c r="Y54" s="82">
        <v>0.15</v>
      </c>
      <c r="Z54" s="82">
        <v>0.15</v>
      </c>
      <c r="AA54" s="82">
        <v>0.1</v>
      </c>
      <c r="AB54" s="82">
        <v>0.1</v>
      </c>
      <c r="AC54" s="66" t="s">
        <v>355</v>
      </c>
      <c r="AD54" s="66" t="s">
        <v>355</v>
      </c>
      <c r="AE54" s="66" t="s">
        <v>355</v>
      </c>
      <c r="AG54" s="26">
        <f>IFERROR(INDEX(Y54:AB54,MATCH('Project Info'!$D$13,Y$4:AB$4,0)),Y54)</f>
        <v>0.15</v>
      </c>
      <c r="AH54" s="207" t="str">
        <f>IFERROR(INDEX(AC54:AE54,MATCH('Project Info'!$D$14,AC$4:AE$4,0)),AC54)</f>
        <v>3 + 1 EP</v>
      </c>
      <c r="AJ54" s="82">
        <v>0.15</v>
      </c>
      <c r="AK54" s="82">
        <v>0.15</v>
      </c>
      <c r="AL54" s="82"/>
      <c r="AM54" s="82"/>
      <c r="AN54" s="66">
        <v>4</v>
      </c>
      <c r="AO54" s="66">
        <v>4</v>
      </c>
      <c r="AP54" s="66">
        <v>4</v>
      </c>
      <c r="AR54" s="26">
        <f>IFERROR(INDEX(AJ54:AM54,MATCH('Project Info'!$D$13,AJ$4:AM$4,0)),AJ54)</f>
        <v>0.15</v>
      </c>
      <c r="AS54" s="207">
        <f>IFERROR(INDEX(AN54:AP54,MATCH('Project Info'!$D$14,AN$4:AP$4,0)),AN54)</f>
        <v>4</v>
      </c>
      <c r="AU54" s="82">
        <v>0.35</v>
      </c>
      <c r="AV54" s="82"/>
      <c r="AW54" s="82"/>
      <c r="AX54" s="82"/>
      <c r="AY54" s="66">
        <v>4</v>
      </c>
      <c r="AZ54" s="66">
        <v>4</v>
      </c>
      <c r="BA54" s="66">
        <v>4</v>
      </c>
      <c r="BC54" s="26">
        <f>IFERROR(INDEX(AU54:AX54,MATCH('Project Info'!$D$13,AU$4:AX$4,0)),AU54)</f>
        <v>0.35</v>
      </c>
      <c r="BD54" s="207">
        <f>IFERROR(INDEX(AY54:BA54,MATCH('Project Info'!$D$14,AY$4:BA$4,0)),AY54)</f>
        <v>4</v>
      </c>
      <c r="BN54" s="26">
        <f>IFERROR(INDEX(BF54:BI54,MATCH('Project Info'!$D$13,BF$4:BI$4,0)),BF54)</f>
        <v>0</v>
      </c>
      <c r="BO54" s="207">
        <f>IFERROR(INDEX(BJ54:BL54,MATCH('Project Info'!$D$14,BJ$4:BL$4,0)),BJ54)</f>
        <v>0</v>
      </c>
    </row>
    <row r="55" spans="3:67">
      <c r="C55" s="82">
        <v>0.09</v>
      </c>
      <c r="D55" s="82">
        <v>0.09</v>
      </c>
      <c r="E55" s="82"/>
      <c r="F55" s="82"/>
      <c r="G55" s="66">
        <v>5</v>
      </c>
      <c r="H55" s="66" t="s">
        <v>210</v>
      </c>
      <c r="I55" s="66"/>
      <c r="K55" s="26">
        <f>IFERROR(INDEX(C55:F55,MATCH('Project Info'!$D$13,C$4:F$4,0)),C55)</f>
        <v>0.09</v>
      </c>
      <c r="L55" s="207">
        <f>IFERROR(INDEX(G55:I55,MATCH('Project Info'!$D$14,G$4:I$4,0)),G55)</f>
        <v>5</v>
      </c>
      <c r="N55" s="82">
        <v>1</v>
      </c>
      <c r="O55" s="82">
        <v>1</v>
      </c>
      <c r="P55" s="82">
        <v>1</v>
      </c>
      <c r="Q55" s="82"/>
      <c r="R55" s="66" t="s">
        <v>355</v>
      </c>
      <c r="S55" s="66" t="s">
        <v>355</v>
      </c>
      <c r="T55" s="66" t="s">
        <v>355</v>
      </c>
      <c r="U55" s="117"/>
      <c r="V55" s="26">
        <f>IFERROR(INDEX(N55:Q55,MATCH('Project Info'!$D$13,N$4:Q$4,0)),N55)</f>
        <v>1</v>
      </c>
      <c r="W55" s="207" t="str">
        <f>IFERROR(INDEX(R55:T55,MATCH('Project Info'!$D$14,R$4:T$4,0)),R55)</f>
        <v>3 + 1 EP</v>
      </c>
      <c r="Y55" s="82">
        <v>1</v>
      </c>
      <c r="Z55" s="82">
        <v>1</v>
      </c>
      <c r="AA55" s="82">
        <v>1</v>
      </c>
      <c r="AB55" s="82">
        <v>1</v>
      </c>
      <c r="AC55" s="66" t="s">
        <v>355</v>
      </c>
      <c r="AD55" s="66" t="s">
        <v>355</v>
      </c>
      <c r="AE55" s="66" t="s">
        <v>355</v>
      </c>
      <c r="AG55" s="26">
        <f>IFERROR(INDEX(Y55:AB55,MATCH('Project Info'!$D$13,Y$4:AB$4,0)),Y55)</f>
        <v>1</v>
      </c>
      <c r="AH55" s="207" t="str">
        <f>IFERROR(INDEX(AC55:AE55,MATCH('Project Info'!$D$14,AC$4:AE$4,0)),AC55)</f>
        <v>3 + 1 EP</v>
      </c>
      <c r="AJ55" s="82">
        <v>0.2</v>
      </c>
      <c r="AK55" s="82">
        <v>0.2</v>
      </c>
      <c r="AL55" s="82"/>
      <c r="AM55" s="82"/>
      <c r="AN55" s="66">
        <v>5</v>
      </c>
      <c r="AO55" s="66">
        <v>5</v>
      </c>
      <c r="AP55" s="66">
        <v>5</v>
      </c>
      <c r="AR55" s="26">
        <f>IFERROR(INDEX(AJ55:AM55,MATCH('Project Info'!$D$13,AJ$4:AM$4,0)),AJ55)</f>
        <v>0.2</v>
      </c>
      <c r="AS55" s="207">
        <f>IFERROR(INDEX(AN55:AP55,MATCH('Project Info'!$D$14,AN$4:AP$4,0)),AN55)</f>
        <v>5</v>
      </c>
      <c r="AU55" s="82">
        <v>1</v>
      </c>
      <c r="AV55" s="82"/>
      <c r="AW55" s="82"/>
      <c r="AX55" s="82"/>
      <c r="AY55" s="66">
        <v>5</v>
      </c>
      <c r="AZ55" s="66">
        <v>5</v>
      </c>
      <c r="BA55" s="66">
        <v>5</v>
      </c>
      <c r="BC55" s="26">
        <f>IFERROR(INDEX(AU55:AX55,MATCH('Project Info'!$D$13,AU$4:AX$4,0)),AU55)</f>
        <v>1</v>
      </c>
      <c r="BD55" s="207">
        <f>IFERROR(INDEX(AY55:BA55,MATCH('Project Info'!$D$14,AY$4:BA$4,0)),AY55)</f>
        <v>5</v>
      </c>
      <c r="BN55" s="26">
        <f>IFERROR(INDEX(BF55:BI55,MATCH('Project Info'!$D$13,BF$4:BI$4,0)),BF55)</f>
        <v>0</v>
      </c>
      <c r="BO55" s="207">
        <f>IFERROR(INDEX(BJ55:BL55,MATCH('Project Info'!$D$14,BJ$4:BL$4,0)),BJ55)</f>
        <v>0</v>
      </c>
    </row>
    <row r="56" spans="3:67">
      <c r="C56" s="82">
        <v>0.11</v>
      </c>
      <c r="D56" s="82">
        <v>0.11</v>
      </c>
      <c r="E56" s="82"/>
      <c r="F56" s="82"/>
      <c r="G56" s="66">
        <v>6</v>
      </c>
      <c r="H56" s="66" t="s">
        <v>210</v>
      </c>
      <c r="I56" s="66"/>
      <c r="K56" s="26">
        <f>IFERROR(INDEX(C56:F56,MATCH('Project Info'!$D$13,C$4:F$4,0)),C56)</f>
        <v>0.11</v>
      </c>
      <c r="L56" s="207">
        <f>IFERROR(INDEX(G56:I56,MATCH('Project Info'!$D$14,G$4:I$4,0)),G56)</f>
        <v>6</v>
      </c>
      <c r="N56" s="82"/>
      <c r="O56" s="82"/>
      <c r="P56" s="82"/>
      <c r="Q56" s="82"/>
      <c r="R56" s="66"/>
      <c r="S56" s="66"/>
      <c r="T56" s="66"/>
      <c r="U56" s="117"/>
      <c r="V56" s="26">
        <f>IFERROR(INDEX(N56:Q56,MATCH('Project Info'!$D$13,N$4:Q$4,0)),N56)</f>
        <v>0</v>
      </c>
      <c r="W56" s="207">
        <f>IFERROR(INDEX(R56:T56,MATCH('Project Info'!$D$14,R$4:T$4,0)),R56)</f>
        <v>0</v>
      </c>
      <c r="Y56" s="82"/>
      <c r="Z56" s="82"/>
      <c r="AA56" s="82"/>
      <c r="AB56" s="82"/>
      <c r="AC56" s="66"/>
      <c r="AD56" s="66"/>
      <c r="AE56" s="66"/>
      <c r="AG56" s="26">
        <f>IFERROR(INDEX(Y56:AB56,MATCH('Project Info'!$D$13,Y$4:AB$4,0)),Y56)</f>
        <v>0</v>
      </c>
      <c r="AH56" s="207">
        <f>IFERROR(INDEX(AC56:AE56,MATCH('Project Info'!$D$14,AC$4:AE$4,0)),AC56)</f>
        <v>0</v>
      </c>
      <c r="AJ56" s="82">
        <v>0.25</v>
      </c>
      <c r="AK56" s="82">
        <v>0.25</v>
      </c>
      <c r="AL56" s="82"/>
      <c r="AM56" s="82"/>
      <c r="AN56" s="66" t="s">
        <v>356</v>
      </c>
      <c r="AO56" s="66" t="s">
        <v>356</v>
      </c>
      <c r="AP56" s="66" t="s">
        <v>356</v>
      </c>
      <c r="AR56" s="26">
        <f>IFERROR(INDEX(AJ56:AM56,MATCH('Project Info'!$D$13,AJ$4:AM$4,0)),AJ56)</f>
        <v>0.25</v>
      </c>
      <c r="AS56" s="207" t="str">
        <f>IFERROR(INDEX(AN56:AP56,MATCH('Project Info'!$D$14,AN$4:AP$4,0)),AN56)</f>
        <v>5 + 1 EP</v>
      </c>
      <c r="AU56" s="82"/>
      <c r="AV56" s="82"/>
      <c r="AW56" s="82"/>
      <c r="AX56" s="82"/>
      <c r="AY56" s="66"/>
      <c r="AZ56" s="66" t="s">
        <v>356</v>
      </c>
      <c r="BA56" s="66" t="s">
        <v>356</v>
      </c>
      <c r="BC56" s="26">
        <f>IFERROR(INDEX(AU56:AX56,MATCH('Project Info'!$D$13,AU$4:AX$4,0)),AU56)</f>
        <v>0</v>
      </c>
      <c r="BD56" s="207">
        <f>IFERROR(INDEX(AY56:BA56,MATCH('Project Info'!$D$14,AY$4:BA$4,0)),AY56)</f>
        <v>0</v>
      </c>
      <c r="BN56" s="26">
        <f>IFERROR(INDEX(BF56:BI56,MATCH('Project Info'!$D$13,BF$4:BI$4,0)),BF56)</f>
        <v>0</v>
      </c>
      <c r="BO56" s="207">
        <f>IFERROR(INDEX(BJ56:BL56,MATCH('Project Info'!$D$14,BJ$4:BL$4,0)),BJ56)</f>
        <v>0</v>
      </c>
    </row>
    <row r="57" spans="3:67">
      <c r="C57" s="82">
        <v>0.13</v>
      </c>
      <c r="D57" s="82">
        <v>0.13</v>
      </c>
      <c r="E57" s="82"/>
      <c r="F57" s="82"/>
      <c r="G57" s="66">
        <v>7</v>
      </c>
      <c r="H57" s="66" t="s">
        <v>210</v>
      </c>
      <c r="I57" s="66"/>
      <c r="K57" s="26">
        <f>IFERROR(INDEX(C57:F57,MATCH('Project Info'!$D$13,C$4:F$4,0)),C57)</f>
        <v>0.13</v>
      </c>
      <c r="L57" s="207">
        <f>IFERROR(INDEX(G57:I57,MATCH('Project Info'!$D$14,G$4:I$4,0)),G57)</f>
        <v>7</v>
      </c>
      <c r="N57" s="82"/>
      <c r="O57" s="82"/>
      <c r="P57" s="82"/>
      <c r="Q57" s="82"/>
      <c r="R57" s="66"/>
      <c r="S57" s="66"/>
      <c r="T57" s="66"/>
      <c r="U57" s="117"/>
      <c r="V57" s="26">
        <f>IFERROR(INDEX(N57:Q57,MATCH('Project Info'!$D$13,N$4:Q$4,0)),N57)</f>
        <v>0</v>
      </c>
      <c r="W57" s="207">
        <f>IFERROR(INDEX(R57:T57,MATCH('Project Info'!$D$14,R$4:T$4,0)),R57)</f>
        <v>0</v>
      </c>
      <c r="Y57" s="82"/>
      <c r="Z57" s="82"/>
      <c r="AA57" s="82"/>
      <c r="AB57" s="82"/>
      <c r="AC57" s="66"/>
      <c r="AD57" s="66"/>
      <c r="AE57" s="66"/>
      <c r="AG57" s="26">
        <f>IFERROR(INDEX(Y57:AB57,MATCH('Project Info'!$D$13,Y$4:AB$4,0)),Y57)</f>
        <v>0</v>
      </c>
      <c r="AH57" s="207">
        <f>IFERROR(INDEX(AC57:AE57,MATCH('Project Info'!$D$14,AC$4:AE$4,0)),AC57)</f>
        <v>0</v>
      </c>
      <c r="AJ57" s="82">
        <v>1</v>
      </c>
      <c r="AK57" s="82">
        <v>1</v>
      </c>
      <c r="AL57" s="82"/>
      <c r="AM57" s="82"/>
      <c r="AN57" s="66" t="s">
        <v>356</v>
      </c>
      <c r="AO57" s="66" t="s">
        <v>356</v>
      </c>
      <c r="AP57" s="66" t="s">
        <v>356</v>
      </c>
      <c r="AR57" s="26">
        <f>IFERROR(INDEX(AJ57:AM57,MATCH('Project Info'!$D$13,AJ$4:AM$4,0)),AJ57)</f>
        <v>1</v>
      </c>
      <c r="AS57" s="207" t="str">
        <f>IFERROR(INDEX(AN57:AP57,MATCH('Project Info'!$D$14,AN$4:AP$4,0)),AN57)</f>
        <v>5 + 1 EP</v>
      </c>
      <c r="AU57" s="82"/>
      <c r="AV57" s="82"/>
      <c r="AW57" s="82"/>
      <c r="AX57" s="82"/>
      <c r="AY57" s="66"/>
      <c r="AZ57" s="66" t="s">
        <v>356</v>
      </c>
      <c r="BA57" s="66" t="s">
        <v>356</v>
      </c>
      <c r="BC57" s="26">
        <f>IFERROR(INDEX(AU57:AX57,MATCH('Project Info'!$D$13,AU$4:AX$4,0)),AU57)</f>
        <v>0</v>
      </c>
      <c r="BD57" s="207">
        <f>IFERROR(INDEX(AY57:BA57,MATCH('Project Info'!$D$14,AY$4:BA$4,0)),AY57)</f>
        <v>0</v>
      </c>
      <c r="BN57" s="26">
        <f>IFERROR(INDEX(BF57:BI57,MATCH('Project Info'!$D$13,BF$4:BI$4,0)),BF57)</f>
        <v>0</v>
      </c>
      <c r="BO57" s="207">
        <f>IFERROR(INDEX(BJ57:BL57,MATCH('Project Info'!$D$14,BJ$4:BL$4,0)),BJ57)</f>
        <v>0</v>
      </c>
    </row>
    <row r="58" spans="3:67">
      <c r="C58" s="82">
        <v>0.15</v>
      </c>
      <c r="D58" s="82">
        <v>0.15</v>
      </c>
      <c r="E58" s="82"/>
      <c r="F58" s="82"/>
      <c r="G58" s="66" t="s">
        <v>357</v>
      </c>
      <c r="H58" s="66" t="s">
        <v>210</v>
      </c>
      <c r="I58" s="66"/>
      <c r="K58" s="26">
        <f>IFERROR(INDEX(C58:F58,MATCH('Project Info'!$D$13,C$4:F$4,0)),C58)</f>
        <v>0.15</v>
      </c>
      <c r="L58" s="207" t="str">
        <f>IFERROR(INDEX(G58:I58,MATCH('Project Info'!$D$14,G$4:I$4,0)),G58)</f>
        <v>7 + 1 EP</v>
      </c>
      <c r="N58" s="82"/>
      <c r="O58" s="82"/>
      <c r="P58" s="82"/>
      <c r="Q58" s="82"/>
      <c r="R58" s="66"/>
      <c r="S58" s="66"/>
      <c r="T58" s="66"/>
      <c r="U58" s="117"/>
      <c r="V58" s="26">
        <f>IFERROR(INDEX(N58:Q58,MATCH('Project Info'!$D$13,N$4:Q$4,0)),N58)</f>
        <v>0</v>
      </c>
      <c r="W58" s="207">
        <f>IFERROR(INDEX(R58:T58,MATCH('Project Info'!$D$14,R$4:T$4,0)),R58)</f>
        <v>0</v>
      </c>
      <c r="Y58" s="82"/>
      <c r="Z58" s="82"/>
      <c r="AA58" s="82"/>
      <c r="AB58" s="82"/>
      <c r="AC58" s="66"/>
      <c r="AD58" s="66"/>
      <c r="AE58" s="66"/>
      <c r="AG58" s="26">
        <f>IFERROR(INDEX(Y58:AB58,MATCH('Project Info'!$D$13,Y$4:AB$4,0)),Y58)</f>
        <v>0</v>
      </c>
      <c r="AH58" s="207">
        <f>IFERROR(INDEX(AC58:AE58,MATCH('Project Info'!$D$14,AC$4:AE$4,0)),AC58)</f>
        <v>0</v>
      </c>
      <c r="AJ58" s="82"/>
      <c r="AK58" s="82"/>
      <c r="AL58" s="82"/>
      <c r="AM58" s="82"/>
      <c r="AN58" s="66"/>
      <c r="AO58" s="66"/>
      <c r="AP58" s="66"/>
      <c r="AR58" s="26">
        <f>IFERROR(INDEX(AJ58:AM58,MATCH('Project Info'!$D$13,AJ$4:AM$4,0)),AJ58)</f>
        <v>0</v>
      </c>
      <c r="AS58" s="207">
        <f>IFERROR(INDEX(AN58:AP58,MATCH('Project Info'!$D$14,AN$4:AP$4,0)),AN58)</f>
        <v>0</v>
      </c>
      <c r="AU58" s="82"/>
      <c r="AV58" s="82"/>
      <c r="AW58" s="82"/>
      <c r="AX58" s="82"/>
      <c r="AY58" s="66"/>
      <c r="AZ58" s="66"/>
      <c r="BA58" s="66"/>
      <c r="BC58" s="26">
        <f>IFERROR(INDEX(AU58:AX58,MATCH('Project Info'!$D$13,AU$4:AX$4,0)),AU58)</f>
        <v>0</v>
      </c>
      <c r="BD58" s="207">
        <f>IFERROR(INDEX(AY58:BA58,MATCH('Project Info'!$D$14,AY$4:BA$4,0)),AY58)</f>
        <v>0</v>
      </c>
      <c r="BN58" s="26">
        <f>IFERROR(INDEX(BF58:BI58,MATCH('Project Info'!$D$13,BF$4:BI$4,0)),BF58)</f>
        <v>0</v>
      </c>
      <c r="BO58" s="207">
        <f>IFERROR(INDEX(BJ58:BL58,MATCH('Project Info'!$D$14,BJ$4:BL$4,0)),BJ58)</f>
        <v>0</v>
      </c>
    </row>
    <row r="59" spans="3:67">
      <c r="C59" s="82"/>
      <c r="D59" s="82"/>
      <c r="E59" s="66"/>
      <c r="F59" s="66"/>
      <c r="G59" s="66"/>
      <c r="H59" s="66"/>
      <c r="I59" s="66"/>
      <c r="K59" s="26">
        <f>IFERROR(INDEX(C59:F59,MATCH('Project Info'!$D$13,C$4:F$4,0)),C59)</f>
        <v>0</v>
      </c>
      <c r="L59" s="207">
        <f>IFERROR(INDEX(G59:I59,MATCH('Project Info'!$D$14,G$4:I$4,0)),G59)</f>
        <v>0</v>
      </c>
      <c r="N59" s="82"/>
      <c r="O59" s="82"/>
      <c r="P59" s="82"/>
      <c r="Q59" s="82"/>
      <c r="R59" s="66"/>
      <c r="S59" s="66"/>
      <c r="T59" s="66"/>
      <c r="V59" s="26">
        <f>IFERROR(INDEX(N59:Q59,MATCH('Project Info'!$D$13,N$4:Q$4,0)),N59)</f>
        <v>0</v>
      </c>
      <c r="W59" s="207">
        <f>IFERROR(INDEX(R59:T59,MATCH('Project Info'!$D$14,R$4:T$4,0)),R59)</f>
        <v>0</v>
      </c>
      <c r="Y59" s="82"/>
      <c r="Z59" s="82"/>
      <c r="AA59" s="82"/>
      <c r="AB59" s="82"/>
      <c r="AC59" s="66"/>
      <c r="AD59" s="66"/>
      <c r="AE59" s="66"/>
      <c r="AG59" s="26">
        <f>IFERROR(INDEX(Y59:AB59,MATCH('Project Info'!$D$13,Y$4:AB$4,0)),Y59)</f>
        <v>0</v>
      </c>
      <c r="AH59" s="207">
        <f>IFERROR(INDEX(AC59:AE59,MATCH('Project Info'!$D$14,AC$4:AE$4,0)),AC59)</f>
        <v>0</v>
      </c>
      <c r="AJ59" s="82"/>
      <c r="AK59" s="82"/>
      <c r="AL59" s="82"/>
      <c r="AM59" s="82"/>
      <c r="AN59" s="66"/>
      <c r="AO59" s="66"/>
      <c r="AP59" s="66"/>
      <c r="AR59" s="26">
        <f>IFERROR(INDEX(AJ59:AM59,MATCH('Project Info'!$D$13,AJ$4:AM$4,0)),AJ59)</f>
        <v>0</v>
      </c>
      <c r="AS59" s="207">
        <f>IFERROR(INDEX(AN59:AP59,MATCH('Project Info'!$D$14,AN$4:AP$4,0)),AN59)</f>
        <v>0</v>
      </c>
      <c r="AU59" s="82"/>
      <c r="AV59" s="82"/>
      <c r="AW59" s="82"/>
      <c r="AX59" s="82"/>
      <c r="AY59" s="66"/>
      <c r="AZ59" s="66"/>
      <c r="BA59" s="66"/>
      <c r="BC59" s="26">
        <f>IFERROR(INDEX(AU59:AX59,MATCH('Project Info'!$D$13,AU$4:AX$4,0)),AU59)</f>
        <v>0</v>
      </c>
      <c r="BD59" s="207">
        <f>IFERROR(INDEX(AY59:BA59,MATCH('Project Info'!$D$14,AY$4:BA$4,0)),AY59)</f>
        <v>0</v>
      </c>
      <c r="BN59" s="26">
        <f>IFERROR(INDEX(BF59:BI59,MATCH('Project Info'!$D$13,BF$4:BI$4,0)),BF59)</f>
        <v>0</v>
      </c>
      <c r="BO59" s="207">
        <f>IFERROR(INDEX(BJ59:BL59,MATCH('Project Info'!$D$14,BJ$4:BL$4,0)),BJ59)</f>
        <v>0</v>
      </c>
    </row>
    <row r="60" spans="3:67">
      <c r="C60" s="82"/>
      <c r="D60" s="82"/>
      <c r="E60" s="66"/>
      <c r="F60" s="66"/>
      <c r="G60" s="66"/>
      <c r="H60" s="66"/>
      <c r="I60" s="66"/>
      <c r="K60" s="26">
        <f>IFERROR(INDEX(C60:F60,MATCH('Project Info'!$D$13,C$4:F$4,0)),C60)</f>
        <v>0</v>
      </c>
      <c r="L60" s="207">
        <f>IFERROR(INDEX(G60:I60,MATCH('Project Info'!$D$14,G$4:I$4,0)),G60)</f>
        <v>0</v>
      </c>
      <c r="N60" s="82"/>
      <c r="O60" s="82"/>
      <c r="P60" s="82"/>
      <c r="Q60" s="82"/>
      <c r="R60" s="66"/>
      <c r="S60" s="66"/>
      <c r="T60" s="66"/>
      <c r="V60" s="26">
        <f>IFERROR(INDEX(N60:Q60,MATCH('Project Info'!$D$13,N$4:Q$4,0)),N60)</f>
        <v>0</v>
      </c>
      <c r="W60" s="207">
        <f>IFERROR(INDEX(R60:T60,MATCH('Project Info'!$D$14,R$4:T$4,0)),R60)</f>
        <v>0</v>
      </c>
      <c r="Y60" s="82"/>
      <c r="Z60" s="82"/>
      <c r="AA60" s="82"/>
      <c r="AB60" s="82"/>
      <c r="AC60" s="66"/>
      <c r="AD60" s="66"/>
      <c r="AE60" s="66"/>
      <c r="AG60" s="26">
        <f>IFERROR(INDEX(Y60:AB60,MATCH('Project Info'!$D$13,Y$4:AB$4,0)),Y60)</f>
        <v>0</v>
      </c>
      <c r="AH60" s="207">
        <f>IFERROR(INDEX(AC60:AE60,MATCH('Project Info'!$D$14,AC$4:AE$4,0)),AC60)</f>
        <v>0</v>
      </c>
      <c r="AJ60" s="82"/>
      <c r="AK60" s="82"/>
      <c r="AL60" s="82"/>
      <c r="AM60" s="82"/>
      <c r="AN60" s="66"/>
      <c r="AO60" s="66"/>
      <c r="AP60" s="66"/>
      <c r="AR60" s="26">
        <f>IFERROR(INDEX(AJ60:AM60,MATCH('Project Info'!$D$13,AJ$4:AM$4,0)),AJ60)</f>
        <v>0</v>
      </c>
      <c r="AS60" s="207">
        <f>IFERROR(INDEX(AN60:AP60,MATCH('Project Info'!$D$14,AN$4:AP$4,0)),AN60)</f>
        <v>0</v>
      </c>
      <c r="AU60" s="82"/>
      <c r="AV60" s="82"/>
      <c r="AW60" s="82"/>
      <c r="AX60" s="82"/>
      <c r="AY60" s="66"/>
      <c r="AZ60" s="66"/>
      <c r="BA60" s="66"/>
      <c r="BC60" s="26">
        <f>IFERROR(INDEX(AU60:AX60,MATCH('Project Info'!$D$13,AU$4:AX$4,0)),AU60)</f>
        <v>0</v>
      </c>
      <c r="BD60" s="207">
        <f>IFERROR(INDEX(AY60:BA60,MATCH('Project Info'!$D$14,AY$4:BA$4,0)),AY60)</f>
        <v>0</v>
      </c>
      <c r="BN60" s="26">
        <f>IFERROR(INDEX(BF60:BI60,MATCH('Project Info'!$D$13,BF$4:BI$4,0)),BF60)</f>
        <v>0</v>
      </c>
      <c r="BO60" s="207">
        <f>IFERROR(INDEX(BJ60:BL60,MATCH('Project Info'!$D$14,BJ$4:BL$4,0)),BJ60)</f>
        <v>0</v>
      </c>
    </row>
    <row r="61" spans="3:67">
      <c r="C61" s="82"/>
      <c r="D61" s="82"/>
      <c r="E61" s="66"/>
      <c r="F61" s="66"/>
      <c r="G61" s="66"/>
      <c r="H61" s="66"/>
      <c r="I61" s="66"/>
      <c r="K61" s="26">
        <f>IFERROR(INDEX(C61:F61,MATCH('Project Info'!$D$13,C$4:F$4,0)),C61)</f>
        <v>0</v>
      </c>
      <c r="L61" s="207">
        <f>IFERROR(INDEX(G61:I61,MATCH('Project Info'!$D$14,G$4:I$4,0)),G61)</f>
        <v>0</v>
      </c>
      <c r="N61" s="82"/>
      <c r="O61" s="82"/>
      <c r="P61" s="82"/>
      <c r="Q61" s="82"/>
      <c r="R61" s="66"/>
      <c r="S61" s="66"/>
      <c r="T61" s="66"/>
      <c r="V61" s="26">
        <f>IFERROR(INDEX(N61:Q61,MATCH('Project Info'!$D$13,N$4:Q$4,0)),N61)</f>
        <v>0</v>
      </c>
      <c r="W61" s="207">
        <f>IFERROR(INDEX(R61:T61,MATCH('Project Info'!$D$14,R$4:T$4,0)),R61)</f>
        <v>0</v>
      </c>
      <c r="Y61" s="82"/>
      <c r="Z61" s="82"/>
      <c r="AA61" s="82"/>
      <c r="AB61" s="82"/>
      <c r="AC61" s="66"/>
      <c r="AD61" s="66"/>
      <c r="AE61" s="66"/>
      <c r="AG61" s="26">
        <f>IFERROR(INDEX(Y61:AB61,MATCH('Project Info'!$D$13,Y$4:AB$4,0)),Y61)</f>
        <v>0</v>
      </c>
      <c r="AH61" s="207">
        <f>IFERROR(INDEX(AC61:AE61,MATCH('Project Info'!$D$14,AC$4:AE$4,0)),AC61)</f>
        <v>0</v>
      </c>
      <c r="AJ61" s="82"/>
      <c r="AK61" s="82"/>
      <c r="AL61" s="82"/>
      <c r="AM61" s="82"/>
      <c r="AN61" s="66"/>
      <c r="AO61" s="66"/>
      <c r="AP61" s="66"/>
      <c r="AR61" s="26">
        <f>IFERROR(INDEX(AJ61:AM61,MATCH('Project Info'!$D$13,AJ$4:AM$4,0)),AJ61)</f>
        <v>0</v>
      </c>
      <c r="AS61" s="207">
        <f>IFERROR(INDEX(AN61:AP61,MATCH('Project Info'!$D$14,AN$4:AP$4,0)),AN61)</f>
        <v>0</v>
      </c>
      <c r="AU61" s="82"/>
      <c r="AV61" s="82"/>
      <c r="AW61" s="82"/>
      <c r="AX61" s="82"/>
      <c r="AY61" s="66"/>
      <c r="AZ61" s="66"/>
      <c r="BA61" s="66"/>
      <c r="BC61" s="26">
        <f>IFERROR(INDEX(AU61:AX61,MATCH('Project Info'!$D$13,AU$4:AX$4,0)),AU61)</f>
        <v>0</v>
      </c>
      <c r="BD61" s="207">
        <f>IFERROR(INDEX(AY61:BA61,MATCH('Project Info'!$D$14,AY$4:BA$4,0)),AY61)</f>
        <v>0</v>
      </c>
      <c r="BN61" s="26">
        <f>IFERROR(INDEX(BF61:BI61,MATCH('Project Info'!$D$13,BF$4:BI$4,0)),BF61)</f>
        <v>0</v>
      </c>
      <c r="BO61" s="207">
        <f>IFERROR(INDEX(BJ61:BL61,MATCH('Project Info'!$D$14,BJ$4:BL$4,0)),BJ61)</f>
        <v>0</v>
      </c>
    </row>
    <row r="62" spans="3:67">
      <c r="C62" s="82"/>
      <c r="D62" s="82"/>
      <c r="E62" s="66"/>
      <c r="F62" s="66"/>
      <c r="G62" s="66"/>
      <c r="H62" s="66"/>
      <c r="I62" s="66"/>
      <c r="K62" s="26">
        <f>IFERROR(INDEX(C62:F62,MATCH('Project Info'!$D$13,C$4:F$4,0)),C62)</f>
        <v>0</v>
      </c>
      <c r="L62" s="207">
        <f>IFERROR(INDEX(G62:I62,MATCH('Project Info'!$D$14,G$4:I$4,0)),G62)</f>
        <v>0</v>
      </c>
      <c r="N62" s="82"/>
      <c r="O62" s="82"/>
      <c r="P62" s="82"/>
      <c r="Q62" s="82"/>
      <c r="R62" s="66"/>
      <c r="S62" s="66"/>
      <c r="T62" s="66"/>
      <c r="V62" s="26">
        <f>IFERROR(INDEX(N62:Q62,MATCH('Project Info'!$D$13,N$4:Q$4,0)),N62)</f>
        <v>0</v>
      </c>
      <c r="W62" s="207">
        <f>IFERROR(INDEX(R62:T62,MATCH('Project Info'!$D$14,R$4:T$4,0)),R62)</f>
        <v>0</v>
      </c>
      <c r="Y62" s="82"/>
      <c r="Z62" s="82"/>
      <c r="AA62" s="82"/>
      <c r="AB62" s="82"/>
      <c r="AC62" s="66"/>
      <c r="AD62" s="66"/>
      <c r="AE62" s="66"/>
      <c r="AG62" s="26">
        <f>IFERROR(INDEX(Y62:AB62,MATCH('Project Info'!$D$13,Y$4:AB$4,0)),Y62)</f>
        <v>0</v>
      </c>
      <c r="AH62" s="207">
        <f>IFERROR(INDEX(AC62:AE62,MATCH('Project Info'!$D$14,AC$4:AE$4,0)),AC62)</f>
        <v>0</v>
      </c>
      <c r="AJ62" s="82"/>
      <c r="AK62" s="82"/>
      <c r="AL62" s="82"/>
      <c r="AM62" s="82"/>
      <c r="AN62" s="66"/>
      <c r="AO62" s="66"/>
      <c r="AP62" s="66"/>
      <c r="AR62" s="26">
        <f>IFERROR(INDEX(AJ62:AM62,MATCH('Project Info'!$D$13,AJ$4:AM$4,0)),AJ62)</f>
        <v>0</v>
      </c>
      <c r="AS62" s="207">
        <f>IFERROR(INDEX(AN62:AP62,MATCH('Project Info'!$D$14,AN$4:AP$4,0)),AN62)</f>
        <v>0</v>
      </c>
      <c r="AU62" s="82"/>
      <c r="AV62" s="82"/>
      <c r="AW62" s="82"/>
      <c r="AX62" s="82"/>
      <c r="AY62" s="66"/>
      <c r="AZ62" s="66"/>
      <c r="BA62" s="66"/>
      <c r="BC62" s="26">
        <f>IFERROR(INDEX(AU62:AX62,MATCH('Project Info'!$D$13,AU$4:AX$4,0)),AU62)</f>
        <v>0</v>
      </c>
      <c r="BD62" s="207">
        <f>IFERROR(INDEX(AY62:BA62,MATCH('Project Info'!$D$14,AY$4:BA$4,0)),AY62)</f>
        <v>0</v>
      </c>
      <c r="BN62" s="26">
        <f>IFERROR(INDEX(BF62:BI62,MATCH('Project Info'!$D$13,BF$4:BI$4,0)),BF62)</f>
        <v>0</v>
      </c>
      <c r="BO62" s="207">
        <f>IFERROR(INDEX(BJ62:BL62,MATCH('Project Info'!$D$14,BJ$4:BL$4,0)),BJ62)</f>
        <v>0</v>
      </c>
    </row>
    <row r="63" spans="3:67">
      <c r="C63" s="82"/>
      <c r="D63" s="82"/>
      <c r="E63" s="66"/>
      <c r="F63" s="66"/>
      <c r="G63" s="66"/>
      <c r="H63" s="66"/>
      <c r="I63" s="66"/>
      <c r="K63" s="26">
        <f>IFERROR(INDEX(C63:F63,MATCH('Project Info'!$D$13,C$4:F$4,0)),C63)</f>
        <v>0</v>
      </c>
      <c r="L63" s="207">
        <f>IFERROR(INDEX(G63:I63,MATCH('Project Info'!$D$14,G$4:I$4,0)),G63)</f>
        <v>0</v>
      </c>
      <c r="N63" s="82"/>
      <c r="O63" s="82"/>
      <c r="P63" s="82"/>
      <c r="Q63" s="82"/>
      <c r="R63" s="66"/>
      <c r="S63" s="66"/>
      <c r="T63" s="66"/>
      <c r="V63" s="26">
        <f>IFERROR(INDEX(N63:Q63,MATCH('Project Info'!$D$13,N$4:Q$4,0)),N63)</f>
        <v>0</v>
      </c>
      <c r="W63" s="207">
        <f>IFERROR(INDEX(R63:T63,MATCH('Project Info'!$D$14,R$4:T$4,0)),R63)</f>
        <v>0</v>
      </c>
      <c r="Y63" s="82"/>
      <c r="Z63" s="82"/>
      <c r="AA63" s="82"/>
      <c r="AB63" s="82"/>
      <c r="AC63" s="66"/>
      <c r="AD63" s="66"/>
      <c r="AE63" s="66"/>
      <c r="AG63" s="26">
        <f>IFERROR(INDEX(Y63:AB63,MATCH('Project Info'!$D$13,Y$4:AB$4,0)),Y63)</f>
        <v>0</v>
      </c>
      <c r="AH63" s="207">
        <f>IFERROR(INDEX(AC63:AE63,MATCH('Project Info'!$D$14,AC$4:AE$4,0)),AC63)</f>
        <v>0</v>
      </c>
      <c r="AJ63" s="82"/>
      <c r="AK63" s="82"/>
      <c r="AL63" s="82"/>
      <c r="AM63" s="82"/>
      <c r="AN63" s="66"/>
      <c r="AO63" s="66"/>
      <c r="AP63" s="66"/>
      <c r="AR63" s="26">
        <f>IFERROR(INDEX(AJ63:AM63,MATCH('Project Info'!$D$13,AJ$4:AM$4,0)),AJ63)</f>
        <v>0</v>
      </c>
      <c r="AS63" s="207">
        <f>IFERROR(INDEX(AN63:AP63,MATCH('Project Info'!$D$14,AN$4:AP$4,0)),AN63)</f>
        <v>0</v>
      </c>
      <c r="AU63" s="82"/>
      <c r="AV63" s="82"/>
      <c r="AW63" s="82"/>
      <c r="AX63" s="82"/>
      <c r="AY63" s="66"/>
      <c r="AZ63" s="66"/>
      <c r="BA63" s="66"/>
      <c r="BC63" s="26">
        <f>IFERROR(INDEX(AU63:AX63,MATCH('Project Info'!$D$13,AU$4:AX$4,0)),AU63)</f>
        <v>0</v>
      </c>
      <c r="BD63" s="207">
        <f>IFERROR(INDEX(AY63:BA63,MATCH('Project Info'!$D$14,AY$4:BA$4,0)),AY63)</f>
        <v>0</v>
      </c>
      <c r="BN63" s="26">
        <f>IFERROR(INDEX(BF63:BI63,MATCH('Project Info'!$D$13,BF$4:BI$4,0)),BF63)</f>
        <v>0</v>
      </c>
      <c r="BO63" s="207">
        <f>IFERROR(INDEX(BJ63:BL63,MATCH('Project Info'!$D$14,BJ$4:BL$4,0)),BJ63)</f>
        <v>0</v>
      </c>
    </row>
    <row r="64" spans="3:67">
      <c r="C64" s="82"/>
      <c r="D64" s="82"/>
      <c r="E64" s="66"/>
      <c r="F64" s="66"/>
      <c r="G64" s="66"/>
      <c r="H64" s="66"/>
      <c r="I64" s="66"/>
      <c r="K64" s="26">
        <f>IFERROR(INDEX(C64:F64,MATCH('Project Info'!$D$13,C$4:F$4,0)),C64)</f>
        <v>0</v>
      </c>
      <c r="L64" s="207">
        <f>IFERROR(INDEX(G64:I64,MATCH('Project Info'!$D$14,G$4:I$4,0)),G64)</f>
        <v>0</v>
      </c>
      <c r="N64" s="82"/>
      <c r="O64" s="82"/>
      <c r="P64" s="82"/>
      <c r="Q64" s="82"/>
      <c r="R64" s="66"/>
      <c r="S64" s="66"/>
      <c r="T64" s="66"/>
      <c r="V64" s="26">
        <f>IFERROR(INDEX(N64:Q64,MATCH('Project Info'!$D$13,N$4:Q$4,0)),N64)</f>
        <v>0</v>
      </c>
      <c r="W64" s="207">
        <f>IFERROR(INDEX(R64:T64,MATCH('Project Info'!$D$14,R$4:T$4,0)),R64)</f>
        <v>0</v>
      </c>
      <c r="Y64" s="82"/>
      <c r="Z64" s="82"/>
      <c r="AA64" s="82"/>
      <c r="AB64" s="82"/>
      <c r="AC64" s="66"/>
      <c r="AD64" s="66"/>
      <c r="AE64" s="66"/>
      <c r="AG64" s="26">
        <f>IFERROR(INDEX(Y64:AB64,MATCH('Project Info'!$D$13,Y$4:AB$4,0)),Y64)</f>
        <v>0</v>
      </c>
      <c r="AH64" s="207">
        <f>IFERROR(INDEX(AC64:AE64,MATCH('Project Info'!$D$14,AC$4:AE$4,0)),AC64)</f>
        <v>0</v>
      </c>
      <c r="AJ64" s="82"/>
      <c r="AK64" s="82"/>
      <c r="AL64" s="82"/>
      <c r="AM64" s="82"/>
      <c r="AN64" s="66"/>
      <c r="AO64" s="66"/>
      <c r="AP64" s="66"/>
      <c r="AR64" s="26">
        <f>IFERROR(INDEX(AJ64:AM64,MATCH('Project Info'!$D$13,AJ$4:AM$4,0)),AJ64)</f>
        <v>0</v>
      </c>
      <c r="AS64" s="207">
        <f>IFERROR(INDEX(AN64:AP64,MATCH('Project Info'!$D$14,AN$4:AP$4,0)),AN64)</f>
        <v>0</v>
      </c>
      <c r="AU64" s="82"/>
      <c r="AV64" s="82"/>
      <c r="AW64" s="82"/>
      <c r="AX64" s="82"/>
      <c r="AY64" s="66"/>
      <c r="AZ64" s="66"/>
      <c r="BA64" s="66"/>
      <c r="BC64" s="26">
        <f>IFERROR(INDEX(AU64:AX64,MATCH('Project Info'!$D$13,AU$4:AX$4,0)),AU64)</f>
        <v>0</v>
      </c>
      <c r="BD64" s="207">
        <f>IFERROR(INDEX(AY64:BA64,MATCH('Project Info'!$D$14,AY$4:BA$4,0)),AY64)</f>
        <v>0</v>
      </c>
      <c r="BN64" s="26">
        <f>IFERROR(INDEX(BF64:BI64,MATCH('Project Info'!$D$13,BF$4:BI$4,0)),BF64)</f>
        <v>0</v>
      </c>
      <c r="BO64" s="207">
        <f>IFERROR(INDEX(BJ64:BL64,MATCH('Project Info'!$D$14,BJ$4:BL$4,0)),BJ64)</f>
        <v>0</v>
      </c>
    </row>
    <row r="65" spans="3:67">
      <c r="C65" s="82"/>
      <c r="D65" s="82"/>
      <c r="E65" s="66"/>
      <c r="F65" s="66"/>
      <c r="G65" s="66"/>
      <c r="H65" s="66"/>
      <c r="I65" s="66"/>
      <c r="K65" s="26">
        <f>IFERROR(INDEX(C65:F65,MATCH('Project Info'!$D$13,C$4:F$4,0)),C65)</f>
        <v>0</v>
      </c>
      <c r="L65" s="207">
        <f>IFERROR(INDEX(G65:I65,MATCH('Project Info'!$D$14,G$4:I$4,0)),G65)</f>
        <v>0</v>
      </c>
      <c r="N65" s="82"/>
      <c r="O65" s="82"/>
      <c r="P65" s="82"/>
      <c r="Q65" s="82"/>
      <c r="R65" s="66"/>
      <c r="S65" s="66"/>
      <c r="T65" s="66"/>
      <c r="V65" s="26">
        <f>IFERROR(INDEX(N65:Q65,MATCH('Project Info'!$D$13,N$4:Q$4,0)),N65)</f>
        <v>0</v>
      </c>
      <c r="W65" s="207">
        <f>IFERROR(INDEX(R65:T65,MATCH('Project Info'!$D$14,R$4:T$4,0)),R65)</f>
        <v>0</v>
      </c>
      <c r="Y65" s="82"/>
      <c r="Z65" s="82"/>
      <c r="AA65" s="82"/>
      <c r="AB65" s="82"/>
      <c r="AC65" s="66"/>
      <c r="AD65" s="66"/>
      <c r="AE65" s="66"/>
      <c r="AG65" s="26">
        <f>IFERROR(INDEX(Y65:AB65,MATCH('Project Info'!$D$13,Y$4:AB$4,0)),Y65)</f>
        <v>0</v>
      </c>
      <c r="AH65" s="207">
        <f>IFERROR(INDEX(AC65:AE65,MATCH('Project Info'!$D$14,AC$4:AE$4,0)),AC65)</f>
        <v>0</v>
      </c>
      <c r="AJ65" s="82"/>
      <c r="AK65" s="82"/>
      <c r="AL65" s="82"/>
      <c r="AM65" s="82"/>
      <c r="AN65" s="66"/>
      <c r="AO65" s="66"/>
      <c r="AP65" s="66"/>
      <c r="AR65" s="26">
        <f>IFERROR(INDEX(AJ65:AM65,MATCH('Project Info'!$D$13,AJ$4:AM$4,0)),AJ65)</f>
        <v>0</v>
      </c>
      <c r="AS65" s="207">
        <f>IFERROR(INDEX(AN65:AP65,MATCH('Project Info'!$D$14,AN$4:AP$4,0)),AN65)</f>
        <v>0</v>
      </c>
      <c r="AU65" s="82"/>
      <c r="AV65" s="82"/>
      <c r="AW65" s="82"/>
      <c r="AX65" s="82"/>
      <c r="AY65" s="66"/>
      <c r="AZ65" s="66"/>
      <c r="BA65" s="66"/>
      <c r="BC65" s="26">
        <f>IFERROR(INDEX(AU65:AX65,MATCH('Project Info'!$D$13,AU$4:AX$4,0)),AU65)</f>
        <v>0</v>
      </c>
      <c r="BD65" s="207">
        <f>IFERROR(INDEX(AY65:BA65,MATCH('Project Info'!$D$14,AY$4:BA$4,0)),AY65)</f>
        <v>0</v>
      </c>
      <c r="BN65" s="26">
        <f>IFERROR(INDEX(BF65:BI65,MATCH('Project Info'!$D$13,BF$4:BI$4,0)),BF65)</f>
        <v>0</v>
      </c>
      <c r="BO65" s="207">
        <f>IFERROR(INDEX(BJ65:BL65,MATCH('Project Info'!$D$14,BJ$4:BL$4,0)),BJ65)</f>
        <v>0</v>
      </c>
    </row>
    <row r="66" spans="3:67">
      <c r="C66" s="82"/>
      <c r="D66" s="82"/>
      <c r="E66" s="66"/>
      <c r="F66" s="66"/>
      <c r="G66" s="66"/>
      <c r="H66" s="66"/>
      <c r="I66" s="66"/>
      <c r="K66" s="26">
        <f>IFERROR(INDEX(C66:F66,MATCH('Project Info'!$D$13,C$4:F$4,0)),C66)</f>
        <v>0</v>
      </c>
      <c r="L66" s="207">
        <f>IFERROR(INDEX(G66:I66,MATCH('Project Info'!$D$14,G$4:I$4,0)),G66)</f>
        <v>0</v>
      </c>
      <c r="N66" s="82"/>
      <c r="O66" s="82"/>
      <c r="P66" s="82"/>
      <c r="Q66" s="82"/>
      <c r="R66" s="66"/>
      <c r="S66" s="66"/>
      <c r="T66" s="66"/>
      <c r="V66" s="26">
        <f>IFERROR(INDEX(N66:Q66,MATCH('Project Info'!$D$13,N$4:Q$4,0)),N66)</f>
        <v>0</v>
      </c>
      <c r="W66" s="207">
        <f>IFERROR(INDEX(R66:T66,MATCH('Project Info'!$D$14,R$4:T$4,0)),R66)</f>
        <v>0</v>
      </c>
      <c r="Y66" s="82"/>
      <c r="Z66" s="82"/>
      <c r="AA66" s="82"/>
      <c r="AB66" s="82"/>
      <c r="AC66" s="66"/>
      <c r="AD66" s="66"/>
      <c r="AE66" s="66"/>
      <c r="AG66" s="26">
        <f>IFERROR(INDEX(Y66:AB66,MATCH('Project Info'!$D$13,Y$4:AB$4,0)),Y66)</f>
        <v>0</v>
      </c>
      <c r="AH66" s="207">
        <f>IFERROR(INDEX(AC66:AE66,MATCH('Project Info'!$D$14,AC$4:AE$4,0)),AC66)</f>
        <v>0</v>
      </c>
      <c r="AJ66" s="82"/>
      <c r="AK66" s="82"/>
      <c r="AL66" s="82"/>
      <c r="AM66" s="82"/>
      <c r="AN66" s="66"/>
      <c r="AO66" s="66"/>
      <c r="AP66" s="66"/>
      <c r="AR66" s="26">
        <f>IFERROR(INDEX(AJ66:AM66,MATCH('Project Info'!$D$13,AJ$4:AM$4,0)),AJ66)</f>
        <v>0</v>
      </c>
      <c r="AS66" s="207">
        <f>IFERROR(INDEX(AN66:AP66,MATCH('Project Info'!$D$14,AN$4:AP$4,0)),AN66)</f>
        <v>0</v>
      </c>
      <c r="AU66" s="82"/>
      <c r="AV66" s="82"/>
      <c r="AW66" s="82"/>
      <c r="AX66" s="82"/>
      <c r="AY66" s="66"/>
      <c r="AZ66" s="66"/>
      <c r="BA66" s="66"/>
      <c r="BC66" s="26">
        <f>IFERROR(INDEX(AU66:AX66,MATCH('Project Info'!$D$13,AU$4:AX$4,0)),AU66)</f>
        <v>0</v>
      </c>
      <c r="BD66" s="207">
        <f>IFERROR(INDEX(AY66:BA66,MATCH('Project Info'!$D$14,AY$4:BA$4,0)),AY66)</f>
        <v>0</v>
      </c>
      <c r="BN66" s="26">
        <f>IFERROR(INDEX(BF66:BI66,MATCH('Project Info'!$D$13,BF$4:BI$4,0)),BF66)</f>
        <v>0</v>
      </c>
      <c r="BO66" s="207">
        <f>IFERROR(INDEX(BJ66:BL66,MATCH('Project Info'!$D$14,BJ$4:BL$4,0)),BJ66)</f>
        <v>0</v>
      </c>
    </row>
    <row r="67" spans="3:67">
      <c r="C67" s="82"/>
      <c r="D67" s="82"/>
      <c r="E67" s="66"/>
      <c r="F67" s="66"/>
      <c r="G67" s="66"/>
      <c r="H67" s="66"/>
      <c r="I67" s="66"/>
      <c r="K67" s="26">
        <f>IFERROR(INDEX(C67:F67,MATCH('Project Info'!$D$13,C$4:F$4,0)),C67)</f>
        <v>0</v>
      </c>
      <c r="L67" s="207">
        <f>IFERROR(INDEX(G67:I67,MATCH('Project Info'!$D$14,G$4:I$4,0)),G67)</f>
        <v>0</v>
      </c>
      <c r="N67" s="82"/>
      <c r="O67" s="82"/>
      <c r="P67" s="82"/>
      <c r="Q67" s="82"/>
      <c r="R67" s="66"/>
      <c r="S67" s="66"/>
      <c r="T67" s="66"/>
      <c r="V67" s="26">
        <f>IFERROR(INDEX(N67:Q67,MATCH('Project Info'!$D$13,N$4:Q$4,0)),N67)</f>
        <v>0</v>
      </c>
      <c r="W67" s="207">
        <f>IFERROR(INDEX(R67:T67,MATCH('Project Info'!$D$14,R$4:T$4,0)),R67)</f>
        <v>0</v>
      </c>
      <c r="Y67" s="82"/>
      <c r="Z67" s="82"/>
      <c r="AA67" s="82"/>
      <c r="AB67" s="82"/>
      <c r="AC67" s="66"/>
      <c r="AD67" s="66"/>
      <c r="AE67" s="66"/>
      <c r="AG67" s="26">
        <f>IFERROR(INDEX(Y67:AB67,MATCH('Project Info'!$D$13,Y$4:AB$4,0)),Y67)</f>
        <v>0</v>
      </c>
      <c r="AH67" s="207">
        <f>IFERROR(INDEX(AC67:AE67,MATCH('Project Info'!$D$14,AC$4:AE$4,0)),AC67)</f>
        <v>0</v>
      </c>
      <c r="AJ67" s="82"/>
      <c r="AK67" s="82"/>
      <c r="AL67" s="82"/>
      <c r="AM67" s="82"/>
      <c r="AN67" s="66"/>
      <c r="AO67" s="66"/>
      <c r="AP67" s="66"/>
      <c r="AR67" s="26">
        <f>IFERROR(INDEX(AJ67:AM67,MATCH('Project Info'!$D$13,AJ$4:AM$4,0)),AJ67)</f>
        <v>0</v>
      </c>
      <c r="AS67" s="207">
        <f>IFERROR(INDEX(AN67:AP67,MATCH('Project Info'!$D$14,AN$4:AP$4,0)),AN67)</f>
        <v>0</v>
      </c>
      <c r="AU67" s="82"/>
      <c r="AV67" s="82"/>
      <c r="AW67" s="82"/>
      <c r="AX67" s="82"/>
      <c r="AY67" s="66"/>
      <c r="AZ67" s="66"/>
      <c r="BA67" s="66"/>
      <c r="BC67" s="26">
        <f>IFERROR(INDEX(AU67:AX67,MATCH('Project Info'!$D$13,AU$4:AX$4,0)),AU67)</f>
        <v>0</v>
      </c>
      <c r="BD67" s="207">
        <f>IFERROR(INDEX(AY67:BA67,MATCH('Project Info'!$D$14,AY$4:BA$4,0)),AY67)</f>
        <v>0</v>
      </c>
      <c r="BN67" s="26">
        <f>IFERROR(INDEX(BF67:BI67,MATCH('Project Info'!$D$13,BF$4:BI$4,0)),BF67)</f>
        <v>0</v>
      </c>
      <c r="BO67" s="207">
        <f>IFERROR(INDEX(BJ67:BL67,MATCH('Project Info'!$D$14,BJ$4:BL$4,0)),BJ67)</f>
        <v>0</v>
      </c>
    </row>
    <row r="68" spans="3:67">
      <c r="C68" s="82"/>
      <c r="D68" s="82"/>
      <c r="E68" s="66"/>
      <c r="F68" s="66"/>
      <c r="G68" s="66"/>
      <c r="H68" s="66"/>
      <c r="I68" s="66"/>
      <c r="K68" s="26">
        <f>IFERROR(INDEX(C68:F68,MATCH('Project Info'!$D$13,C$4:F$4,0)),C68)</f>
        <v>0</v>
      </c>
      <c r="L68" s="207">
        <f>IFERROR(INDEX(G68:I68,MATCH('Project Info'!$D$14,G$4:I$4,0)),G68)</f>
        <v>0</v>
      </c>
      <c r="N68" s="82"/>
      <c r="O68" s="82"/>
      <c r="P68" s="82"/>
      <c r="Q68" s="82"/>
      <c r="R68" s="66"/>
      <c r="S68" s="66"/>
      <c r="T68" s="66"/>
      <c r="V68" s="26">
        <f>IFERROR(INDEX(N68:Q68,MATCH('Project Info'!$D$13,N$4:Q$4,0)),N68)</f>
        <v>0</v>
      </c>
      <c r="W68" s="207">
        <f>IFERROR(INDEX(R68:T68,MATCH('Project Info'!$D$14,R$4:T$4,0)),R68)</f>
        <v>0</v>
      </c>
      <c r="Y68" s="82"/>
      <c r="Z68" s="82"/>
      <c r="AA68" s="82"/>
      <c r="AB68" s="82"/>
      <c r="AC68" s="66"/>
      <c r="AD68" s="66"/>
      <c r="AE68" s="66"/>
      <c r="AG68" s="26">
        <f>IFERROR(INDEX(Y68:AB68,MATCH('Project Info'!$D$13,Y$4:AB$4,0)),Y68)</f>
        <v>0</v>
      </c>
      <c r="AH68" s="207">
        <f>IFERROR(INDEX(AC68:AE68,MATCH('Project Info'!$D$14,AC$4:AE$4,0)),AC68)</f>
        <v>0</v>
      </c>
      <c r="AJ68" s="82"/>
      <c r="AK68" s="82"/>
      <c r="AL68" s="82"/>
      <c r="AM68" s="82"/>
      <c r="AN68" s="66"/>
      <c r="AO68" s="66"/>
      <c r="AP68" s="66"/>
      <c r="AR68" s="26">
        <f>IFERROR(INDEX(AJ68:AM68,MATCH('Project Info'!$D$13,AJ$4:AM$4,0)),AJ68)</f>
        <v>0</v>
      </c>
      <c r="AS68" s="207">
        <f>IFERROR(INDEX(AN68:AP68,MATCH('Project Info'!$D$14,AN$4:AP$4,0)),AN68)</f>
        <v>0</v>
      </c>
      <c r="AU68" s="82"/>
      <c r="AV68" s="82"/>
      <c r="AW68" s="82"/>
      <c r="AX68" s="82"/>
      <c r="AY68" s="66"/>
      <c r="AZ68" s="66"/>
      <c r="BA68" s="66"/>
      <c r="BC68" s="26">
        <f>IFERROR(INDEX(AU68:AX68,MATCH('Project Info'!$D$13,AU$4:AX$4,0)),AU68)</f>
        <v>0</v>
      </c>
      <c r="BD68" s="207">
        <f>IFERROR(INDEX(AY68:BA68,MATCH('Project Info'!$D$14,AY$4:BA$4,0)),AY68)</f>
        <v>0</v>
      </c>
      <c r="BN68" s="26">
        <f>IFERROR(INDEX(BF68:BI68,MATCH('Project Info'!$D$13,BF$4:BI$4,0)),BF68)</f>
        <v>0</v>
      </c>
      <c r="BO68" s="207">
        <f>IFERROR(INDEX(BJ68:BL68,MATCH('Project Info'!$D$14,BJ$4:BL$4,0)),BJ68)</f>
        <v>0</v>
      </c>
    </row>
    <row r="69" spans="3:67">
      <c r="C69" s="82"/>
      <c r="D69" s="82"/>
      <c r="E69" s="66"/>
      <c r="F69" s="66"/>
      <c r="G69" s="66"/>
      <c r="H69" s="66"/>
      <c r="I69" s="66"/>
      <c r="K69" s="26">
        <f>IFERROR(INDEX(C69:F69,MATCH('Project Info'!$D$13,C$4:F$4,0)),C69)</f>
        <v>0</v>
      </c>
      <c r="L69" s="207">
        <f>IFERROR(INDEX(G69:I69,MATCH('Project Info'!$D$14,G$4:I$4,0)),G69)</f>
        <v>0</v>
      </c>
      <c r="N69" s="82"/>
      <c r="O69" s="82"/>
      <c r="P69" s="82"/>
      <c r="Q69" s="82"/>
      <c r="R69" s="66"/>
      <c r="S69" s="66"/>
      <c r="T69" s="66"/>
      <c r="V69" s="26">
        <f>IFERROR(INDEX(N69:Q69,MATCH('Project Info'!$D$13,N$4:Q$4,0)),N69)</f>
        <v>0</v>
      </c>
      <c r="W69" s="207">
        <f>IFERROR(INDEX(R69:T69,MATCH('Project Info'!$D$14,R$4:T$4,0)),R69)</f>
        <v>0</v>
      </c>
      <c r="Y69" s="82"/>
      <c r="Z69" s="82"/>
      <c r="AA69" s="82"/>
      <c r="AB69" s="82"/>
      <c r="AC69" s="66"/>
      <c r="AD69" s="66"/>
      <c r="AE69" s="66"/>
      <c r="AG69" s="26">
        <f>IFERROR(INDEX(Y69:AB69,MATCH('Project Info'!$D$13,Y$4:AB$4,0)),Y69)</f>
        <v>0</v>
      </c>
      <c r="AH69" s="207">
        <f>IFERROR(INDEX(AC69:AE69,MATCH('Project Info'!$D$14,AC$4:AE$4,0)),AC69)</f>
        <v>0</v>
      </c>
      <c r="AJ69" s="82"/>
      <c r="AK69" s="82"/>
      <c r="AL69" s="82"/>
      <c r="AM69" s="82"/>
      <c r="AN69" s="66"/>
      <c r="AO69" s="66"/>
      <c r="AP69" s="66"/>
      <c r="AR69" s="26">
        <f>IFERROR(INDEX(AJ69:AM69,MATCH('Project Info'!$D$13,AJ$4:AM$4,0)),AJ69)</f>
        <v>0</v>
      </c>
      <c r="AS69" s="207">
        <f>IFERROR(INDEX(AN69:AP69,MATCH('Project Info'!$D$14,AN$4:AP$4,0)),AN69)</f>
        <v>0</v>
      </c>
      <c r="BC69" s="26">
        <f>IFERROR(INDEX(AU69:AX69,MATCH('Project Info'!$D$13,AU$4:AX$4,0)),AU69)</f>
        <v>0</v>
      </c>
      <c r="BD69" s="207">
        <f>IFERROR(INDEX(AY69:BA69,MATCH('Project Info'!$D$14,AY$4:BA$4,0)),AY69)</f>
        <v>0</v>
      </c>
      <c r="BN69" s="26">
        <f>IFERROR(INDEX(BF69:BI69,MATCH('Project Info'!$D$13,BF$4:BI$4,0)),BF69)</f>
        <v>0</v>
      </c>
      <c r="BO69" s="207">
        <f>IFERROR(INDEX(BJ69:BL69,MATCH('Project Info'!$D$14,BJ$4:BL$4,0)),BJ69)</f>
        <v>0</v>
      </c>
    </row>
  </sheetData>
  <phoneticPr fontId="46" type="noConversion"/>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8526E4-CE21-41DF-BF21-AC8CDA470A65}">
  <dimension ref="A1:AC40"/>
  <sheetViews>
    <sheetView showGridLines="0" workbookViewId="0"/>
  </sheetViews>
  <sheetFormatPr defaultColWidth="9.109375" defaultRowHeight="15"/>
  <cols>
    <col min="1" max="1" width="3.5546875" style="1" customWidth="1"/>
    <col min="2" max="2" width="12.88671875" style="1" customWidth="1"/>
    <col min="3" max="16384" width="9.109375" style="1"/>
  </cols>
  <sheetData>
    <row r="1" spans="1:29">
      <c r="A1" s="77" t="s">
        <v>358</v>
      </c>
      <c r="B1" s="77"/>
      <c r="C1" s="77"/>
      <c r="D1" s="77"/>
      <c r="E1" s="77"/>
      <c r="F1" s="77"/>
      <c r="G1" s="77"/>
      <c r="H1" s="77"/>
      <c r="I1" s="77"/>
      <c r="J1" s="77"/>
      <c r="K1" s="77"/>
      <c r="L1" s="77"/>
      <c r="M1" s="77"/>
      <c r="N1" s="77"/>
      <c r="O1" s="77"/>
      <c r="P1" s="77"/>
      <c r="Q1" s="77"/>
      <c r="R1" s="77"/>
      <c r="S1" s="77"/>
      <c r="T1" s="77"/>
      <c r="U1" s="77"/>
      <c r="V1" s="77"/>
      <c r="W1" s="77"/>
      <c r="X1" s="77"/>
      <c r="Y1" s="77"/>
      <c r="Z1" s="77"/>
      <c r="AA1" s="77"/>
      <c r="AB1" s="77"/>
      <c r="AC1" s="77"/>
    </row>
    <row r="2" spans="1:29">
      <c r="B2" s="4"/>
      <c r="C2" s="4"/>
      <c r="D2" s="4"/>
      <c r="E2" s="4"/>
      <c r="F2" s="4"/>
      <c r="G2" s="4"/>
      <c r="H2" s="4"/>
      <c r="I2" s="4"/>
      <c r="J2" s="4"/>
      <c r="K2" s="4"/>
      <c r="L2" s="4"/>
      <c r="M2" s="4"/>
      <c r="N2" s="4"/>
      <c r="O2" s="4"/>
      <c r="P2" s="4"/>
      <c r="Q2" s="4"/>
      <c r="R2" s="4"/>
      <c r="S2" s="4"/>
      <c r="T2" s="4"/>
      <c r="U2" s="4"/>
      <c r="V2" s="4"/>
      <c r="W2" s="4"/>
    </row>
    <row r="3" spans="1:29">
      <c r="B3" s="2" t="s">
        <v>359</v>
      </c>
      <c r="C3" s="4" t="str">
        <f>Menus!K7</f>
        <v>ASHRAE 2019/IECC 2021</v>
      </c>
      <c r="D3" s="4"/>
      <c r="E3" s="4"/>
      <c r="F3" s="4"/>
      <c r="G3" s="4"/>
      <c r="H3" s="4"/>
      <c r="I3" s="4"/>
      <c r="J3" s="4"/>
      <c r="K3" s="4"/>
      <c r="L3" s="4"/>
      <c r="M3" s="4"/>
      <c r="N3" s="4"/>
      <c r="O3" s="4"/>
      <c r="P3" s="4"/>
      <c r="Q3" s="4"/>
      <c r="R3" s="4"/>
      <c r="S3" s="4"/>
      <c r="T3" s="4"/>
      <c r="U3" s="4"/>
      <c r="V3" s="4"/>
      <c r="W3" s="4" t="s">
        <v>294</v>
      </c>
      <c r="Y3" s="4" t="s">
        <v>360</v>
      </c>
    </row>
    <row r="4" spans="1:29">
      <c r="C4" s="4"/>
      <c r="D4" s="4"/>
      <c r="E4" s="4"/>
      <c r="F4" s="4"/>
      <c r="G4" s="4"/>
      <c r="H4" s="4"/>
      <c r="I4" s="4"/>
      <c r="J4" s="4"/>
      <c r="K4" s="4"/>
      <c r="L4" s="4"/>
      <c r="M4" s="4"/>
      <c r="N4" s="4"/>
      <c r="O4" s="4"/>
      <c r="P4" s="4"/>
      <c r="Q4" s="4"/>
      <c r="R4" s="4"/>
      <c r="S4" s="4"/>
      <c r="T4" s="4"/>
      <c r="U4" s="4"/>
      <c r="V4" s="4"/>
      <c r="Y4" s="4"/>
    </row>
    <row r="5" spans="1:29" ht="15.6" thickBot="1">
      <c r="B5" s="63" t="s">
        <v>361</v>
      </c>
      <c r="C5" s="63" t="s">
        <v>362</v>
      </c>
      <c r="D5" s="63" t="s">
        <v>363</v>
      </c>
      <c r="E5" s="63" t="s">
        <v>364</v>
      </c>
      <c r="F5" s="63" t="s">
        <v>365</v>
      </c>
      <c r="G5" s="63" t="s">
        <v>366</v>
      </c>
      <c r="H5" s="63" t="s">
        <v>367</v>
      </c>
      <c r="I5" s="63" t="s">
        <v>368</v>
      </c>
      <c r="J5" s="63" t="s">
        <v>369</v>
      </c>
      <c r="K5" s="63" t="s">
        <v>370</v>
      </c>
      <c r="L5" s="63" t="s">
        <v>39</v>
      </c>
      <c r="M5" s="63" t="s">
        <v>371</v>
      </c>
      <c r="N5" s="63" t="s">
        <v>372</v>
      </c>
      <c r="O5" s="63" t="s">
        <v>373</v>
      </c>
      <c r="P5" s="63" t="s">
        <v>374</v>
      </c>
      <c r="Q5" s="63" t="s">
        <v>375</v>
      </c>
      <c r="R5" s="63" t="s">
        <v>376</v>
      </c>
      <c r="S5" s="63" t="s">
        <v>377</v>
      </c>
      <c r="T5" s="63">
        <v>7</v>
      </c>
      <c r="U5" s="63">
        <v>8</v>
      </c>
      <c r="W5" s="63" t="s">
        <v>373</v>
      </c>
    </row>
    <row r="6" spans="1:29">
      <c r="B6" s="205" t="s">
        <v>378</v>
      </c>
      <c r="C6" s="81">
        <v>0.68</v>
      </c>
      <c r="D6" s="81">
        <v>0.7</v>
      </c>
      <c r="E6" s="81">
        <v>0.68</v>
      </c>
      <c r="F6" s="81">
        <v>0.7</v>
      </c>
      <c r="G6" s="81">
        <v>0.66</v>
      </c>
      <c r="H6" s="81">
        <v>0.66</v>
      </c>
      <c r="I6" s="81">
        <v>0.69</v>
      </c>
      <c r="J6" s="81">
        <v>0.68</v>
      </c>
      <c r="K6" s="81">
        <v>0.59</v>
      </c>
      <c r="L6" s="81">
        <v>0.74</v>
      </c>
      <c r="M6" s="81">
        <v>0.76</v>
      </c>
      <c r="N6" s="81">
        <v>0.74</v>
      </c>
      <c r="O6" s="81">
        <v>0.7</v>
      </c>
      <c r="P6" s="81">
        <v>0.73</v>
      </c>
      <c r="Q6" s="81">
        <v>0.75</v>
      </c>
      <c r="R6" s="81">
        <v>0.68</v>
      </c>
      <c r="S6" s="81">
        <v>0.71</v>
      </c>
      <c r="T6" s="81">
        <v>0.68</v>
      </c>
      <c r="U6" s="81">
        <v>0.72</v>
      </c>
      <c r="W6" s="81">
        <v>0.51</v>
      </c>
      <c r="Y6" s="21">
        <f>IFERROR(IF('Project Info'!$D$15='RefTable BPF'!$W$3,$W6,INDEX('RefTable BPF'!$C6:$U6,MATCH('Project Info'!$D$5,'RefTable BPF'!$C$5:$U$5,0))),1)</f>
        <v>0.68</v>
      </c>
    </row>
    <row r="7" spans="1:29">
      <c r="B7" s="205" t="s">
        <v>379</v>
      </c>
      <c r="C7" s="81">
        <v>0.6</v>
      </c>
      <c r="D7" s="81">
        <v>0.6</v>
      </c>
      <c r="E7" s="81">
        <v>0.6</v>
      </c>
      <c r="F7" s="81">
        <v>0.6</v>
      </c>
      <c r="G7" s="81">
        <v>0.57999999999999996</v>
      </c>
      <c r="H7" s="81">
        <v>0.54</v>
      </c>
      <c r="I7" s="81">
        <v>0.56000000000000005</v>
      </c>
      <c r="J7" s="81">
        <v>0.55000000000000004</v>
      </c>
      <c r="K7" s="81">
        <v>0.55000000000000004</v>
      </c>
      <c r="L7" s="81">
        <v>0.55000000000000004</v>
      </c>
      <c r="M7" s="81">
        <v>0.54</v>
      </c>
      <c r="N7" s="81">
        <v>0.54</v>
      </c>
      <c r="O7" s="81">
        <v>0.56999999999999995</v>
      </c>
      <c r="P7" s="81">
        <v>0.52</v>
      </c>
      <c r="Q7" s="81">
        <v>0.54</v>
      </c>
      <c r="R7" s="81">
        <v>0.56999999999999995</v>
      </c>
      <c r="S7" s="81">
        <v>0.52</v>
      </c>
      <c r="T7" s="81">
        <v>0.56999999999999995</v>
      </c>
      <c r="U7" s="81">
        <v>0.56999999999999995</v>
      </c>
      <c r="W7" s="81">
        <v>0.59</v>
      </c>
      <c r="Y7" s="21">
        <f>IFERROR(IF('Project Info'!$D$15='RefTable BPF'!$W$3,$W7,INDEX('RefTable BPF'!$C7:$U7,MATCH('Project Info'!$D$5,'RefTable BPF'!$C$5:$U$5,0))),1)</f>
        <v>0.55000000000000004</v>
      </c>
    </row>
    <row r="8" spans="1:29">
      <c r="B8" s="205" t="s">
        <v>380</v>
      </c>
      <c r="C8" s="81">
        <v>0.55000000000000004</v>
      </c>
      <c r="D8" s="81">
        <v>0.53</v>
      </c>
      <c r="E8" s="81">
        <v>0.55000000000000004</v>
      </c>
      <c r="F8" s="81">
        <v>0.53</v>
      </c>
      <c r="G8" s="81">
        <v>0.53</v>
      </c>
      <c r="H8" s="81">
        <v>0.52</v>
      </c>
      <c r="I8" s="81">
        <v>0.53</v>
      </c>
      <c r="J8" s="81">
        <v>0.54</v>
      </c>
      <c r="K8" s="81">
        <v>0.54</v>
      </c>
      <c r="L8" s="81">
        <v>0.53</v>
      </c>
      <c r="M8" s="81">
        <v>0.53</v>
      </c>
      <c r="N8" s="81">
        <v>0.52</v>
      </c>
      <c r="O8" s="81">
        <v>0.5</v>
      </c>
      <c r="P8" s="81">
        <v>0.51</v>
      </c>
      <c r="Q8" s="81">
        <v>0.51</v>
      </c>
      <c r="R8" s="81">
        <v>0.5</v>
      </c>
      <c r="S8" s="81">
        <v>0.51</v>
      </c>
      <c r="T8" s="81">
        <v>0.5</v>
      </c>
      <c r="U8" s="81">
        <v>0.5</v>
      </c>
      <c r="W8" s="81">
        <v>0.56999999999999995</v>
      </c>
      <c r="Y8" s="21">
        <f>IFERROR(IF('Project Info'!$D$15='RefTable BPF'!$W$3,$W8,INDEX('RefTable BPF'!$C8:$U8,MATCH('Project Info'!$D$5,'RefTable BPF'!$C$5:$U$5,0))),1)</f>
        <v>0.54</v>
      </c>
    </row>
    <row r="9" spans="1:29">
      <c r="B9" s="205" t="s">
        <v>381</v>
      </c>
      <c r="C9" s="81">
        <v>0.52</v>
      </c>
      <c r="D9" s="81">
        <v>0.56999999999999995</v>
      </c>
      <c r="E9" s="81">
        <v>0.52</v>
      </c>
      <c r="F9" s="81">
        <v>0.56999999999999995</v>
      </c>
      <c r="G9" s="81">
        <v>0.5</v>
      </c>
      <c r="H9" s="81">
        <v>0.56000000000000005</v>
      </c>
      <c r="I9" s="81">
        <v>0.53</v>
      </c>
      <c r="J9" s="81">
        <v>0.56000000000000005</v>
      </c>
      <c r="K9" s="81">
        <v>0.48</v>
      </c>
      <c r="L9" s="81">
        <v>0.51</v>
      </c>
      <c r="M9" s="81">
        <v>0.52</v>
      </c>
      <c r="N9" s="81">
        <v>0.49</v>
      </c>
      <c r="O9" s="81">
        <v>0.51</v>
      </c>
      <c r="P9" s="81">
        <v>0.51</v>
      </c>
      <c r="Q9" s="81">
        <v>0.49</v>
      </c>
      <c r="R9" s="81">
        <v>0.52</v>
      </c>
      <c r="S9" s="81">
        <v>0.51</v>
      </c>
      <c r="T9" s="81">
        <v>0.49</v>
      </c>
      <c r="U9" s="81">
        <v>0.51</v>
      </c>
      <c r="W9" s="81">
        <v>0.51</v>
      </c>
      <c r="Y9" s="21">
        <f>IFERROR(IF('Project Info'!$D$15='RefTable BPF'!$W$3,$W9,INDEX('RefTable BPF'!$C9:$U9,MATCH('Project Info'!$D$5,'RefTable BPF'!$C$5:$U$5,0))),1)</f>
        <v>0.56000000000000005</v>
      </c>
    </row>
    <row r="10" spans="1:29">
      <c r="B10" s="205" t="s">
        <v>382</v>
      </c>
      <c r="C10" s="81">
        <v>0.63</v>
      </c>
      <c r="D10" s="81">
        <v>0.64</v>
      </c>
      <c r="E10" s="81">
        <v>0.63</v>
      </c>
      <c r="F10" s="81">
        <v>0.64</v>
      </c>
      <c r="G10" s="81">
        <v>0.6</v>
      </c>
      <c r="H10" s="81">
        <v>0.6</v>
      </c>
      <c r="I10" s="81">
        <v>0.6</v>
      </c>
      <c r="J10" s="81">
        <v>0.61</v>
      </c>
      <c r="K10" s="81">
        <v>0.57999999999999996</v>
      </c>
      <c r="L10" s="81">
        <v>0.62</v>
      </c>
      <c r="M10" s="81">
        <v>0.56999999999999995</v>
      </c>
      <c r="N10" s="81">
        <v>0.61</v>
      </c>
      <c r="O10" s="81">
        <v>0.63</v>
      </c>
      <c r="P10" s="81">
        <v>0.6</v>
      </c>
      <c r="Q10" s="81">
        <v>0.64</v>
      </c>
      <c r="R10" s="81">
        <v>0.65</v>
      </c>
      <c r="S10" s="81">
        <v>0.62</v>
      </c>
      <c r="T10" s="81">
        <v>0.67</v>
      </c>
      <c r="U10" s="81">
        <v>0.7</v>
      </c>
      <c r="W10" s="81">
        <v>0.62</v>
      </c>
      <c r="Y10" s="21">
        <f>IFERROR(IF('Project Info'!$D$15='RefTable BPF'!$W$3,$W10,INDEX('RefTable BPF'!$C10:$U10,MATCH('Project Info'!$D$5,'RefTable BPF'!$C$5:$U$5,0))),1)</f>
        <v>0.61</v>
      </c>
    </row>
    <row r="11" spans="1:29">
      <c r="B11" s="205" t="s">
        <v>383</v>
      </c>
      <c r="C11" s="81">
        <v>0.51</v>
      </c>
      <c r="D11" s="81">
        <v>0.54</v>
      </c>
      <c r="E11" s="81">
        <v>0.51</v>
      </c>
      <c r="F11" s="81">
        <v>0.54</v>
      </c>
      <c r="G11" s="81">
        <v>0.49</v>
      </c>
      <c r="H11" s="81">
        <v>0.55000000000000004</v>
      </c>
      <c r="I11" s="81">
        <v>0.51</v>
      </c>
      <c r="J11" s="81">
        <v>0.55000000000000004</v>
      </c>
      <c r="K11" s="81">
        <v>0.53</v>
      </c>
      <c r="L11" s="81">
        <v>0.51</v>
      </c>
      <c r="M11" s="81">
        <v>0.55000000000000004</v>
      </c>
      <c r="N11" s="81">
        <v>0.54</v>
      </c>
      <c r="O11" s="81">
        <v>0.5</v>
      </c>
      <c r="P11" s="81">
        <v>0.54</v>
      </c>
      <c r="Q11" s="81">
        <v>0.55000000000000004</v>
      </c>
      <c r="R11" s="81">
        <v>0.5</v>
      </c>
      <c r="S11" s="81">
        <v>0.51</v>
      </c>
      <c r="T11" s="81">
        <v>0.48</v>
      </c>
      <c r="U11" s="81">
        <v>0.5</v>
      </c>
      <c r="W11" s="81">
        <v>0.47</v>
      </c>
      <c r="Y11" s="21">
        <f>IFERROR(IF('Project Info'!$D$15='RefTable BPF'!$W$3,$W11,INDEX('RefTable BPF'!$C11:$U11,MATCH('Project Info'!$D$5,'RefTable BPF'!$C$5:$U$5,0))),1)</f>
        <v>0.55000000000000004</v>
      </c>
    </row>
    <row r="12" spans="1:29">
      <c r="B12" s="205" t="s">
        <v>44</v>
      </c>
      <c r="C12" s="81">
        <v>0.39</v>
      </c>
      <c r="D12" s="81">
        <v>0.47</v>
      </c>
      <c r="E12" s="81">
        <v>0.39</v>
      </c>
      <c r="F12" s="81">
        <v>0.47</v>
      </c>
      <c r="G12" s="81">
        <v>0.38</v>
      </c>
      <c r="H12" s="81">
        <v>0.43</v>
      </c>
      <c r="I12" s="81">
        <v>0.38</v>
      </c>
      <c r="J12" s="81">
        <v>0.42</v>
      </c>
      <c r="K12" s="81">
        <v>0.4</v>
      </c>
      <c r="L12" s="81">
        <v>0.37</v>
      </c>
      <c r="M12" s="81">
        <v>0.4</v>
      </c>
      <c r="N12" s="81">
        <v>0.38</v>
      </c>
      <c r="O12" s="81">
        <v>0.36</v>
      </c>
      <c r="P12" s="81">
        <v>0.4</v>
      </c>
      <c r="Q12" s="81">
        <v>0.36</v>
      </c>
      <c r="R12" s="81">
        <v>0.36</v>
      </c>
      <c r="S12" s="81">
        <v>0.37</v>
      </c>
      <c r="T12" s="81">
        <v>0.36</v>
      </c>
      <c r="U12" s="81">
        <v>0.37</v>
      </c>
      <c r="W12" s="81">
        <v>0.51</v>
      </c>
      <c r="Y12" s="21">
        <f>IFERROR(IF('Project Info'!$D$15='RefTable BPF'!$W$3,$W12,INDEX('RefTable BPF'!$C12:$U12,MATCH('Project Info'!$D$5,'RefTable BPF'!$C$5:$U$5,0))),1)</f>
        <v>0.42</v>
      </c>
    </row>
    <row r="13" spans="1:29">
      <c r="B13" s="205" t="s">
        <v>384</v>
      </c>
      <c r="C13" s="81">
        <v>0.38</v>
      </c>
      <c r="D13" s="81">
        <v>0.42</v>
      </c>
      <c r="E13" s="81">
        <v>0.38</v>
      </c>
      <c r="F13" s="81">
        <v>0.42</v>
      </c>
      <c r="G13" s="81">
        <v>0.4</v>
      </c>
      <c r="H13" s="81">
        <v>0.42</v>
      </c>
      <c r="I13" s="81">
        <v>0.43</v>
      </c>
      <c r="J13" s="81">
        <v>0.44</v>
      </c>
      <c r="K13" s="81">
        <v>0.43</v>
      </c>
      <c r="L13" s="81">
        <v>0.44</v>
      </c>
      <c r="M13" s="81">
        <v>0.43</v>
      </c>
      <c r="N13" s="81">
        <v>0.46</v>
      </c>
      <c r="O13" s="81">
        <v>0.49</v>
      </c>
      <c r="P13" s="81">
        <v>0.47</v>
      </c>
      <c r="Q13" s="81">
        <v>0.48</v>
      </c>
      <c r="R13" s="81">
        <v>0.54</v>
      </c>
      <c r="S13" s="81">
        <v>0.51</v>
      </c>
      <c r="T13" s="81">
        <v>0.56999999999999995</v>
      </c>
      <c r="U13" s="81">
        <v>0.56999999999999995</v>
      </c>
      <c r="W13" s="81">
        <v>0.41</v>
      </c>
      <c r="Y13" s="21">
        <f>IFERROR(IF('Project Info'!$D$15='RefTable BPF'!$W$3,$W13,INDEX('RefTable BPF'!$C13:$U13,MATCH('Project Info'!$D$5,'RefTable BPF'!$C$5:$U$5,0))),1)</f>
        <v>0.44</v>
      </c>
    </row>
    <row r="14" spans="1:29">
      <c r="B14" s="205" t="s">
        <v>385</v>
      </c>
      <c r="C14" s="81">
        <v>0.56000000000000005</v>
      </c>
      <c r="D14" s="81">
        <v>0.56999999999999995</v>
      </c>
      <c r="E14" s="81">
        <v>0.56000000000000005</v>
      </c>
      <c r="F14" s="81">
        <v>0.56999999999999995</v>
      </c>
      <c r="G14" s="81">
        <v>0.5</v>
      </c>
      <c r="H14" s="81">
        <v>0.52</v>
      </c>
      <c r="I14" s="81">
        <v>0.5</v>
      </c>
      <c r="J14" s="81">
        <v>0.54</v>
      </c>
      <c r="K14" s="81">
        <v>0.53</v>
      </c>
      <c r="L14" s="81">
        <v>0.53</v>
      </c>
      <c r="M14" s="81">
        <v>0.52</v>
      </c>
      <c r="N14" s="81">
        <v>0.54</v>
      </c>
      <c r="O14" s="81">
        <v>0.51</v>
      </c>
      <c r="P14" s="81">
        <v>0.51</v>
      </c>
      <c r="Q14" s="81">
        <v>0.5</v>
      </c>
      <c r="R14" s="81">
        <v>0.5</v>
      </c>
      <c r="S14" s="81">
        <v>0.5</v>
      </c>
      <c r="T14" s="81">
        <v>0.5</v>
      </c>
      <c r="U14" s="81">
        <v>0.46</v>
      </c>
      <c r="W14" s="81">
        <v>0.51</v>
      </c>
      <c r="Y14" s="21">
        <f>IFERROR(IF('Project Info'!$D$15='RefTable BPF'!$W$3,$W14,INDEX('RefTable BPF'!$C14:$U14,MATCH('Project Info'!$D$5,'RefTable BPF'!$C$5:$U$5,0))),1)</f>
        <v>0.54</v>
      </c>
    </row>
    <row r="16" spans="1:29">
      <c r="B16" s="2" t="s">
        <v>359</v>
      </c>
      <c r="C16" s="4" t="str">
        <f>Menus!M7</f>
        <v>LEED v5 (registered before 1/1/2028)</v>
      </c>
    </row>
    <row r="18" spans="2:21" ht="15.6" thickBot="1">
      <c r="B18" s="63" t="s">
        <v>361</v>
      </c>
      <c r="C18" s="63" t="s">
        <v>362</v>
      </c>
      <c r="D18" s="63" t="s">
        <v>363</v>
      </c>
      <c r="E18" s="63" t="s">
        <v>364</v>
      </c>
      <c r="F18" s="63" t="s">
        <v>365</v>
      </c>
      <c r="G18" s="63" t="s">
        <v>366</v>
      </c>
      <c r="H18" s="63" t="s">
        <v>367</v>
      </c>
      <c r="I18" s="63" t="s">
        <v>368</v>
      </c>
      <c r="J18" s="63" t="s">
        <v>369</v>
      </c>
      <c r="K18" s="63" t="s">
        <v>370</v>
      </c>
      <c r="L18" s="63" t="s">
        <v>39</v>
      </c>
      <c r="M18" s="63" t="s">
        <v>371</v>
      </c>
      <c r="N18" s="63" t="s">
        <v>372</v>
      </c>
      <c r="O18" s="63" t="s">
        <v>373</v>
      </c>
      <c r="P18" s="63" t="s">
        <v>374</v>
      </c>
      <c r="Q18" s="63" t="s">
        <v>375</v>
      </c>
      <c r="R18" s="63" t="s">
        <v>376</v>
      </c>
      <c r="S18" s="63" t="s">
        <v>377</v>
      </c>
      <c r="T18" s="63">
        <v>7</v>
      </c>
      <c r="U18" s="63">
        <v>8</v>
      </c>
    </row>
    <row r="19" spans="2:21">
      <c r="B19" s="205" t="str">
        <f>B6</f>
        <v>Multifamily</v>
      </c>
      <c r="C19" s="81">
        <v>0.74</v>
      </c>
      <c r="D19" s="81">
        <v>0.69</v>
      </c>
      <c r="E19" s="81">
        <v>0.73</v>
      </c>
      <c r="F19" s="81">
        <v>0.7</v>
      </c>
      <c r="G19" s="81">
        <v>0.73</v>
      </c>
      <c r="H19" s="81">
        <v>0.7</v>
      </c>
      <c r="I19" s="81">
        <v>0.71</v>
      </c>
      <c r="J19" s="81">
        <v>0.7</v>
      </c>
      <c r="K19" s="81">
        <v>0.63</v>
      </c>
      <c r="L19" s="81">
        <v>0.7</v>
      </c>
      <c r="M19" s="81">
        <v>0.71</v>
      </c>
      <c r="N19" s="81">
        <v>0.69</v>
      </c>
      <c r="O19" s="81">
        <v>0.68</v>
      </c>
      <c r="P19" s="81">
        <v>0.7</v>
      </c>
      <c r="Q19" s="81">
        <v>0.7</v>
      </c>
      <c r="R19" s="81">
        <v>0.68</v>
      </c>
      <c r="S19" s="81">
        <v>0.68</v>
      </c>
      <c r="T19" s="81">
        <v>0.68</v>
      </c>
      <c r="U19" s="81">
        <v>0.74</v>
      </c>
    </row>
    <row r="20" spans="2:21">
      <c r="B20" s="205" t="str">
        <f t="shared" ref="B20:B27" si="0">B7</f>
        <v>Healthcare/Hospital</v>
      </c>
      <c r="C20" s="81">
        <v>0.72</v>
      </c>
      <c r="D20" s="81">
        <v>0.72</v>
      </c>
      <c r="E20" s="81">
        <v>0.73</v>
      </c>
      <c r="F20" s="81">
        <v>0.73</v>
      </c>
      <c r="G20" s="81">
        <v>0.74</v>
      </c>
      <c r="H20" s="81">
        <v>0.71</v>
      </c>
      <c r="I20" s="81">
        <v>0.72</v>
      </c>
      <c r="J20" s="81">
        <v>0.74</v>
      </c>
      <c r="K20" s="81">
        <v>0.71</v>
      </c>
      <c r="L20" s="81">
        <v>0.72</v>
      </c>
      <c r="M20" s="81">
        <v>0.73</v>
      </c>
      <c r="N20" s="81">
        <v>0.71</v>
      </c>
      <c r="O20" s="81">
        <v>0.74</v>
      </c>
      <c r="P20" s="81">
        <v>0.73</v>
      </c>
      <c r="Q20" s="81">
        <v>0.8</v>
      </c>
      <c r="R20" s="81">
        <v>0.73</v>
      </c>
      <c r="S20" s="81">
        <v>0.77</v>
      </c>
      <c r="T20" s="81">
        <v>0.78</v>
      </c>
      <c r="U20" s="81">
        <v>0.79</v>
      </c>
    </row>
    <row r="21" spans="2:21">
      <c r="B21" s="205" t="str">
        <f t="shared" si="0"/>
        <v>Hotel/Motel</v>
      </c>
      <c r="C21" s="81">
        <v>0.72</v>
      </c>
      <c r="D21" s="81">
        <v>0.71</v>
      </c>
      <c r="E21" s="81">
        <v>0.72</v>
      </c>
      <c r="F21" s="81">
        <v>0.71</v>
      </c>
      <c r="G21" s="81">
        <v>0.71</v>
      </c>
      <c r="H21" s="81">
        <v>0.7</v>
      </c>
      <c r="I21" s="81">
        <v>0.71</v>
      </c>
      <c r="J21" s="81">
        <v>0.73</v>
      </c>
      <c r="K21" s="81">
        <v>0.72</v>
      </c>
      <c r="L21" s="81">
        <v>0.71</v>
      </c>
      <c r="M21" s="81">
        <v>0.73</v>
      </c>
      <c r="N21" s="81">
        <v>0.73</v>
      </c>
      <c r="O21" s="81">
        <v>0.71</v>
      </c>
      <c r="P21" s="81">
        <v>0.73</v>
      </c>
      <c r="Q21" s="81">
        <v>0.74</v>
      </c>
      <c r="R21" s="81">
        <v>0.7</v>
      </c>
      <c r="S21" s="81">
        <v>0.72</v>
      </c>
      <c r="T21" s="81">
        <v>0.7</v>
      </c>
      <c r="U21" s="81">
        <v>0.7</v>
      </c>
    </row>
    <row r="22" spans="2:21">
      <c r="B22" s="205" t="str">
        <f t="shared" si="0"/>
        <v>Office</v>
      </c>
      <c r="C22" s="81">
        <v>0.62</v>
      </c>
      <c r="D22" s="81">
        <v>0.63</v>
      </c>
      <c r="E22" s="81">
        <v>0.61</v>
      </c>
      <c r="F22" s="81">
        <v>0.62</v>
      </c>
      <c r="G22" s="81">
        <v>0.57999999999999996</v>
      </c>
      <c r="H22" s="81">
        <v>0.6</v>
      </c>
      <c r="I22" s="81">
        <v>0.56999999999999995</v>
      </c>
      <c r="J22" s="81">
        <v>0.62</v>
      </c>
      <c r="K22" s="81">
        <v>0.55000000000000004</v>
      </c>
      <c r="L22" s="81">
        <v>0.55000000000000004</v>
      </c>
      <c r="M22" s="81">
        <v>0.61</v>
      </c>
      <c r="N22" s="81">
        <v>0.56999999999999995</v>
      </c>
      <c r="O22" s="81">
        <v>0.57999999999999996</v>
      </c>
      <c r="P22" s="81">
        <v>0.61</v>
      </c>
      <c r="Q22" s="81">
        <v>0.59</v>
      </c>
      <c r="R22" s="81">
        <v>0.57999999999999996</v>
      </c>
      <c r="S22" s="81">
        <v>0.6</v>
      </c>
      <c r="T22" s="81">
        <v>0.54</v>
      </c>
      <c r="U22" s="81">
        <v>0.57999999999999996</v>
      </c>
    </row>
    <row r="23" spans="2:21">
      <c r="B23" s="205" t="str">
        <f t="shared" si="0"/>
        <v>Restaurant</v>
      </c>
      <c r="C23" s="81">
        <v>0.65</v>
      </c>
      <c r="D23" s="81">
        <v>0.62</v>
      </c>
      <c r="E23" s="81">
        <v>0.63</v>
      </c>
      <c r="F23" s="81">
        <v>0.61</v>
      </c>
      <c r="G23" s="81">
        <v>0.62</v>
      </c>
      <c r="H23" s="81">
        <v>0.57999999999999996</v>
      </c>
      <c r="I23" s="81">
        <v>0.63</v>
      </c>
      <c r="J23" s="81">
        <v>0.63</v>
      </c>
      <c r="K23" s="81">
        <v>0.63</v>
      </c>
      <c r="L23" s="81">
        <v>0.67</v>
      </c>
      <c r="M23" s="81">
        <v>0.66</v>
      </c>
      <c r="N23" s="81">
        <v>0.66</v>
      </c>
      <c r="O23" s="81">
        <v>0.7</v>
      </c>
      <c r="P23" s="81">
        <v>0.7</v>
      </c>
      <c r="Q23" s="81">
        <v>0.68</v>
      </c>
      <c r="R23" s="81">
        <v>0.73</v>
      </c>
      <c r="S23" s="81">
        <v>0.72</v>
      </c>
      <c r="T23" s="81">
        <v>0.74</v>
      </c>
      <c r="U23" s="81">
        <v>0.77</v>
      </c>
    </row>
    <row r="24" spans="2:21">
      <c r="B24" s="205" t="str">
        <f t="shared" si="0"/>
        <v>Retail</v>
      </c>
      <c r="C24" s="81">
        <v>0.56999999999999995</v>
      </c>
      <c r="D24" s="81">
        <v>0.54</v>
      </c>
      <c r="E24" s="81">
        <v>0.53</v>
      </c>
      <c r="F24" s="81">
        <v>0.53</v>
      </c>
      <c r="G24" s="81">
        <v>0.48</v>
      </c>
      <c r="H24" s="81">
        <v>0.47</v>
      </c>
      <c r="I24" s="81">
        <v>0.47</v>
      </c>
      <c r="J24" s="81">
        <v>0.47</v>
      </c>
      <c r="K24" s="81">
        <v>0.47</v>
      </c>
      <c r="L24" s="81">
        <v>0.52</v>
      </c>
      <c r="M24" s="81">
        <v>0.5</v>
      </c>
      <c r="N24" s="81">
        <v>0.56000000000000005</v>
      </c>
      <c r="O24" s="81">
        <v>0.56999999999999995</v>
      </c>
      <c r="P24" s="81">
        <v>0.53</v>
      </c>
      <c r="Q24" s="81">
        <v>0.59</v>
      </c>
      <c r="R24" s="81">
        <v>0.57999999999999996</v>
      </c>
      <c r="S24" s="81">
        <v>0.56000000000000005</v>
      </c>
      <c r="T24" s="81">
        <v>0.53</v>
      </c>
      <c r="U24" s="81">
        <v>0.6</v>
      </c>
    </row>
    <row r="25" spans="2:21">
      <c r="B25" s="205" t="str">
        <f t="shared" si="0"/>
        <v>School</v>
      </c>
      <c r="C25" s="81">
        <v>0.56999999999999995</v>
      </c>
      <c r="D25" s="81">
        <v>0.56999999999999995</v>
      </c>
      <c r="E25" s="81">
        <v>0.57999999999999996</v>
      </c>
      <c r="F25" s="81">
        <v>0.56999999999999995</v>
      </c>
      <c r="G25" s="81">
        <v>0.55000000000000004</v>
      </c>
      <c r="H25" s="81">
        <v>0.54</v>
      </c>
      <c r="I25" s="81">
        <v>0.56999999999999995</v>
      </c>
      <c r="J25" s="81">
        <v>0.51</v>
      </c>
      <c r="K25" s="81">
        <v>0.49</v>
      </c>
      <c r="L25" s="81">
        <v>0.48</v>
      </c>
      <c r="M25" s="81">
        <v>0.51</v>
      </c>
      <c r="N25" s="81">
        <v>0.52</v>
      </c>
      <c r="O25" s="81">
        <v>0.51</v>
      </c>
      <c r="P25" s="81">
        <v>0.53</v>
      </c>
      <c r="Q25" s="81">
        <v>0.51</v>
      </c>
      <c r="R25" s="81">
        <v>0.53</v>
      </c>
      <c r="S25" s="81">
        <v>0.5</v>
      </c>
      <c r="T25" s="81">
        <v>0.51</v>
      </c>
      <c r="U25" s="81">
        <v>0.57999999999999996</v>
      </c>
    </row>
    <row r="26" spans="2:21">
      <c r="B26" s="205" t="str">
        <f t="shared" si="0"/>
        <v>Warehouse</v>
      </c>
      <c r="C26" s="81">
        <v>0.28000000000000003</v>
      </c>
      <c r="D26" s="81">
        <v>0.3</v>
      </c>
      <c r="E26" s="81">
        <v>0.24</v>
      </c>
      <c r="F26" s="81">
        <v>0.27</v>
      </c>
      <c r="G26" s="81">
        <v>0.23</v>
      </c>
      <c r="H26" s="81">
        <v>0.24</v>
      </c>
      <c r="I26" s="81">
        <v>0.27</v>
      </c>
      <c r="J26" s="81">
        <v>0.23</v>
      </c>
      <c r="K26" s="81">
        <v>0.2</v>
      </c>
      <c r="L26" s="81">
        <v>0.33</v>
      </c>
      <c r="M26" s="81">
        <v>0.26</v>
      </c>
      <c r="N26" s="81">
        <v>0.28000000000000003</v>
      </c>
      <c r="O26" s="81">
        <v>0.4</v>
      </c>
      <c r="P26" s="81">
        <v>0.32</v>
      </c>
      <c r="Q26" s="81">
        <v>0.28999999999999998</v>
      </c>
      <c r="R26" s="81">
        <v>0.44</v>
      </c>
      <c r="S26" s="81">
        <v>0.38</v>
      </c>
      <c r="T26" s="81">
        <v>0.4</v>
      </c>
      <c r="U26" s="81">
        <v>0.44</v>
      </c>
    </row>
    <row r="27" spans="2:21">
      <c r="B27" s="205" t="str">
        <f t="shared" si="0"/>
        <v>All Others</v>
      </c>
      <c r="C27" s="81">
        <v>0.65</v>
      </c>
      <c r="D27" s="81">
        <v>0.62</v>
      </c>
      <c r="E27" s="81">
        <v>0.64</v>
      </c>
      <c r="F27" s="81">
        <v>0.62</v>
      </c>
      <c r="G27" s="81">
        <v>0.56999999999999995</v>
      </c>
      <c r="H27" s="81">
        <v>0.54</v>
      </c>
      <c r="I27" s="81">
        <v>0.56999999999999995</v>
      </c>
      <c r="J27" s="81">
        <v>0.56000000000000005</v>
      </c>
      <c r="K27" s="81">
        <v>0.57999999999999996</v>
      </c>
      <c r="L27" s="81">
        <v>0.59</v>
      </c>
      <c r="M27" s="81">
        <v>0.56999999999999995</v>
      </c>
      <c r="N27" s="81">
        <v>0.6</v>
      </c>
      <c r="O27" s="81">
        <v>0.6</v>
      </c>
      <c r="P27" s="81">
        <v>0.59</v>
      </c>
      <c r="Q27" s="81">
        <v>0.65</v>
      </c>
      <c r="R27" s="81">
        <v>0.62</v>
      </c>
      <c r="S27" s="81">
        <v>0.62</v>
      </c>
      <c r="T27" s="81">
        <v>0.61</v>
      </c>
      <c r="U27" s="81">
        <v>0.64</v>
      </c>
    </row>
    <row r="29" spans="2:21">
      <c r="B29" s="2" t="str">
        <f>B16</f>
        <v>Building Performance Factors</v>
      </c>
      <c r="C29" s="4" t="str">
        <f>Menus!M8</f>
        <v>LEED v5 (registered after 1/1/2028)</v>
      </c>
    </row>
    <row r="31" spans="2:21" ht="15.6" thickBot="1">
      <c r="B31" s="63" t="s">
        <v>361</v>
      </c>
      <c r="C31" s="63" t="s">
        <v>362</v>
      </c>
      <c r="D31" s="63" t="s">
        <v>363</v>
      </c>
      <c r="E31" s="63" t="s">
        <v>364</v>
      </c>
      <c r="F31" s="63" t="s">
        <v>365</v>
      </c>
      <c r="G31" s="63" t="s">
        <v>366</v>
      </c>
      <c r="H31" s="63" t="s">
        <v>367</v>
      </c>
      <c r="I31" s="63" t="s">
        <v>368</v>
      </c>
      <c r="J31" s="63" t="s">
        <v>369</v>
      </c>
      <c r="K31" s="63" t="s">
        <v>370</v>
      </c>
      <c r="L31" s="63" t="s">
        <v>39</v>
      </c>
      <c r="M31" s="63" t="s">
        <v>371</v>
      </c>
      <c r="N31" s="63" t="s">
        <v>372</v>
      </c>
      <c r="O31" s="63" t="s">
        <v>373</v>
      </c>
      <c r="P31" s="63" t="s">
        <v>374</v>
      </c>
      <c r="Q31" s="63" t="s">
        <v>375</v>
      </c>
      <c r="R31" s="63" t="s">
        <v>376</v>
      </c>
      <c r="S31" s="63" t="s">
        <v>377</v>
      </c>
      <c r="T31" s="63">
        <v>7</v>
      </c>
      <c r="U31" s="63">
        <v>8</v>
      </c>
    </row>
    <row r="32" spans="2:21">
      <c r="B32" s="205" t="s">
        <v>378</v>
      </c>
      <c r="C32" s="81">
        <v>0.64</v>
      </c>
      <c r="D32" s="81">
        <v>0.59</v>
      </c>
      <c r="E32" s="81">
        <v>0.62</v>
      </c>
      <c r="F32" s="81">
        <v>0.6</v>
      </c>
      <c r="G32" s="81">
        <v>0.61</v>
      </c>
      <c r="H32" s="81">
        <v>0.59</v>
      </c>
      <c r="I32" s="81">
        <v>0.61</v>
      </c>
      <c r="J32" s="81">
        <v>0.6</v>
      </c>
      <c r="K32" s="81">
        <v>0.49</v>
      </c>
      <c r="L32" s="81">
        <v>0.56999999999999995</v>
      </c>
      <c r="M32" s="81">
        <v>0.59</v>
      </c>
      <c r="N32" s="81">
        <v>0.56000000000000005</v>
      </c>
      <c r="O32" s="81">
        <v>0.55000000000000004</v>
      </c>
      <c r="P32" s="81">
        <v>0.56999999999999995</v>
      </c>
      <c r="Q32" s="81">
        <v>0.56999999999999995</v>
      </c>
      <c r="R32" s="81">
        <v>0.55000000000000004</v>
      </c>
      <c r="S32" s="81">
        <v>0.55000000000000004</v>
      </c>
      <c r="T32" s="81">
        <v>0.55000000000000004</v>
      </c>
      <c r="U32" s="81">
        <v>0.6</v>
      </c>
    </row>
    <row r="33" spans="2:21">
      <c r="B33" s="205" t="s">
        <v>386</v>
      </c>
      <c r="C33" s="81">
        <v>0.64</v>
      </c>
      <c r="D33" s="81">
        <v>0.64</v>
      </c>
      <c r="E33" s="81">
        <v>0.66</v>
      </c>
      <c r="F33" s="81">
        <v>0.65</v>
      </c>
      <c r="G33" s="81">
        <v>0.66</v>
      </c>
      <c r="H33" s="81">
        <v>0.63</v>
      </c>
      <c r="I33" s="81">
        <v>0.64</v>
      </c>
      <c r="J33" s="81">
        <v>0.65</v>
      </c>
      <c r="K33" s="81">
        <v>0.63</v>
      </c>
      <c r="L33" s="81">
        <v>0.64</v>
      </c>
      <c r="M33" s="81">
        <v>0.65</v>
      </c>
      <c r="N33" s="81">
        <v>0.62</v>
      </c>
      <c r="O33" s="81">
        <v>0.64</v>
      </c>
      <c r="P33" s="81">
        <v>0.62</v>
      </c>
      <c r="Q33" s="81">
        <v>0.69</v>
      </c>
      <c r="R33" s="81">
        <v>0.63</v>
      </c>
      <c r="S33" s="81">
        <v>0.68</v>
      </c>
      <c r="T33" s="81">
        <v>0.69</v>
      </c>
      <c r="U33" s="81">
        <v>0.7</v>
      </c>
    </row>
    <row r="34" spans="2:21">
      <c r="B34" s="205" t="s">
        <v>387</v>
      </c>
      <c r="C34" s="81">
        <v>0.65</v>
      </c>
      <c r="D34" s="81">
        <v>0.63</v>
      </c>
      <c r="E34" s="81">
        <v>0.64</v>
      </c>
      <c r="F34" s="81">
        <v>0.63</v>
      </c>
      <c r="G34" s="81">
        <v>0.62</v>
      </c>
      <c r="H34" s="81">
        <v>0.61</v>
      </c>
      <c r="I34" s="81">
        <v>0.62</v>
      </c>
      <c r="J34" s="81">
        <v>0.63</v>
      </c>
      <c r="K34" s="81">
        <v>0.62</v>
      </c>
      <c r="L34" s="81">
        <v>0.59</v>
      </c>
      <c r="M34" s="81">
        <v>0.6</v>
      </c>
      <c r="N34" s="81">
        <v>0.6</v>
      </c>
      <c r="O34" s="81">
        <v>0.56999999999999995</v>
      </c>
      <c r="P34" s="81">
        <v>0.57999999999999996</v>
      </c>
      <c r="Q34" s="81">
        <v>0.59</v>
      </c>
      <c r="R34" s="81">
        <v>0.56000000000000005</v>
      </c>
      <c r="S34" s="81">
        <v>0.57999999999999996</v>
      </c>
      <c r="T34" s="81">
        <v>0.56000000000000005</v>
      </c>
      <c r="U34" s="81">
        <v>0.56000000000000005</v>
      </c>
    </row>
    <row r="35" spans="2:21">
      <c r="B35" s="205" t="s">
        <v>381</v>
      </c>
      <c r="C35" s="81">
        <v>0.54</v>
      </c>
      <c r="D35" s="81">
        <v>0.54</v>
      </c>
      <c r="E35" s="81">
        <v>0.53</v>
      </c>
      <c r="F35" s="81">
        <v>0.54</v>
      </c>
      <c r="G35" s="81">
        <v>0.49</v>
      </c>
      <c r="H35" s="81">
        <v>0.52</v>
      </c>
      <c r="I35" s="81">
        <v>0.49</v>
      </c>
      <c r="J35" s="81">
        <v>0.52</v>
      </c>
      <c r="K35" s="81">
        <v>0.45</v>
      </c>
      <c r="L35" s="81">
        <v>0.46</v>
      </c>
      <c r="M35" s="81">
        <v>0.52</v>
      </c>
      <c r="N35" s="81">
        <v>0.47</v>
      </c>
      <c r="O35" s="81">
        <v>0.48</v>
      </c>
      <c r="P35" s="81">
        <v>0.51</v>
      </c>
      <c r="Q35" s="81">
        <v>0.48</v>
      </c>
      <c r="R35" s="81">
        <v>0.48</v>
      </c>
      <c r="S35" s="81">
        <v>0.5</v>
      </c>
      <c r="T35" s="81">
        <v>0.45</v>
      </c>
      <c r="U35" s="81">
        <v>0.49</v>
      </c>
    </row>
    <row r="36" spans="2:21">
      <c r="B36" s="205" t="s">
        <v>382</v>
      </c>
      <c r="C36" s="81">
        <v>0.61</v>
      </c>
      <c r="D36" s="81">
        <v>0.57999999999999996</v>
      </c>
      <c r="E36" s="81">
        <v>0.57999999999999996</v>
      </c>
      <c r="F36" s="81">
        <v>0.56999999999999995</v>
      </c>
      <c r="G36" s="81">
        <v>0.56999999999999995</v>
      </c>
      <c r="H36" s="81">
        <v>0.54</v>
      </c>
      <c r="I36" s="81">
        <v>0.57999999999999996</v>
      </c>
      <c r="J36" s="81">
        <v>0.59</v>
      </c>
      <c r="K36" s="81">
        <v>0.56999999999999995</v>
      </c>
      <c r="L36" s="81">
        <v>0.62</v>
      </c>
      <c r="M36" s="81">
        <v>0.61</v>
      </c>
      <c r="N36" s="81">
        <v>0.61</v>
      </c>
      <c r="O36" s="81">
        <v>0.65</v>
      </c>
      <c r="P36" s="81">
        <v>0.64</v>
      </c>
      <c r="Q36" s="81">
        <v>0.63</v>
      </c>
      <c r="R36" s="81">
        <v>0.67</v>
      </c>
      <c r="S36" s="81">
        <v>0.66</v>
      </c>
      <c r="T36" s="81">
        <v>0.69</v>
      </c>
      <c r="U36" s="81">
        <v>0.72</v>
      </c>
    </row>
    <row r="37" spans="2:21">
      <c r="B37" s="205" t="s">
        <v>383</v>
      </c>
      <c r="C37" s="81">
        <v>0.47</v>
      </c>
      <c r="D37" s="81">
        <v>0.45</v>
      </c>
      <c r="E37" s="81">
        <v>0.44</v>
      </c>
      <c r="F37" s="81">
        <v>0.44</v>
      </c>
      <c r="G37" s="81">
        <v>0.4</v>
      </c>
      <c r="H37" s="81">
        <v>0.39</v>
      </c>
      <c r="I37" s="81">
        <v>0.37</v>
      </c>
      <c r="J37" s="81">
        <v>0.39</v>
      </c>
      <c r="K37" s="81">
        <v>0.36</v>
      </c>
      <c r="L37" s="81">
        <v>0.4</v>
      </c>
      <c r="M37" s="81">
        <v>0.41</v>
      </c>
      <c r="N37" s="81">
        <v>0.42</v>
      </c>
      <c r="O37" s="81">
        <v>0.45</v>
      </c>
      <c r="P37" s="81">
        <v>0.43</v>
      </c>
      <c r="Q37" s="81">
        <v>0.46</v>
      </c>
      <c r="R37" s="81">
        <v>0.44</v>
      </c>
      <c r="S37" s="81">
        <v>0.43</v>
      </c>
      <c r="T37" s="81">
        <v>0.42</v>
      </c>
      <c r="U37" s="81">
        <v>0.46</v>
      </c>
    </row>
    <row r="38" spans="2:21">
      <c r="B38" s="205" t="s">
        <v>44</v>
      </c>
      <c r="C38" s="81">
        <v>0.52</v>
      </c>
      <c r="D38" s="81">
        <v>0.53</v>
      </c>
      <c r="E38" s="81">
        <v>0.53</v>
      </c>
      <c r="F38" s="81">
        <v>0.53</v>
      </c>
      <c r="G38" s="81">
        <v>0.51</v>
      </c>
      <c r="H38" s="81">
        <v>0.51</v>
      </c>
      <c r="I38" s="81">
        <v>0.53</v>
      </c>
      <c r="J38" s="81">
        <v>0.48</v>
      </c>
      <c r="K38" s="81">
        <v>0.46</v>
      </c>
      <c r="L38" s="81">
        <v>0.43</v>
      </c>
      <c r="M38" s="81">
        <v>0.48</v>
      </c>
      <c r="N38" s="81">
        <v>0.47</v>
      </c>
      <c r="O38" s="81">
        <v>0.45</v>
      </c>
      <c r="P38" s="81">
        <v>0.49</v>
      </c>
      <c r="Q38" s="81">
        <v>0.46</v>
      </c>
      <c r="R38" s="81">
        <v>0.46</v>
      </c>
      <c r="S38" s="81">
        <v>0.44</v>
      </c>
      <c r="T38" s="81">
        <v>0.44</v>
      </c>
      <c r="U38" s="81">
        <v>0.48</v>
      </c>
    </row>
    <row r="39" spans="2:21">
      <c r="B39" s="205" t="s">
        <v>384</v>
      </c>
      <c r="C39" s="81">
        <v>0.25</v>
      </c>
      <c r="D39" s="81">
        <v>0.25</v>
      </c>
      <c r="E39" s="81">
        <v>0.21</v>
      </c>
      <c r="F39" s="81">
        <v>0.24</v>
      </c>
      <c r="G39" s="81">
        <v>0.2</v>
      </c>
      <c r="H39" s="81">
        <v>0.21</v>
      </c>
      <c r="I39" s="81">
        <v>0.24</v>
      </c>
      <c r="J39" s="81">
        <v>0.2</v>
      </c>
      <c r="K39" s="81">
        <v>0.17</v>
      </c>
      <c r="L39" s="81">
        <v>0.3</v>
      </c>
      <c r="M39" s="81">
        <v>0.22</v>
      </c>
      <c r="N39" s="81">
        <v>0.25</v>
      </c>
      <c r="O39" s="81">
        <v>0.36</v>
      </c>
      <c r="P39" s="81">
        <v>0.28000000000000003</v>
      </c>
      <c r="Q39" s="81">
        <v>0.25</v>
      </c>
      <c r="R39" s="81">
        <v>0.4</v>
      </c>
      <c r="S39" s="81">
        <v>0.34</v>
      </c>
      <c r="T39" s="81">
        <v>0.36</v>
      </c>
      <c r="U39" s="81">
        <v>0.4</v>
      </c>
    </row>
    <row r="40" spans="2:21">
      <c r="B40" s="205" t="s">
        <v>388</v>
      </c>
      <c r="C40" s="81">
        <v>0.57999999999999996</v>
      </c>
      <c r="D40" s="81">
        <v>0.56000000000000005</v>
      </c>
      <c r="E40" s="81">
        <v>0.56000000000000005</v>
      </c>
      <c r="F40" s="81">
        <v>0.56000000000000005</v>
      </c>
      <c r="G40" s="81">
        <v>0.5</v>
      </c>
      <c r="H40" s="81">
        <v>0.47</v>
      </c>
      <c r="I40" s="81">
        <v>0.49</v>
      </c>
      <c r="J40" s="81">
        <v>0.48</v>
      </c>
      <c r="K40" s="81">
        <v>0.48</v>
      </c>
      <c r="L40" s="81">
        <v>0.49</v>
      </c>
      <c r="M40" s="81">
        <v>0.49</v>
      </c>
      <c r="N40" s="81">
        <v>0.5</v>
      </c>
      <c r="O40" s="81">
        <v>0.51</v>
      </c>
      <c r="P40" s="81">
        <v>0.5</v>
      </c>
      <c r="Q40" s="81">
        <v>0.55000000000000004</v>
      </c>
      <c r="R40" s="81">
        <v>0.52</v>
      </c>
      <c r="S40" s="81">
        <v>0.52</v>
      </c>
      <c r="T40" s="81">
        <v>0.52</v>
      </c>
      <c r="U40" s="81">
        <v>0.55000000000000004</v>
      </c>
    </row>
  </sheetData>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A4D2C-F379-4002-B96D-14001D31E5B9}">
  <dimension ref="A1:N44"/>
  <sheetViews>
    <sheetView showGridLines="0" zoomScale="110" zoomScaleNormal="110" workbookViewId="0"/>
  </sheetViews>
  <sheetFormatPr defaultColWidth="9.109375" defaultRowHeight="15"/>
  <cols>
    <col min="1" max="1" width="3.88671875" style="1" customWidth="1"/>
    <col min="2" max="2" width="12.88671875" style="1" customWidth="1"/>
    <col min="3" max="9" width="10.5546875" style="1" customWidth="1"/>
    <col min="10" max="10" width="14.109375" style="1" bestFit="1" customWidth="1"/>
    <col min="11" max="11" width="9.109375" style="1"/>
    <col min="12" max="12" width="26.5546875" style="1" customWidth="1"/>
    <col min="13" max="13" width="9.109375" style="1"/>
    <col min="14" max="14" width="66.44140625" style="1" customWidth="1"/>
    <col min="15" max="16384" width="9.109375" style="1"/>
  </cols>
  <sheetData>
    <row r="1" spans="1:14" s="79" customFormat="1">
      <c r="A1" s="77" t="s">
        <v>389</v>
      </c>
      <c r="B1" s="77"/>
      <c r="C1" s="77"/>
      <c r="D1" s="77"/>
      <c r="E1" s="77"/>
      <c r="F1" s="77"/>
      <c r="G1" s="77"/>
      <c r="H1" s="77"/>
      <c r="I1" s="77"/>
      <c r="J1" s="77"/>
      <c r="K1" s="77"/>
    </row>
    <row r="3" spans="1:14">
      <c r="B3" s="155" t="s">
        <v>390</v>
      </c>
    </row>
    <row r="5" spans="1:14">
      <c r="B5" s="4" t="s">
        <v>391</v>
      </c>
      <c r="C5" s="2" t="str">
        <f>B6</f>
        <v>kWh</v>
      </c>
      <c r="D5" s="2" t="str">
        <f>B7</f>
        <v>MWh</v>
      </c>
      <c r="E5" s="2" t="str">
        <f>B8</f>
        <v>GJ</v>
      </c>
      <c r="F5" s="2" t="str">
        <f>B9</f>
        <v>kBtu</v>
      </c>
      <c r="G5" s="2" t="str">
        <f>B10</f>
        <v>MBtu</v>
      </c>
      <c r="H5" s="2" t="str">
        <f>B11</f>
        <v>1000 ft3 Gas</v>
      </c>
      <c r="I5" s="2" t="str">
        <f>B12</f>
        <v>Therm</v>
      </c>
      <c r="L5" s="22" t="s">
        <v>392</v>
      </c>
      <c r="M5" s="22" t="s">
        <v>393</v>
      </c>
      <c r="N5" s="22" t="s">
        <v>394</v>
      </c>
    </row>
    <row r="6" spans="1:14">
      <c r="B6" s="59" t="s">
        <v>88</v>
      </c>
      <c r="C6" s="66">
        <v>1</v>
      </c>
      <c r="D6" s="66">
        <v>1000</v>
      </c>
      <c r="E6" s="169">
        <f>1/C8</f>
        <v>277.77777777777777</v>
      </c>
      <c r="F6" s="167">
        <f>1/C9</f>
        <v>0.29307121044271339</v>
      </c>
      <c r="G6" s="167">
        <f>1/C10</f>
        <v>293.07121044271338</v>
      </c>
      <c r="H6" s="167">
        <f>1/C11</f>
        <v>293.08323563892145</v>
      </c>
      <c r="I6" s="170">
        <f>1/C12</f>
        <v>29.29973630237328</v>
      </c>
      <c r="L6" s="23" t="s">
        <v>395</v>
      </c>
      <c r="M6" s="24">
        <f>0.001*1.21</f>
        <v>1.2099999999999999E-3</v>
      </c>
      <c r="N6" s="25" t="s">
        <v>396</v>
      </c>
    </row>
    <row r="7" spans="1:14">
      <c r="B7" s="59" t="s">
        <v>397</v>
      </c>
      <c r="C7" s="167">
        <v>1E-3</v>
      </c>
      <c r="D7" s="66">
        <v>1</v>
      </c>
      <c r="E7" s="169">
        <f>E6/1000</f>
        <v>0.27777777777777779</v>
      </c>
      <c r="F7" s="170">
        <f t="shared" ref="F7:F11" si="0">C7*w_btuph</f>
        <v>3.4121416330000001E-3</v>
      </c>
      <c r="G7" s="167">
        <f>F7/1000</f>
        <v>3.4121416330000001E-6</v>
      </c>
      <c r="H7" s="171">
        <f>H6/1000</f>
        <v>0.29308323563892147</v>
      </c>
      <c r="I7" s="169">
        <f>I6/1000</f>
        <v>2.9299736302373279E-2</v>
      </c>
      <c r="L7" s="23" t="s">
        <v>398</v>
      </c>
      <c r="M7" s="24">
        <f>1/lps_kgps</f>
        <v>826.44628099173553</v>
      </c>
      <c r="N7" s="25" t="s">
        <v>399</v>
      </c>
    </row>
    <row r="8" spans="1:14">
      <c r="B8" s="59" t="s">
        <v>400</v>
      </c>
      <c r="C8" s="169">
        <v>3.5999999999999999E-3</v>
      </c>
      <c r="D8" s="80">
        <v>3.6</v>
      </c>
      <c r="E8" s="66">
        <v>1</v>
      </c>
      <c r="F8" s="169">
        <f t="shared" si="0"/>
        <v>1.22837098788E-2</v>
      </c>
      <c r="G8" s="167">
        <f>F8/1000</f>
        <v>1.22837098788E-5</v>
      </c>
      <c r="H8" s="167">
        <v>1.0550999999999999</v>
      </c>
      <c r="I8" s="170">
        <v>0.10550749103186299</v>
      </c>
      <c r="L8" s="23"/>
      <c r="M8" s="24"/>
      <c r="N8" s="25"/>
    </row>
    <row r="9" spans="1:14">
      <c r="B9" s="59" t="s">
        <v>41</v>
      </c>
      <c r="C9" s="167">
        <v>3.41214</v>
      </c>
      <c r="D9" s="66">
        <f>C9*1000</f>
        <v>3412.14</v>
      </c>
      <c r="E9" s="66">
        <v>948</v>
      </c>
      <c r="F9" s="66">
        <v>1</v>
      </c>
      <c r="G9" s="66">
        <v>1000</v>
      </c>
      <c r="H9" s="66">
        <f>H10*1000</f>
        <v>1038</v>
      </c>
      <c r="I9" s="167">
        <v>100</v>
      </c>
      <c r="L9" s="23" t="s">
        <v>401</v>
      </c>
      <c r="M9" s="24">
        <f>1*((12/1)*(0.0254/1))^2</f>
        <v>9.2903039999999978E-2</v>
      </c>
      <c r="N9" s="25" t="s">
        <v>402</v>
      </c>
    </row>
    <row r="10" spans="1:14">
      <c r="B10" s="59" t="s">
        <v>403</v>
      </c>
      <c r="C10" s="170">
        <f>C9/1000</f>
        <v>3.4121400000000001E-3</v>
      </c>
      <c r="D10" s="169">
        <f>D9/1000</f>
        <v>3.41214</v>
      </c>
      <c r="E10" s="167">
        <f>E9/1000</f>
        <v>0.94799999999999995</v>
      </c>
      <c r="F10" s="167">
        <f>F9/1000</f>
        <v>1E-3</v>
      </c>
      <c r="G10" s="66">
        <v>1</v>
      </c>
      <c r="H10" s="167">
        <v>1.038</v>
      </c>
      <c r="I10" s="167">
        <f>I9/1000</f>
        <v>0.1</v>
      </c>
      <c r="L10" s="23" t="s">
        <v>404</v>
      </c>
      <c r="M10" s="24">
        <f>1/M9</f>
        <v>10.763910416709725</v>
      </c>
      <c r="N10" s="25" t="s">
        <v>405</v>
      </c>
    </row>
    <row r="11" spans="1:14" ht="16.8">
      <c r="B11" s="59" t="s">
        <v>406</v>
      </c>
      <c r="C11" s="170">
        <v>3.4120000000000001E-3</v>
      </c>
      <c r="D11" s="169">
        <v>3.4119999999999999</v>
      </c>
      <c r="E11" s="167">
        <v>0.94799999999999995</v>
      </c>
      <c r="F11" s="167">
        <f t="shared" si="0"/>
        <v>1.1642227251796001E-2</v>
      </c>
      <c r="G11" s="170">
        <f>F11/1000</f>
        <v>1.1642227251796001E-5</v>
      </c>
      <c r="H11" s="66">
        <v>1</v>
      </c>
      <c r="I11" s="80">
        <v>0.1</v>
      </c>
      <c r="L11" s="23" t="s">
        <v>407</v>
      </c>
      <c r="M11" s="27">
        <v>1.21</v>
      </c>
      <c r="N11" s="25" t="s">
        <v>408</v>
      </c>
    </row>
    <row r="12" spans="1:14">
      <c r="B12" s="59" t="s">
        <v>99</v>
      </c>
      <c r="C12" s="170">
        <v>3.4130000000000001E-2</v>
      </c>
      <c r="D12" s="169">
        <v>34.129600000000003</v>
      </c>
      <c r="E12" s="167">
        <v>9.4804300000000001</v>
      </c>
      <c r="F12" s="81">
        <v>0.01</v>
      </c>
      <c r="G12" s="170">
        <f>F12/1000</f>
        <v>1.0000000000000001E-5</v>
      </c>
      <c r="H12" s="81">
        <v>10.38</v>
      </c>
      <c r="I12" s="66">
        <v>1</v>
      </c>
      <c r="L12" s="23" t="s">
        <v>409</v>
      </c>
      <c r="M12" s="27">
        <f>1/air_density</f>
        <v>0.82644628099173556</v>
      </c>
      <c r="N12" s="25" t="s">
        <v>410</v>
      </c>
    </row>
    <row r="13" spans="1:14">
      <c r="B13" s="168"/>
      <c r="C13" s="168"/>
      <c r="D13" s="168"/>
      <c r="E13" s="168"/>
      <c r="F13" s="168"/>
      <c r="L13" s="23" t="s">
        <v>411</v>
      </c>
      <c r="M13" s="27">
        <f>(0.0254*12)^3*(1/60)</f>
        <v>4.7194744319999983E-4</v>
      </c>
      <c r="N13" s="25" t="s">
        <v>412</v>
      </c>
    </row>
    <row r="14" spans="1:14">
      <c r="B14" s="155" t="s">
        <v>413</v>
      </c>
      <c r="C14" s="168"/>
      <c r="D14" s="168"/>
      <c r="E14" s="168"/>
      <c r="F14" s="168"/>
      <c r="L14" s="23" t="s">
        <v>414</v>
      </c>
      <c r="M14" s="27">
        <f>1/cfm_m3ps</f>
        <v>2118.8800032893164</v>
      </c>
      <c r="N14" s="25" t="s">
        <v>415</v>
      </c>
    </row>
    <row r="15" spans="1:14">
      <c r="L15" s="23" t="s">
        <v>416</v>
      </c>
      <c r="M15" s="27">
        <f>1/kPa_inH2O</f>
        <v>0.24908200000699768</v>
      </c>
      <c r="N15" s="150" t="s">
        <v>417</v>
      </c>
    </row>
    <row r="16" spans="1:14" ht="16.8">
      <c r="B16" s="4" t="s">
        <v>391</v>
      </c>
      <c r="C16" s="2" t="s">
        <v>418</v>
      </c>
      <c r="D16" s="2" t="s">
        <v>419</v>
      </c>
      <c r="E16" s="2" t="s">
        <v>420</v>
      </c>
      <c r="L16" s="23" t="s">
        <v>421</v>
      </c>
      <c r="M16" s="27">
        <v>4.0147421330000004</v>
      </c>
      <c r="N16" s="151"/>
    </row>
    <row r="17" spans="2:14" ht="16.8">
      <c r="B17" s="59" t="s">
        <v>418</v>
      </c>
      <c r="C17" s="66">
        <v>1</v>
      </c>
      <c r="D17" s="167">
        <v>10.763910416709722</v>
      </c>
      <c r="E17" s="169">
        <v>3.1545911845295911</v>
      </c>
      <c r="L17" s="23" t="s">
        <v>422</v>
      </c>
      <c r="M17" s="27">
        <f>3.412141633</f>
        <v>3.4121416330000001</v>
      </c>
      <c r="N17" s="150" t="s">
        <v>423</v>
      </c>
    </row>
    <row r="18" spans="2:14" ht="16.8">
      <c r="B18" s="59" t="s">
        <v>419</v>
      </c>
      <c r="C18" s="170">
        <v>9.2903040000000006E-2</v>
      </c>
      <c r="D18" s="66">
        <v>1</v>
      </c>
      <c r="E18" s="169">
        <v>0.29307100000000003</v>
      </c>
      <c r="L18" s="23" t="s">
        <v>424</v>
      </c>
      <c r="M18" s="27">
        <f>1/w_btuph</f>
        <v>0.29307107018321121</v>
      </c>
      <c r="N18" s="151"/>
    </row>
    <row r="19" spans="2:14" ht="16.8">
      <c r="B19" s="59" t="s">
        <v>420</v>
      </c>
      <c r="C19" s="170">
        <v>0.3169982864670684</v>
      </c>
      <c r="D19" s="169">
        <v>3.4121411577820102</v>
      </c>
      <c r="E19" s="66">
        <v>1</v>
      </c>
      <c r="L19" s="23" t="s">
        <v>425</v>
      </c>
      <c r="M19" s="27">
        <f>12000</f>
        <v>12000</v>
      </c>
      <c r="N19" s="152" t="s">
        <v>426</v>
      </c>
    </row>
    <row r="20" spans="2:14">
      <c r="C20" s="57"/>
      <c r="D20" s="57"/>
      <c r="E20" s="57"/>
      <c r="F20" s="57"/>
      <c r="G20" s="57"/>
      <c r="L20" s="23" t="s">
        <v>427</v>
      </c>
      <c r="M20" s="27">
        <f>1/ton_btuph</f>
        <v>8.3333333333333331E-5</v>
      </c>
      <c r="N20" s="153"/>
    </row>
    <row r="21" spans="2:14">
      <c r="B21" s="155" t="s">
        <v>428</v>
      </c>
      <c r="C21" s="57"/>
      <c r="D21" s="57"/>
      <c r="E21" s="57"/>
      <c r="F21" s="57"/>
      <c r="G21" s="57"/>
      <c r="L21" s="23" t="s">
        <v>429</v>
      </c>
      <c r="M21" s="27">
        <f>1/ton_kW</f>
        <v>0.28433323855558718</v>
      </c>
      <c r="N21" s="152" t="s">
        <v>430</v>
      </c>
    </row>
    <row r="22" spans="2:14">
      <c r="L22" s="23" t="s">
        <v>431</v>
      </c>
      <c r="M22" s="27">
        <f>3.517</f>
        <v>3.5169999999999999</v>
      </c>
      <c r="N22" s="153"/>
    </row>
    <row r="23" spans="2:14">
      <c r="B23" s="4" t="s">
        <v>391</v>
      </c>
      <c r="C23" s="2" t="str">
        <f>B24</f>
        <v>kg CO2e</v>
      </c>
      <c r="D23" s="2" t="str">
        <f>B25</f>
        <v>lbs CO2e</v>
      </c>
      <c r="E23" s="2" t="str">
        <f>B26</f>
        <v>MT CO2e</v>
      </c>
      <c r="L23" s="23" t="s">
        <v>432</v>
      </c>
      <c r="M23" s="27">
        <v>7</v>
      </c>
      <c r="N23" s="147" t="s">
        <v>433</v>
      </c>
    </row>
    <row r="24" spans="2:14">
      <c r="B24" s="59" t="s">
        <v>282</v>
      </c>
      <c r="C24" s="66">
        <v>1</v>
      </c>
      <c r="D24" s="169">
        <v>0.453592</v>
      </c>
      <c r="E24" s="66">
        <v>1000</v>
      </c>
      <c r="L24" s="23" t="s">
        <v>434</v>
      </c>
      <c r="M24" s="4">
        <f>1/gpkg_grplb</f>
        <v>0.14285714285714285</v>
      </c>
      <c r="N24" s="148"/>
    </row>
    <row r="25" spans="2:14" ht="15.75" customHeight="1">
      <c r="B25" s="59" t="s">
        <v>435</v>
      </c>
      <c r="C25" s="169">
        <v>2.2046199999999998</v>
      </c>
      <c r="D25" s="66">
        <v>1</v>
      </c>
      <c r="E25" s="66">
        <v>2204.62</v>
      </c>
      <c r="L25" s="23" t="s">
        <v>436</v>
      </c>
      <c r="M25" s="27">
        <v>29.307220000000001</v>
      </c>
      <c r="N25" s="147" t="s">
        <v>437</v>
      </c>
    </row>
    <row r="26" spans="2:14">
      <c r="B26" s="59" t="s">
        <v>438</v>
      </c>
      <c r="C26" s="167">
        <f>1/E24</f>
        <v>1E-3</v>
      </c>
      <c r="D26" s="170">
        <v>4.53592E-4</v>
      </c>
      <c r="E26" s="66">
        <v>1</v>
      </c>
      <c r="L26" s="23" t="s">
        <v>439</v>
      </c>
      <c r="M26" s="27">
        <f>1/therm_kwh</f>
        <v>3.4121284789208936E-2</v>
      </c>
      <c r="N26" s="148"/>
    </row>
    <row r="27" spans="2:14" ht="15" customHeight="1">
      <c r="L27" s="23" t="s">
        <v>440</v>
      </c>
      <c r="M27" s="28">
        <f>1/1000</f>
        <v>1E-3</v>
      </c>
      <c r="N27" s="29" t="s">
        <v>441</v>
      </c>
    </row>
    <row r="28" spans="2:14">
      <c r="B28" s="155" t="s">
        <v>442</v>
      </c>
      <c r="L28" s="23" t="s">
        <v>443</v>
      </c>
      <c r="M28" s="28">
        <v>1000</v>
      </c>
      <c r="N28" s="29" t="s">
        <v>444</v>
      </c>
    </row>
    <row r="29" spans="2:14">
      <c r="L29" s="23" t="s">
        <v>445</v>
      </c>
      <c r="M29" s="28">
        <f>60</f>
        <v>60</v>
      </c>
      <c r="N29" s="147" t="s">
        <v>446</v>
      </c>
    </row>
    <row r="30" spans="2:14">
      <c r="B30" s="4" t="s">
        <v>391</v>
      </c>
      <c r="C30" s="192" t="s">
        <v>236</v>
      </c>
      <c r="D30" s="192" t="s">
        <v>281</v>
      </c>
      <c r="L30" s="23" t="s">
        <v>447</v>
      </c>
      <c r="M30" s="28">
        <f>1/M29</f>
        <v>1.6666666666666666E-2</v>
      </c>
      <c r="N30" s="148"/>
    </row>
    <row r="31" spans="2:14">
      <c r="B31" s="59" t="s">
        <v>236</v>
      </c>
      <c r="C31" s="66">
        <v>1</v>
      </c>
      <c r="D31" s="170">
        <v>9.2903040000000006E-2</v>
      </c>
      <c r="L31" s="23" t="s">
        <v>448</v>
      </c>
      <c r="M31" s="9">
        <f>1/3600</f>
        <v>2.7777777777777778E-4</v>
      </c>
      <c r="N31" s="9" t="s">
        <v>449</v>
      </c>
    </row>
    <row r="32" spans="2:14">
      <c r="B32" s="59" t="s">
        <v>281</v>
      </c>
      <c r="C32" s="167">
        <v>10.763910416709722</v>
      </c>
      <c r="D32" s="66">
        <v>1</v>
      </c>
      <c r="L32" s="23" t="s">
        <v>450</v>
      </c>
      <c r="M32" s="28">
        <v>4.1859999999999999</v>
      </c>
      <c r="N32" s="29" t="s">
        <v>451</v>
      </c>
    </row>
    <row r="33" spans="12:14">
      <c r="L33" s="23" t="s">
        <v>452</v>
      </c>
      <c r="M33" s="28">
        <v>1000</v>
      </c>
      <c r="N33" s="29" t="s">
        <v>453</v>
      </c>
    </row>
    <row r="34" spans="12:14" ht="28.2">
      <c r="L34" s="23" t="s">
        <v>454</v>
      </c>
      <c r="M34" s="9">
        <f>1/M35</f>
        <v>7.8984760026109757E-5</v>
      </c>
      <c r="N34" s="149" t="s">
        <v>455</v>
      </c>
    </row>
    <row r="35" spans="12:14">
      <c r="L35" s="23" t="s">
        <v>456</v>
      </c>
      <c r="M35" s="9">
        <f>12660.67023144</f>
        <v>12660.670231440001</v>
      </c>
      <c r="N35" s="28"/>
    </row>
    <row r="44" spans="12:14" ht="15.75" customHeight="1"/>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496dd409-4ae5-430c-b9c5-58360d3a9bf1">
      <Terms xmlns="http://schemas.microsoft.com/office/infopath/2007/PartnerControls"/>
    </lcf76f155ced4ddcb4097134ff3c332f>
    <TaxCatchAll xmlns="b4745172-f58d-4f22-aa13-f9576830588d" xsi:nil="true"/>
    <DateandTime xmlns="496dd409-4ae5-430c-b9c5-58360d3a9bf1">2026-05-19T04:14:14+00:00</DateandTime>
    <Email xmlns="496dd409-4ae5-430c-b9c5-58360d3a9bf1" xsi:nil="true"/>
    <PhoneNumber xmlns="496dd409-4ae5-430c-b9c5-58360d3a9bf1" xsi:nil="true"/>
    <DateTime xmlns="496dd409-4ae5-430c-b9c5-58360d3a9bf1" xsi:nil="true"/>
    <Discipline xmlns="496dd409-4ae5-430c-b9c5-58360d3a9bf1" xsi:nil="true"/>
    <ContactPerson xmlns="496dd409-4ae5-430c-b9c5-58360d3a9bf1" xsi:nil="true"/>
    <Website xmlns="496dd409-4ae5-430c-b9c5-58360d3a9bf1"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9C47FFD6D4DBA34A90C8984FADF4C223" ma:contentTypeVersion="24" ma:contentTypeDescription="Create a new document." ma:contentTypeScope="" ma:versionID="43fbe2c06ab25c94c9a68c0d9ea01948">
  <xsd:schema xmlns:xsd="http://www.w3.org/2001/XMLSchema" xmlns:xs="http://www.w3.org/2001/XMLSchema" xmlns:p="http://schemas.microsoft.com/office/2006/metadata/properties" xmlns:ns2="496dd409-4ae5-430c-b9c5-58360d3a9bf1" xmlns:ns3="b4745172-f58d-4f22-aa13-f9576830588d" targetNamespace="http://schemas.microsoft.com/office/2006/metadata/properties" ma:root="true" ma:fieldsID="ab6475727053421163de2bc419f52e73" ns2:_="" ns3:_="">
    <xsd:import namespace="496dd409-4ae5-430c-b9c5-58360d3a9bf1"/>
    <xsd:import namespace="b4745172-f58d-4f22-aa13-f9576830588d"/>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MediaServiceOCR" minOccurs="0"/>
                <xsd:element ref="ns2:MediaServiceLocation" minOccurs="0"/>
                <xsd:element ref="ns2:lcf76f155ced4ddcb4097134ff3c332f" minOccurs="0"/>
                <xsd:element ref="ns3:TaxCatchAll" minOccurs="0"/>
                <xsd:element ref="ns3:SharedWithUsers" minOccurs="0"/>
                <xsd:element ref="ns3:SharedWithDetails" minOccurs="0"/>
                <xsd:element ref="ns2:MediaServiceSearchProperties" minOccurs="0"/>
                <xsd:element ref="ns2:MediaLengthInSeconds" minOccurs="0"/>
                <xsd:element ref="ns2:MediaServiceObjectDetectorVersions" minOccurs="0"/>
                <xsd:element ref="ns2:MediaServiceBillingMetadata" minOccurs="0"/>
                <xsd:element ref="ns2:DateTime" minOccurs="0"/>
                <xsd:element ref="ns2:DateandTime" minOccurs="0"/>
                <xsd:element ref="ns2:Discipline" minOccurs="0"/>
                <xsd:element ref="ns2:ContactPerson" minOccurs="0"/>
                <xsd:element ref="ns2:PhoneNumber" minOccurs="0"/>
                <xsd:element ref="ns2:Email" minOccurs="0"/>
                <xsd:element ref="ns2:Websi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96dd409-4ae5-430c-b9c5-58360d3a9bf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Location" ma:index="14" nillable="true" ma:displayName="Location" ma:internalName="MediaServiceLocation"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9b8e629e-9beb-48a5-9316-399a1baef8e7" ma:termSetId="09814cd3-568e-fe90-9814-8d621ff8fb84" ma:anchorId="fba54fb3-c3e1-fe81-a776-ca4b69148c4d" ma:open="true" ma:isKeyword="false">
      <xsd:complexType>
        <xsd:sequence>
          <xsd:element ref="pc:Terms" minOccurs="0" maxOccurs="1"/>
        </xsd:sequence>
      </xsd:complex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LengthInSeconds" ma:index="21" nillable="true" ma:displayName="MediaLengthInSeconds" ma:hidden="true" ma:internalName="MediaLengthInSeconds" ma:readOnly="true">
      <xsd:simpleType>
        <xsd:restriction base="dms:Unknown"/>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element name="DateTime" ma:index="24" nillable="true" ma:displayName="Date &amp; Time" ma:format="DateOnly" ma:internalName="DateTime">
      <xsd:simpleType>
        <xsd:restriction base="dms:DateTime"/>
      </xsd:simpleType>
    </xsd:element>
    <xsd:element name="DateandTime" ma:index="25" nillable="true" ma:displayName="Date and Time" ma:default="[today]" ma:format="DateTime" ma:internalName="DateandTime">
      <xsd:simpleType>
        <xsd:restriction base="dms:DateTime"/>
      </xsd:simpleType>
    </xsd:element>
    <xsd:element name="Discipline" ma:index="26" nillable="true" ma:displayName="Discipline" ma:format="Dropdown" ma:internalName="Discipline">
      <xsd:simpleType>
        <xsd:restriction base="dms:Choice">
          <xsd:enumeration value="Mechanical"/>
          <xsd:enumeration value="Electrical"/>
          <xsd:enumeration value="Plumbing"/>
          <xsd:enumeration value="Fire Protection"/>
          <xsd:enumeration value="MISC"/>
          <xsd:enumeration value="Choice 6"/>
        </xsd:restriction>
      </xsd:simpleType>
    </xsd:element>
    <xsd:element name="ContactPerson" ma:index="27" nillable="true" ma:displayName="Contact Person" ma:format="Dropdown" ma:internalName="ContactPerson">
      <xsd:simpleType>
        <xsd:restriction base="dms:Text">
          <xsd:maxLength value="255"/>
        </xsd:restriction>
      </xsd:simpleType>
    </xsd:element>
    <xsd:element name="PhoneNumber" ma:index="28" nillable="true" ma:displayName="Phone Number" ma:format="Dropdown" ma:internalName="PhoneNumber">
      <xsd:simpleType>
        <xsd:restriction base="dms:Note">
          <xsd:maxLength value="255"/>
        </xsd:restriction>
      </xsd:simpleType>
    </xsd:element>
    <xsd:element name="Email" ma:index="29" nillable="true" ma:displayName="Email" ma:format="Dropdown" ma:internalName="Email">
      <xsd:simpleType>
        <xsd:restriction base="dms:Text">
          <xsd:maxLength value="255"/>
        </xsd:restriction>
      </xsd:simpleType>
    </xsd:element>
    <xsd:element name="Website" ma:index="30" nillable="true" ma:displayName="Website" ma:format="Dropdown" ma:internalName="Website">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4745172-f58d-4f22-aa13-f9576830588d"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e24bd187-2676-49c9-985e-2d234ccab9e5}" ma:internalName="TaxCatchAll" ma:showField="CatchAllData" ma:web="b4745172-f58d-4f22-aa13-f9576830588d">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90285CA-84D2-4891-AB66-46C7C6EA45AF}">
  <ds:schemaRefs>
    <ds:schemaRef ds:uri="http://schemas.microsoft.com/office/2006/metadata/properties"/>
    <ds:schemaRef ds:uri="http://schemas.microsoft.com/office/infopath/2007/PartnerControls"/>
    <ds:schemaRef ds:uri="496dd409-4ae5-430c-b9c5-58360d3a9bf1"/>
    <ds:schemaRef ds:uri="b4745172-f58d-4f22-aa13-f9576830588d"/>
  </ds:schemaRefs>
</ds:datastoreItem>
</file>

<file path=customXml/itemProps2.xml><?xml version="1.0" encoding="utf-8"?>
<ds:datastoreItem xmlns:ds="http://schemas.openxmlformats.org/officeDocument/2006/customXml" ds:itemID="{998B7B59-6B8D-4E57-B694-13667D0F025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96dd409-4ae5-430c-b9c5-58360d3a9bf1"/>
    <ds:schemaRef ds:uri="b4745172-f58d-4f22-aa13-f9576830588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A5B0381-9045-4FF9-81A3-A2BD7A942A0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24</vt:i4>
      </vt:variant>
    </vt:vector>
  </HeadingPairs>
  <TitlesOfParts>
    <vt:vector size="44" baseType="lpstr">
      <vt:lpstr>Home</vt:lpstr>
      <vt:lpstr>Project Info</vt:lpstr>
      <vt:lpstr>BL Data</vt:lpstr>
      <vt:lpstr>Proposed Data</vt:lpstr>
      <vt:lpstr>LEED BL</vt:lpstr>
      <vt:lpstr>Code BL</vt:lpstr>
      <vt:lpstr>Proposed</vt:lpstr>
      <vt:lpstr>SiteE</vt:lpstr>
      <vt:lpstr>SourceE</vt:lpstr>
      <vt:lpstr>Carbon</vt:lpstr>
      <vt:lpstr>Cost</vt:lpstr>
      <vt:lpstr>Report</vt:lpstr>
      <vt:lpstr>Input Summary</vt:lpstr>
      <vt:lpstr>QAQC</vt:lpstr>
      <vt:lpstr>Menus</vt:lpstr>
      <vt:lpstr>Calculations</vt:lpstr>
      <vt:lpstr>LEED Calc</vt:lpstr>
      <vt:lpstr>RefTable LEED</vt:lpstr>
      <vt:lpstr>RefTable BPF</vt:lpstr>
      <vt:lpstr>Conversions</vt:lpstr>
      <vt:lpstr>Conversions!air_density</vt:lpstr>
      <vt:lpstr>Baseline</vt:lpstr>
      <vt:lpstr>Conversions!cfm_m3ps</vt:lpstr>
      <vt:lpstr>Cooling_Fuel</vt:lpstr>
      <vt:lpstr>Energy</vt:lpstr>
      <vt:lpstr>Fuel_Type</vt:lpstr>
      <vt:lpstr>Gas_Units</vt:lpstr>
      <vt:lpstr>Conversions!gpkg_grplb</vt:lpstr>
      <vt:lpstr>Conversions!kPa_inH2O</vt:lpstr>
      <vt:lpstr>LEED_Standard</vt:lpstr>
      <vt:lpstr>LEED_Subcatagory</vt:lpstr>
      <vt:lpstr>LEED_Version</vt:lpstr>
      <vt:lpstr>Conversions!lps_kgps</vt:lpstr>
      <vt:lpstr>Proposed_Options</vt:lpstr>
      <vt:lpstr>Result_Set</vt:lpstr>
      <vt:lpstr>Select_BL_Case</vt:lpstr>
      <vt:lpstr>Select_Case</vt:lpstr>
      <vt:lpstr>SI</vt:lpstr>
      <vt:lpstr>Conversions!therm_kwh</vt:lpstr>
      <vt:lpstr>Conversions!ton_btuph</vt:lpstr>
      <vt:lpstr>Conversions!ton_kW</vt:lpstr>
      <vt:lpstr>Conversions!w_btuph</vt:lpstr>
      <vt:lpstr>Conversions!W_to_Btu_h</vt:lpstr>
      <vt:lpstr>YesNo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Glassman, Elliot J.</dc:creator>
  <cp:keywords/>
  <dc:description/>
  <cp:lastModifiedBy>NG</cp:lastModifiedBy>
  <cp:revision/>
  <dcterms:created xsi:type="dcterms:W3CDTF">2015-05-12T16:49:37Z</dcterms:created>
  <dcterms:modified xsi:type="dcterms:W3CDTF">2026-06-17T11:45:15Z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0x0101009C47FFD6D4DBA34A90C8984FADF4C223</vt:lpwstr>
  </property>
  <property fmtid="{D5CDD505-2E9C-101B-9397-08002B2CF9AE}" pid="3" name="MediaServiceImageTags">
    <vt:lpwstr/>
  </property>
  <property fmtid="{D5CDD505-2E9C-101B-9397-08002B2CF9AE}" pid="4" name="MSIP_Label_bfd69972-90a0-41d4-81ed-da631e1c4816_Enabled">
    <vt:lpwstr>true</vt:lpwstr>
  </property>
  <property fmtid="{D5CDD505-2E9C-101B-9397-08002B2CF9AE}" pid="5" name="MSIP_Label_bfd69972-90a0-41d4-81ed-da631e1c4816_SetDate">
    <vt:lpwstr>2023-06-27T16:48:24Z</vt:lpwstr>
  </property>
  <property fmtid="{D5CDD505-2E9C-101B-9397-08002B2CF9AE}" pid="6" name="MSIP_Label_bfd69972-90a0-41d4-81ed-da631e1c4816_Method">
    <vt:lpwstr>Standard</vt:lpwstr>
  </property>
  <property fmtid="{D5CDD505-2E9C-101B-9397-08002B2CF9AE}" pid="7" name="MSIP_Label_bfd69972-90a0-41d4-81ed-da631e1c4816_Name">
    <vt:lpwstr>defa4170-0d19-0005-0004-bc88714345d2</vt:lpwstr>
  </property>
  <property fmtid="{D5CDD505-2E9C-101B-9397-08002B2CF9AE}" pid="8" name="MSIP_Label_bfd69972-90a0-41d4-81ed-da631e1c4816_SiteId">
    <vt:lpwstr>2a628329-47c2-4e25-a873-a847f2961371</vt:lpwstr>
  </property>
  <property fmtid="{D5CDD505-2E9C-101B-9397-08002B2CF9AE}" pid="9" name="MSIP_Label_bfd69972-90a0-41d4-81ed-da631e1c4816_ActionId">
    <vt:lpwstr>61aa7b77-86b3-4c1f-8b3d-7e04e87bea96</vt:lpwstr>
  </property>
  <property fmtid="{D5CDD505-2E9C-101B-9397-08002B2CF9AE}" pid="10" name="MSIP_Label_bfd69972-90a0-41d4-81ed-da631e1c4816_ContentBits">
    <vt:lpwstr>0</vt:lpwstr>
  </property>
  <property fmtid="{D5CDD505-2E9C-101B-9397-08002B2CF9AE}" pid="11" name="Order">
    <vt:r8>3271200</vt:r8>
  </property>
</Properties>
</file>